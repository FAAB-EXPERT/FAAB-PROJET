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KitManagementProjet290425\01-Avant projet\"/>
    </mc:Choice>
  </mc:AlternateContent>
  <xr:revisionPtr revIDLastSave="0" documentId="13_ncr:1_{51772A63-F915-430D-A1BF-F9D947B529EA}" xr6:coauthVersionLast="47" xr6:coauthVersionMax="47" xr10:uidLastSave="{00000000-0000-0000-0000-000000000000}"/>
  <bookViews>
    <workbookView xWindow="-120" yWindow="-120" windowWidth="20730" windowHeight="11160" tabRatio="608" firstSheet="1" activeTab="1" xr2:uid="{485DE3F3-A043-41C9-8BFC-9F9ABCEC5EF1}"/>
  </bookViews>
  <sheets>
    <sheet name="Guide d'utilisation" sheetId="3" state="veryHidden" r:id="rId1"/>
    <sheet name="Matrice" sheetId="4" r:id="rId2"/>
    <sheet name="Dashboard" sheetId="6" r:id="rId3"/>
    <sheet name="Paramétrage" sheetId="5" r:id="rId4"/>
    <sheet name="Backend" sheetId="9" state="veryHidden" r:id="rId5"/>
    <sheet name="Langue" sheetId="10" state="veryHidden" r:id="rId6"/>
  </sheets>
  <functionGroups builtInGroupCount="19"/>
  <definedNames>
    <definedName name="choix">#REF!</definedName>
    <definedName name="ExternalData_1" localSheetId="2" hidden="1">Dashboard!#REF!</definedName>
    <definedName name="HEADER_SYNTH">Dashboard!$D$20:$H$20</definedName>
    <definedName name="Langue">Paramétrage!$L$6</definedName>
    <definedName name="MaxEvaluation">Backend!$E$3</definedName>
    <definedName name="ModelTab">Backend!$M$5:$P$7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" i="9" l="1"/>
  <c r="E40" i="4"/>
  <c r="E24" i="4"/>
  <c r="E25" i="4"/>
  <c r="E26" i="4"/>
  <c r="E27" i="4"/>
  <c r="E28" i="4"/>
  <c r="E29" i="4"/>
  <c r="E3" i="9"/>
  <c r="E41" i="4"/>
  <c r="E42" i="4"/>
  <c r="E43" i="4"/>
  <c r="E44" i="4"/>
  <c r="E45" i="4"/>
  <c r="E33" i="4"/>
  <c r="E34" i="4"/>
  <c r="E35" i="4"/>
  <c r="E36" i="4"/>
  <c r="E18" i="4"/>
  <c r="E19" i="4"/>
  <c r="E20" i="4"/>
  <c r="C14" i="5" a="1"/>
  <c r="G13" i="5" a="1"/>
  <c r="G11" i="5" a="1"/>
  <c r="C11" i="5" a="1"/>
  <c r="C12" i="5" a="1"/>
  <c r="G12" i="5" a="1"/>
  <c r="G14" i="5" a="1"/>
  <c r="C13" i="5" a="1"/>
  <c r="C12" i="5" l="1"/>
  <c r="G14" i="5"/>
  <c r="G12" i="5"/>
  <c r="G13" i="5"/>
  <c r="G11" i="5"/>
  <c r="C13" i="5"/>
  <c r="C11" i="5"/>
  <c r="C14" i="5"/>
  <c r="G22" i="6" a="1"/>
  <c r="G25" i="6" a="1"/>
  <c r="G23" i="6" a="1"/>
  <c r="G24" i="6" a="1"/>
  <c r="G23" i="6" l="1"/>
  <c r="H23" i="6" s="1" a="1"/>
  <c r="H23" i="6" s="1"/>
  <c r="G24" i="6"/>
  <c r="E24" i="6" s="1" a="1"/>
  <c r="E24" i="6" s="1"/>
  <c r="G22" i="6"/>
  <c r="H22" i="6" s="1" a="1"/>
  <c r="H22" i="6" s="1"/>
  <c r="G25" i="6"/>
  <c r="E25" i="6" s="1" a="1"/>
  <c r="E25" i="6" s="1"/>
  <c r="H25" i="6" l="1" a="1"/>
  <c r="H25" i="6" s="1"/>
  <c r="E22" i="6" a="1"/>
  <c r="E22" i="6" s="1"/>
  <c r="H24" i="6" a="1"/>
  <c r="H24" i="6" s="1"/>
  <c r="E23" i="6" a="1"/>
  <c r="E2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ABF8D7-ECF6-493F-9073-4CE20091D740}" keepAlive="1" name="Query - TabBackendProjects" description="Connection to the 'TabBackendProjects' query in the workbook." type="5" refreshedVersion="8" background="1" saveData="1">
    <dbPr connection="Provider=Microsoft.Mashup.OleDb.1;Data Source=$Workbook$;Location=TabBackendProjects;Extended Properties=&quot;&quot;" command="SELECT * FROM [TabBackendProjects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<sst xmlns="http://schemas.openxmlformats.org/spreadsheetml/2006/main" count="294" uniqueCount="159">
  <si>
    <t>Le projet s'inscrit dans la stratégie commerciale de l'entreprise</t>
  </si>
  <si>
    <t>Le produit répond à une attente du consommateur</t>
  </si>
  <si>
    <t>Pondération</t>
  </si>
  <si>
    <t>Evaluation</t>
  </si>
  <si>
    <t xml:space="preserve">le produit apporte des fonctionnalités nouvelles sur le marché </t>
  </si>
  <si>
    <t>Critères d'évaluation</t>
  </si>
  <si>
    <t>Faisabilité financière</t>
  </si>
  <si>
    <t>Faisabilité économique et sociale</t>
  </si>
  <si>
    <t>Faisabilité commerciale</t>
  </si>
  <si>
    <t>Les ventes souhaitées semblent être atteignables</t>
  </si>
  <si>
    <t>Légende</t>
  </si>
  <si>
    <t>Choix</t>
  </si>
  <si>
    <t>Valeur</t>
  </si>
  <si>
    <t xml:space="preserve">Le prix du produit est attractif </t>
  </si>
  <si>
    <t xml:space="preserve">Le délai de développement du produit est cohérent avec les attentes du marché </t>
  </si>
  <si>
    <t>Nom / Code projet</t>
  </si>
  <si>
    <t>Date de création</t>
  </si>
  <si>
    <t>Référence</t>
  </si>
  <si>
    <t>Date de la version</t>
  </si>
  <si>
    <t>Numéro de version</t>
  </si>
  <si>
    <t>V2.3</t>
  </si>
  <si>
    <t>Matrice de faisabilité de projets</t>
  </si>
  <si>
    <t>Paramétrage</t>
  </si>
  <si>
    <t>Non/code du portefeuille</t>
  </si>
  <si>
    <t>Portefeuille X</t>
  </si>
  <si>
    <t>PMO</t>
  </si>
  <si>
    <t>Alain DURAND</t>
  </si>
  <si>
    <t>Tout à fait d'accord</t>
  </si>
  <si>
    <t>Plutôt d'accord</t>
  </si>
  <si>
    <t>Plutôt pas d'accord</t>
  </si>
  <si>
    <t>Pas du tout d'accord</t>
  </si>
  <si>
    <t>Coefficient de pondération</t>
  </si>
  <si>
    <t>Faisabilité technique</t>
  </si>
  <si>
    <t>Dashboard</t>
  </si>
  <si>
    <t>Moyenne</t>
  </si>
  <si>
    <t xml:space="preserve">La faisabilité commerciale </t>
  </si>
  <si>
    <t xml:space="preserve">La faisabilité technique </t>
  </si>
  <si>
    <t xml:space="preserve">La faisabilité financière </t>
  </si>
  <si>
    <t xml:space="preserve">La faisabilité économique et sociale </t>
  </si>
  <si>
    <t>PEU SATISFAISANTE</t>
  </si>
  <si>
    <t>TRÈS SATISFAISANTE</t>
  </si>
  <si>
    <t xml:space="preserve">Faisabilité technique </t>
  </si>
  <si>
    <t xml:space="preserve">Faisabilité financière </t>
  </si>
  <si>
    <t xml:space="preserve">Faisabilité économique et sociale </t>
  </si>
  <si>
    <t xml:space="preserve">Faisabilité commerciale </t>
  </si>
  <si>
    <t>Position</t>
  </si>
  <si>
    <t>NON SATISFAISANTE</t>
  </si>
  <si>
    <t>Cumul</t>
  </si>
  <si>
    <t>Project X</t>
  </si>
  <si>
    <t>R47P58X</t>
  </si>
  <si>
    <t>Guide d'utilisation</t>
  </si>
  <si>
    <t>SATISFAISANTE</t>
  </si>
  <si>
    <t xml:space="preserve">    Coeff. de pondération</t>
  </si>
  <si>
    <t>&lt;= Max</t>
  </si>
  <si>
    <t>Min &lt;</t>
  </si>
  <si>
    <t>L'évaluation du projet n'est pas assurée et présente plusieurs risques à considérer.</t>
  </si>
  <si>
    <t>L'évaluation du projet semble très saisfaisante.</t>
  </si>
  <si>
    <t>L'évaluation du projet semble intéressante.</t>
  </si>
  <si>
    <t>Activation des macros :</t>
  </si>
  <si>
    <t>Pour s'assurer du bon fonctionnement du template, vérifiez que les macros sont activées</t>
  </si>
  <si>
    <t xml:space="preserve">Déblocage des macros : </t>
  </si>
  <si>
    <t>Si un message rouge apparait en haut du fichier, procédez comme suit pour débloquer les macros : 
Pour ce faire, cliquez sur le bouton droit sur le fichier avant de l'ouvrir, choisissez Propriétés, puis activez la case à cocher Débloquer sous l’onglet Général.</t>
  </si>
  <si>
    <t>Exploitation du fichier</t>
  </si>
  <si>
    <t>Commencez par définir des critères d'évaluation pour chacun des volets de faisabilité : commerciale, technique, économique, financière</t>
  </si>
  <si>
    <t>Pour supprimer une ligne, placez-vous sur la cellule de la ligne à supprimer, puis cliquez sur l'icône de suppression (-)</t>
  </si>
  <si>
    <t>Vous pouvez paramétrer les valeurs de cette liste déroulante à partir de la feuille "paramétrage" :</t>
  </si>
  <si>
    <t>En utilisant les icônes (+) et (--) vous pouvez ajouter ou supprimer une valeur, puis lui attribuer une couleur de votre choix.</t>
  </si>
  <si>
    <t>Choisissez, pour chaque critère d'évaluation, un coefficient de pondération sur une échelle de 1 à 4.</t>
  </si>
  <si>
    <t>De la même façon, vous pouvez paramétrer ces coefficients à partir de la feuille "paramétrage" :</t>
  </si>
  <si>
    <t>Pour chaque critère ajouté, sélectionnez la valeur correspondante dans la liste déroulante en fonction de votre degré d'accord : "Pas du tout d'accord", "Plutôt pas d'accord", "Plutôt d'accord" ou "Tout à fait d'accord".</t>
  </si>
  <si>
    <t>L'évaluation se fait en multipliant le coefficient par le score d'évaluation de chaque critère.</t>
  </si>
  <si>
    <r>
      <t xml:space="preserve">Ensuite, une </t>
    </r>
    <r>
      <rPr>
        <b/>
        <sz val="12"/>
        <color theme="1"/>
        <rFont val="Candara"/>
        <family val="2"/>
      </rPr>
      <t>moyenne pondérée</t>
    </r>
    <r>
      <rPr>
        <sz val="12"/>
        <color theme="1"/>
        <rFont val="Candara"/>
        <family val="2"/>
      </rPr>
      <t xml:space="preserve"> est calculée automatiquement sur la base de ces critères, pour obtenir un </t>
    </r>
    <r>
      <rPr>
        <b/>
        <sz val="12"/>
        <color theme="1"/>
        <rFont val="Candara"/>
        <family val="2"/>
      </rPr>
      <t>score d'appréciation</t>
    </r>
    <r>
      <rPr>
        <sz val="12"/>
        <color theme="1"/>
        <rFont val="Candara"/>
        <family val="2"/>
      </rPr>
      <t xml:space="preserve"> pour chaque section (faisabilité commerciale, financière, technique, économique) sur une échelle de 1 à 5.</t>
    </r>
  </si>
  <si>
    <t>Selon le score obtenu, un commentaire d'appréciation s'affichera.</t>
  </si>
  <si>
    <r>
      <t xml:space="preserve">Après avoir évaluer chacun des critères de chaque section, vous pouvez visionner le </t>
    </r>
    <r>
      <rPr>
        <b/>
        <sz val="12"/>
        <color theme="1"/>
        <rFont val="Candara"/>
        <family val="2"/>
      </rPr>
      <t xml:space="preserve">score d'appréciation </t>
    </r>
    <r>
      <rPr>
        <sz val="12"/>
        <color theme="1"/>
        <rFont val="Candara"/>
        <family val="2"/>
      </rPr>
      <t>obtenu</t>
    </r>
    <r>
      <rPr>
        <b/>
        <sz val="12"/>
        <color theme="1"/>
        <rFont val="Candara"/>
        <family val="2"/>
      </rPr>
      <t xml:space="preserve"> </t>
    </r>
    <r>
      <rPr>
        <sz val="12"/>
        <color theme="1"/>
        <rFont val="Candara"/>
        <family val="2"/>
      </rPr>
      <t>pour chaque section.</t>
    </r>
  </si>
  <si>
    <t>Echelles d'évaluation des volets de faisabilité</t>
  </si>
  <si>
    <t xml:space="preserve">Chacun des volets de faisabilité (commerciale, technique, économique, financière) sont notés sur une échelle de 1 à 5. </t>
  </si>
  <si>
    <t>Noter que vous pouvez configurer ces échelles d'évaluation depuis la feuille "Paramétrage" :</t>
  </si>
  <si>
    <t>Pour en supprimer, utilisez l'icône de suppression (-)</t>
  </si>
  <si>
    <t>Pour ajouter une nouvelle échelle d'évaluation, cliquez sur l'icône d'ajout (+)</t>
  </si>
  <si>
    <r>
      <rPr>
        <u/>
        <sz val="12"/>
        <rFont val="Candara"/>
        <family val="2"/>
      </rPr>
      <t>Exemple</t>
    </r>
    <r>
      <rPr>
        <sz val="12"/>
        <rFont val="Candara"/>
        <family val="2"/>
      </rPr>
      <t xml:space="preserve"> :</t>
    </r>
  </si>
  <si>
    <t>Admettons que vous voudriez ajouter une nouvelle échelle que l'on nommera "très peu satisfaisante" à ajouter au dessus de l'échelle "peu satisfaisante" :</t>
  </si>
  <si>
    <t>Placez-vous sur la cellule "Peu satisfaisante" et cliquez sur l'icône d'ajout :</t>
  </si>
  <si>
    <t>Pour chaque échelle d'évaluation (non satisfaisante, peu satisfaisante, satisfaisante, très satisfaisante) vous pouvez définir la limite inférieure ou égale "≤ Max" :</t>
  </si>
  <si>
    <t>Ensuite, renseignez les valeurs, puis attribuez à cette échelle une valeur maximale et éventuellement une valeur minimale si vous le souhaitez :</t>
  </si>
  <si>
    <t xml:space="preserve">Par conséquent, tous les volets de faisabilité ayant une valeur comprise entre 2,7 et 3 seront considérés comme "très peu satisfaisants" :
</t>
  </si>
  <si>
    <t>-</t>
  </si>
  <si>
    <t>Max Evaluation</t>
  </si>
  <si>
    <t>1. Modification des données</t>
  </si>
  <si>
    <t>Allez à l'onglet "Matrice"</t>
  </si>
  <si>
    <t>2. Ajout/suppression de critères d'évaluation</t>
  </si>
  <si>
    <t>3. Evaluation des critères</t>
  </si>
  <si>
    <t>3.1 Score d'évaluation</t>
  </si>
  <si>
    <t>3.2 Pondération</t>
  </si>
  <si>
    <t>4. Dashboard</t>
  </si>
  <si>
    <t xml:space="preserve">Pour ajouter une nouvelle ligne, deux possibilités s'offrent à vous : </t>
  </si>
  <si>
    <t>* Ajouter une nouvelle ligne entre les lignes existantes en vous positionnant sur une cellule puis en cliquant sur le bouton d'ajout :</t>
  </si>
  <si>
    <t>* Ajouter une nouvelle ligne en bas du tableau en cliquant simplement sur le bouton d'ajout (+) :</t>
  </si>
  <si>
    <t>Langue</t>
  </si>
  <si>
    <t>Français</t>
  </si>
  <si>
    <t>Anglais</t>
  </si>
  <si>
    <t>Yes-No</t>
  </si>
  <si>
    <t>Oui</t>
  </si>
  <si>
    <t>User Guide</t>
  </si>
  <si>
    <t>Non</t>
  </si>
  <si>
    <t>Language</t>
  </si>
  <si>
    <t>Creation Date</t>
  </si>
  <si>
    <t>Version Date</t>
  </si>
  <si>
    <t>Version Number</t>
  </si>
  <si>
    <t>Matrice</t>
  </si>
  <si>
    <t>UNSATISFACTORY</t>
  </si>
  <si>
    <t>LESS SATISFACTORY</t>
  </si>
  <si>
    <t>SATISFACTORY</t>
  </si>
  <si>
    <t>VERY SATISFACTORY</t>
  </si>
  <si>
    <t>Legend</t>
  </si>
  <si>
    <t>Feasibility Assessment Scales</t>
  </si>
  <si>
    <t xml:space="preserve">    Weighting Coefficient</t>
  </si>
  <si>
    <t>Matrix</t>
  </si>
  <si>
    <t>Choice</t>
  </si>
  <si>
    <t>Value</t>
  </si>
  <si>
    <t>Strongly Disagree</t>
  </si>
  <si>
    <t>Somewhat Disagree</t>
  </si>
  <si>
    <t>Somewhat Agree</t>
  </si>
  <si>
    <t>Strongly Agree</t>
  </si>
  <si>
    <t>Project Name / Code</t>
  </si>
  <si>
    <t>Reference</t>
  </si>
  <si>
    <t>Portfolio ID / Code</t>
  </si>
  <si>
    <t>Project Feasibility Matrix</t>
  </si>
  <si>
    <t>Commercial Feasibility</t>
  </si>
  <si>
    <t>Evaluation Criteria</t>
  </si>
  <si>
    <t>Technical Feasibility</t>
  </si>
  <si>
    <t>Financial Feasibility</t>
  </si>
  <si>
    <t>Economic and Social Feasibility</t>
  </si>
  <si>
    <t>The project aligns with the company's business strategy</t>
  </si>
  <si>
    <t>The product meets consumer expectations</t>
  </si>
  <si>
    <t>The product brings new features to the market</t>
  </si>
  <si>
    <t>The product is competitively priced</t>
  </si>
  <si>
    <t>The product development timeline is in line with market expectations</t>
  </si>
  <si>
    <t>The desired sales figures appear achievable</t>
  </si>
  <si>
    <t>Settings</t>
  </si>
  <si>
    <t>Synthèse générale »</t>
  </si>
  <si>
    <t xml:space="preserve">Financial Feasibility </t>
  </si>
  <si>
    <t xml:space="preserve">Technical Feasibility </t>
  </si>
  <si>
    <t xml:space="preserve">Commercial Feasibility </t>
  </si>
  <si>
    <t xml:space="preserve">Economic and Social Feasibility </t>
  </si>
  <si>
    <t>General Summary »</t>
  </si>
  <si>
    <t>Weighting Coefficient</t>
  </si>
  <si>
    <t>L'évaluation est satisfaisante mais présente un ou plusieurs risques à considérer.</t>
  </si>
  <si>
    <t>The evaluation is satisfactory but presents one or more risks to be considered.</t>
  </si>
  <si>
    <t>The project evaluation is uncertain and presents several risks to be considered.</t>
  </si>
  <si>
    <t>The project evaluation appears to be very satisfactory.</t>
  </si>
  <si>
    <t>The project evaluation appears to be commendable.</t>
  </si>
  <si>
    <t>Critère ici</t>
  </si>
  <si>
    <t>Volet</t>
  </si>
  <si>
    <t>Supprimer ce volet</t>
  </si>
  <si>
    <t>Ajouter un volet</t>
  </si>
  <si>
    <t xml:space="preserve">Average </t>
  </si>
  <si>
    <t>Delete this component</t>
  </si>
  <si>
    <t>Add a component</t>
  </si>
  <si>
    <t>Component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</si>
</sst>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43" x14ac:knownFonts="1">
    <font>
      <sz val="11"/>
      <color theme="1"/>
      <name val="Calibri"/>
      <family val="2"/>
      <scheme val="minor"/>
    </font>
    <font>
      <b/>
      <sz val="16"/>
      <name val="Candara"/>
      <family val="2"/>
    </font>
    <font>
      <sz val="11"/>
      <color theme="1"/>
      <name val="Candara"/>
      <family val="2"/>
    </font>
    <font>
      <sz val="12"/>
      <color theme="1"/>
      <name val="Candara"/>
      <family val="2"/>
    </font>
    <font>
      <sz val="12"/>
      <name val="Candara"/>
      <family val="2"/>
    </font>
    <font>
      <b/>
      <sz val="16"/>
      <color theme="1"/>
      <name val="Candara"/>
      <family val="2"/>
    </font>
    <font>
      <sz val="11"/>
      <color rgb="FFFF0000"/>
      <name val="Candara"/>
      <family val="2"/>
    </font>
    <font>
      <sz val="10"/>
      <color theme="1" tint="0.34998626667073579"/>
      <name val="Calibri"/>
      <family val="2"/>
      <scheme val="minor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rgb="FF2C6646"/>
      <name val="Calibri"/>
      <family val="2"/>
      <scheme val="minor"/>
    </font>
    <font>
      <b/>
      <sz val="12"/>
      <color theme="0" tint="-4.9989318521683403E-2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"/>
      <color theme="0"/>
      <name val="Calibri"/>
      <family val="2"/>
      <scheme val="minor"/>
    </font>
    <font>
      <b/>
      <sz val="14"/>
      <name val="Candara"/>
      <family val="2"/>
    </font>
    <font>
      <b/>
      <sz val="14"/>
      <color theme="1"/>
      <name val="Candara"/>
      <family val="2"/>
    </font>
    <font>
      <b/>
      <sz val="12"/>
      <color theme="1"/>
      <name val="Candara"/>
      <family val="2"/>
    </font>
    <font>
      <b/>
      <u/>
      <sz val="12"/>
      <color theme="1"/>
      <name val="Candara"/>
      <family val="2"/>
    </font>
    <font>
      <u/>
      <sz val="12"/>
      <name val="Candara"/>
      <family val="2"/>
    </font>
    <font>
      <b/>
      <sz val="14"/>
      <color rgb="FF2C6646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color rgb="FF2C6646"/>
      <name val="Calibri"/>
      <family val="2"/>
      <scheme val="minor"/>
    </font>
    <font>
      <sz val="8"/>
      <name val="Calibri"/>
      <family val="2"/>
      <scheme val="minor"/>
    </font>
    <font>
      <b/>
      <sz val="2"/>
      <color theme="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863D"/>
      <name val="Calibri"/>
      <family val="2"/>
    </font>
    <font>
      <sz val="10"/>
      <color rgb="FF374151"/>
      <name val="Segoe UI"/>
      <family val="2"/>
    </font>
    <font>
      <b/>
      <sz val="11"/>
      <color rgb="FF009A46"/>
      <name val="Calibri"/>
      <family val="2"/>
      <scheme val="minor"/>
    </font>
    <font>
      <b/>
      <sz val="11"/>
      <color rgb="FF00D66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rgb="FF439B6B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C000"/>
        <bgColor indexed="64"/>
      </patternFill>
    </fill>
    <fill>
      <patternFill patternType="darkDown">
        <fgColor theme="1"/>
        <bgColor theme="0" tint="-0.24994659260841701"/>
      </patternFill>
    </fill>
    <fill>
      <patternFill patternType="lightDown">
        <fgColor theme="1"/>
        <bgColor theme="2" tint="-0.24994659260841701"/>
      </patternFill>
    </fill>
    <fill>
      <patternFill patternType="solid">
        <fgColor theme="9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rgb="FFFEF5F0"/>
        <bgColor indexed="64"/>
      </patternFill>
    </fill>
    <fill>
      <patternFill patternType="solid">
        <fgColor rgb="FFF2F9EB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/>
      <diagonal/>
    </border>
    <border>
      <left style="thin">
        <color rgb="FF86CCA4"/>
      </left>
      <right/>
      <top style="thin">
        <color rgb="FF86CCA4"/>
      </top>
      <bottom/>
      <diagonal/>
    </border>
    <border>
      <left/>
      <right/>
      <top style="thin">
        <color rgb="FF86CCA4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 tint="-0.24994659260841701"/>
      </left>
      <right/>
      <top/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</borders>
  <cellStyleXfs count="2">
    <xf numFmtId="0" fontId="0" fillId="0" borderId="0"/>
    <xf numFmtId="0" fontId="20" fillId="0" borderId="0"/>
  </cellStyleXfs>
  <cellXfs count="106">
    <xf numFmtId="0" fontId="0" fillId="0" borderId="0" xfId="0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2" fillId="3" borderId="0" xfId="0" applyFont="1" applyFill="1"/>
    <xf numFmtId="0" fontId="5" fillId="3" borderId="0" xfId="0" applyFont="1" applyFill="1"/>
    <xf numFmtId="0" fontId="6" fillId="3" borderId="0" xfId="0" applyFont="1" applyFill="1" applyAlignment="1">
      <alignment vertical="top"/>
    </xf>
    <xf numFmtId="0" fontId="2" fillId="3" borderId="0" xfId="0" applyFont="1" applyFill="1" applyAlignment="1">
      <alignment vertical="top"/>
    </xf>
    <xf numFmtId="0" fontId="7" fillId="4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/>
    </xf>
    <xf numFmtId="0" fontId="10" fillId="5" borderId="3" xfId="0" applyFont="1" applyFill="1" applyBorder="1" applyAlignment="1">
      <alignment vertical="center"/>
    </xf>
    <xf numFmtId="0" fontId="11" fillId="6" borderId="4" xfId="0" applyFont="1" applyFill="1" applyBorder="1" applyAlignment="1">
      <alignment vertical="center"/>
    </xf>
    <xf numFmtId="0" fontId="13" fillId="7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4" borderId="2" xfId="0" applyFont="1" applyFill="1" applyBorder="1" applyAlignment="1">
      <alignment vertical="center"/>
    </xf>
    <xf numFmtId="0" fontId="12" fillId="6" borderId="4" xfId="0" applyFont="1" applyFill="1" applyBorder="1" applyAlignment="1">
      <alignment vertical="center"/>
    </xf>
    <xf numFmtId="0" fontId="13" fillId="7" borderId="5" xfId="0" applyFont="1" applyFill="1" applyBorder="1" applyAlignment="1">
      <alignment vertical="center"/>
    </xf>
    <xf numFmtId="14" fontId="7" fillId="4" borderId="1" xfId="0" applyNumberFormat="1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center" vertical="center"/>
    </xf>
    <xf numFmtId="14" fontId="16" fillId="2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Protection="1"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0" fontId="7" fillId="4" borderId="2" xfId="0" applyFont="1" applyFill="1" applyBorder="1" applyAlignment="1" applyProtection="1">
      <alignment horizontal="left" vertical="center"/>
      <protection locked="0"/>
    </xf>
    <xf numFmtId="0" fontId="9" fillId="5" borderId="3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6" fillId="13" borderId="10" xfId="0" applyFont="1" applyFill="1" applyBorder="1" applyAlignment="1" applyProtection="1">
      <alignment horizontal="center" vertical="center"/>
      <protection locked="0"/>
    </xf>
    <xf numFmtId="0" fontId="26" fillId="13" borderId="8" xfId="0" applyFont="1" applyFill="1" applyBorder="1" applyAlignment="1" applyProtection="1">
      <alignment horizontal="center" vertical="center"/>
      <protection locked="0"/>
    </xf>
    <xf numFmtId="0" fontId="26" fillId="13" borderId="9" xfId="0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22" fillId="11" borderId="0" xfId="1" applyFont="1" applyFill="1" applyAlignment="1" applyProtection="1">
      <alignment horizontal="left" vertical="center"/>
      <protection locked="0"/>
    </xf>
    <xf numFmtId="1" fontId="22" fillId="11" borderId="0" xfId="1" applyNumberFormat="1" applyFont="1" applyFill="1" applyAlignment="1" applyProtection="1">
      <alignment horizontal="center" vertical="center"/>
      <protection locked="0"/>
    </xf>
    <xf numFmtId="0" fontId="21" fillId="10" borderId="0" xfId="1" applyFont="1" applyFill="1" applyAlignment="1" applyProtection="1">
      <alignment horizontal="left" vertical="center"/>
      <protection locked="0"/>
    </xf>
    <xf numFmtId="1" fontId="21" fillId="10" borderId="0" xfId="1" applyNumberFormat="1" applyFont="1" applyFill="1" applyAlignment="1" applyProtection="1">
      <alignment horizontal="center" vertical="center"/>
      <protection locked="0"/>
    </xf>
    <xf numFmtId="0" fontId="23" fillId="12" borderId="0" xfId="1" applyFont="1" applyFill="1" applyAlignment="1" applyProtection="1">
      <alignment horizontal="left" vertical="center"/>
      <protection locked="0"/>
    </xf>
    <xf numFmtId="1" fontId="23" fillId="12" borderId="0" xfId="1" applyNumberFormat="1" applyFont="1" applyFill="1" applyAlignment="1" applyProtection="1">
      <alignment horizontal="center" vertical="center"/>
      <protection locked="0"/>
    </xf>
    <xf numFmtId="0" fontId="24" fillId="2" borderId="0" xfId="1" applyFont="1" applyFill="1" applyAlignment="1" applyProtection="1">
      <alignment horizontal="left" vertical="center"/>
      <protection locked="0"/>
    </xf>
    <xf numFmtId="1" fontId="24" fillId="2" borderId="0" xfId="1" applyNumberFormat="1" applyFont="1" applyFill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8" fillId="3" borderId="0" xfId="0" applyFont="1" applyFill="1" applyAlignment="1">
      <alignment vertical="top"/>
    </xf>
    <xf numFmtId="0" fontId="4" fillId="3" borderId="0" xfId="0" applyFont="1" applyFill="1" applyAlignment="1">
      <alignment vertical="top"/>
    </xf>
    <xf numFmtId="0" fontId="29" fillId="3" borderId="0" xfId="0" applyFont="1" applyFill="1"/>
    <xf numFmtId="0" fontId="0" fillId="3" borderId="0" xfId="0" applyFill="1"/>
    <xf numFmtId="0" fontId="31" fillId="3" borderId="0" xfId="0" applyFont="1" applyFill="1" applyAlignment="1">
      <alignment vertical="center"/>
    </xf>
    <xf numFmtId="0" fontId="3" fillId="3" borderId="0" xfId="0" applyFont="1" applyFill="1" applyAlignment="1">
      <alignment vertical="center" wrapText="1"/>
    </xf>
    <xf numFmtId="0" fontId="3" fillId="3" borderId="0" xfId="0" applyFont="1" applyFill="1" applyAlignment="1">
      <alignment horizontal="left" vertical="top"/>
    </xf>
    <xf numFmtId="0" fontId="3" fillId="3" borderId="0" xfId="0" applyFont="1" applyFill="1" applyAlignment="1">
      <alignment vertical="center"/>
    </xf>
    <xf numFmtId="0" fontId="33" fillId="9" borderId="12" xfId="0" applyFont="1" applyFill="1" applyBorder="1" applyAlignment="1">
      <alignment vertical="center" wrapText="1"/>
    </xf>
    <xf numFmtId="0" fontId="33" fillId="9" borderId="13" xfId="0" applyFont="1" applyFill="1" applyBorder="1" applyAlignment="1">
      <alignment vertical="center" wrapText="1"/>
    </xf>
    <xf numFmtId="0" fontId="30" fillId="3" borderId="0" xfId="0" applyFont="1" applyFill="1" applyAlignment="1">
      <alignment vertical="center"/>
    </xf>
    <xf numFmtId="0" fontId="3" fillId="3" borderId="0" xfId="0" applyFont="1" applyFill="1" applyAlignment="1">
      <alignment vertical="top" wrapText="1"/>
    </xf>
    <xf numFmtId="0" fontId="10" fillId="5" borderId="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5" fillId="0" borderId="0" xfId="0" applyFont="1" applyAlignment="1" applyProtection="1">
      <alignment vertical="center" wrapText="1"/>
      <protection locked="0"/>
    </xf>
    <xf numFmtId="164" fontId="25" fillId="0" borderId="0" xfId="0" applyNumberFormat="1" applyFont="1" applyAlignment="1" applyProtection="1">
      <alignment horizontal="center" vertical="center"/>
      <protection locked="0"/>
    </xf>
    <xf numFmtId="164" fontId="25" fillId="0" borderId="0" xfId="0" applyNumberFormat="1" applyFont="1" applyAlignment="1">
      <alignment horizontal="center" vertical="center"/>
    </xf>
    <xf numFmtId="0" fontId="26" fillId="13" borderId="14" xfId="0" applyFont="1" applyFill="1" applyBorder="1" applyAlignment="1">
      <alignment horizontal="center" vertical="center"/>
    </xf>
    <xf numFmtId="0" fontId="0" fillId="15" borderId="0" xfId="0" applyFill="1" applyAlignment="1">
      <alignment horizontal="center"/>
    </xf>
    <xf numFmtId="0" fontId="9" fillId="15" borderId="3" xfId="0" applyFont="1" applyFill="1" applyBorder="1" applyAlignment="1">
      <alignment horizontal="center" vertical="center"/>
    </xf>
    <xf numFmtId="0" fontId="0" fillId="15" borderId="0" xfId="0" applyFill="1"/>
    <xf numFmtId="14" fontId="16" fillId="2" borderId="0" xfId="0" applyNumberFormat="1" applyFont="1" applyFill="1" applyAlignment="1" applyProtection="1">
      <alignment vertical="center"/>
      <protection locked="0"/>
    </xf>
    <xf numFmtId="0" fontId="0" fillId="16" borderId="0" xfId="0" applyFill="1" applyProtection="1">
      <protection locked="0"/>
    </xf>
    <xf numFmtId="0" fontId="10" fillId="16" borderId="3" xfId="0" applyFont="1" applyFill="1" applyBorder="1" applyAlignment="1" applyProtection="1">
      <alignment vertical="center"/>
      <protection locked="0"/>
    </xf>
    <xf numFmtId="14" fontId="16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ill="1" applyAlignment="1" applyProtection="1">
      <alignment horizontal="center" vertical="center"/>
      <protection locked="0"/>
    </xf>
    <xf numFmtId="0" fontId="25" fillId="16" borderId="0" xfId="0" applyFont="1" applyFill="1" applyAlignment="1">
      <alignment horizontal="center" vertical="center"/>
    </xf>
    <xf numFmtId="0" fontId="0" fillId="16" borderId="0" xfId="0" applyFill="1" applyAlignment="1" applyProtection="1">
      <alignment vertical="center"/>
      <protection locked="0"/>
    </xf>
    <xf numFmtId="0" fontId="14" fillId="16" borderId="0" xfId="0" applyFont="1" applyFill="1" applyAlignment="1" applyProtection="1">
      <alignment vertical="center"/>
      <protection locked="0"/>
    </xf>
    <xf numFmtId="0" fontId="37" fillId="17" borderId="0" xfId="0" applyFont="1" applyFill="1" applyAlignment="1" applyProtection="1">
      <alignment horizontal="center" vertical="center"/>
      <protection locked="0"/>
    </xf>
    <xf numFmtId="14" fontId="7" fillId="4" borderId="1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>
      <alignment horizontal="center" vertical="center"/>
    </xf>
    <xf numFmtId="0" fontId="39" fillId="5" borderId="3" xfId="0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horizontal="left" vertical="center" indent="1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0" borderId="0" xfId="0" applyAlignment="1">
      <alignment vertical="center"/>
    </xf>
    <xf numFmtId="0" fontId="22" fillId="18" borderId="15" xfId="0" applyFont="1" applyFill="1" applyBorder="1" applyAlignment="1" applyProtection="1">
      <alignment horizontal="center" vertical="center"/>
      <protection locked="0"/>
    </xf>
    <xf numFmtId="0" fontId="41" fillId="2" borderId="15" xfId="0" applyFont="1" applyFill="1" applyBorder="1" applyAlignment="1" applyProtection="1">
      <alignment horizontal="center" vertical="center"/>
      <protection locked="0"/>
    </xf>
    <xf numFmtId="0" fontId="21" fillId="19" borderId="0" xfId="1" applyFont="1" applyFill="1" applyAlignment="1" applyProtection="1">
      <alignment horizontal="center" vertical="center"/>
      <protection locked="0"/>
    </xf>
    <xf numFmtId="0" fontId="42" fillId="20" borderId="0" xfId="1" applyFont="1" applyFill="1" applyAlignment="1" applyProtection="1">
      <alignment horizontal="center" vertical="center"/>
      <protection locked="0"/>
    </xf>
    <xf numFmtId="0" fontId="26" fillId="13" borderId="17" xfId="0" applyFont="1" applyFill="1" applyBorder="1" applyAlignment="1">
      <alignment horizontal="center" vertical="center"/>
    </xf>
    <xf numFmtId="0" fontId="26" fillId="13" borderId="18" xfId="0" applyFont="1" applyFill="1" applyBorder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15" fillId="15" borderId="0" xfId="0" applyFont="1" applyFill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34" fillId="14" borderId="11" xfId="0" applyFont="1" applyFill="1" applyBorder="1" applyAlignment="1">
      <alignment horizontal="left" vertical="center" wrapText="1"/>
    </xf>
    <xf numFmtId="0" fontId="34" fillId="14" borderId="12" xfId="0" applyFont="1" applyFill="1" applyBorder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35" fillId="9" borderId="11" xfId="0" applyFont="1" applyFill="1" applyBorder="1" applyAlignment="1">
      <alignment horizontal="left" vertical="center" wrapText="1"/>
    </xf>
    <xf numFmtId="0" fontId="35" fillId="9" borderId="12" xfId="0" applyFont="1" applyFill="1" applyBorder="1" applyAlignment="1">
      <alignment horizontal="left" vertical="center" wrapText="1"/>
    </xf>
    <xf numFmtId="0" fontId="3" fillId="3" borderId="0" xfId="0" applyFont="1" applyFill="1" applyAlignment="1">
      <alignment horizontal="left" vertical="top" wrapText="1"/>
    </xf>
    <xf numFmtId="0" fontId="4" fillId="3" borderId="0" xfId="0" applyFont="1" applyFill="1" applyAlignment="1">
      <alignment horizontal="left" wrapText="1"/>
    </xf>
    <xf numFmtId="0" fontId="19" fillId="8" borderId="6" xfId="0" applyFont="1" applyFill="1" applyBorder="1" applyAlignment="1" applyProtection="1">
      <alignment horizontal="center" vertical="center" wrapText="1"/>
      <protection locked="0"/>
    </xf>
    <xf numFmtId="0" fontId="19" fillId="8" borderId="7" xfId="0" applyFont="1" applyFill="1" applyBorder="1" applyAlignment="1" applyProtection="1">
      <alignment horizontal="center" vertical="center" wrapText="1"/>
      <protection locked="0"/>
    </xf>
    <xf numFmtId="14" fontId="16" fillId="2" borderId="16" xfId="0" applyNumberFormat="1" applyFont="1" applyFill="1" applyBorder="1" applyAlignment="1" applyProtection="1">
      <alignment horizontal="center" vertical="center"/>
      <protection locked="0"/>
    </xf>
    <xf numFmtId="14" fontId="16" fillId="2" borderId="0" xfId="0" applyNumberFormat="1" applyFont="1" applyFill="1" applyAlignment="1" applyProtection="1">
      <alignment horizontal="center" vertical="center"/>
      <protection locked="0"/>
    </xf>
  </cellXfs>
  <cellStyles count="2">
    <cellStyle name="Normal" xfId="0" builtinId="0"/>
    <cellStyle name="Normal 3" xfId="1" xr:uid="{05CF4CDA-FECD-4F1F-8C6A-EFAAFB69A22D}"/>
  </cellStyles>
  <dxfs count="82">
    <dxf>
      <font>
        <b/>
        <i val="0"/>
        <color rgb="FF009A46"/>
      </font>
      <fill>
        <patternFill patternType="solid">
          <fgColor indexed="64"/>
          <bgColor theme="9" tint="0.79998168889431442"/>
        </patternFill>
      </fill>
    </dxf>
    <dxf>
      <font>
        <b/>
        <i val="0"/>
        <color rgb="FF00D661"/>
      </font>
      <fill>
        <patternFill>
          <fgColor indexed="64"/>
          <bgColor rgb="FFF2F9EB"/>
        </patternFill>
      </fill>
    </dxf>
    <dxf>
      <font>
        <b/>
        <i val="0"/>
        <color theme="5"/>
      </font>
      <fill>
        <patternFill>
          <fgColor indexed="64"/>
          <bgColor rgb="FFFEF5F0"/>
        </patternFill>
      </fill>
    </dxf>
    <dxf>
      <font>
        <b/>
        <i val="0"/>
        <color rgb="FFFF0000"/>
      </font>
      <fill>
        <patternFill>
          <fgColor indexed="64"/>
          <bgColor rgb="FFFFD9D9"/>
        </patternFill>
      </fill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darkDown">
          <fgColor theme="1"/>
          <bgColor theme="0" tint="-0.2499465926084170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b/>
        <i val="0"/>
        <color theme="4"/>
      </font>
      <fill>
        <patternFill patternType="solid">
          <fgColor indexed="64"/>
          <bgColor theme="8" tint="0.79998168889431442"/>
        </patternFill>
      </fill>
    </dxf>
    <dxf>
      <font>
        <b/>
        <i val="0"/>
        <color theme="5"/>
      </font>
      <fill>
        <patternFill patternType="solid">
          <fgColor indexed="64"/>
          <bgColor theme="5" tint="0.79998168889431442"/>
        </patternFill>
      </fill>
    </dxf>
    <dxf>
      <font>
        <b/>
        <i val="0"/>
        <color rgb="FFFF0000"/>
      </font>
      <fill>
        <patternFill patternType="solid">
          <fgColor indexed="64"/>
          <bgColor theme="5" tint="0.59999389629810485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9" tint="-0.24994659260841701"/>
        </left>
        <right/>
        <top/>
        <bottom/>
        <vertical/>
        <horizontal/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lightDown">
          <fgColor theme="1"/>
          <bgColor theme="2" tint="-0.24994659260841701"/>
        </patternFill>
      </fill>
      <alignment horizontal="center" vertical="center" textRotation="0" wrapText="0" indent="0" justifyLastLine="0" shrinkToFit="0" readingOrder="0"/>
      <protection locked="1" hidden="0"/>
    </dxf>
    <dxf>
      <alignment vertical="center" textRotation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color rgb="FF009A46"/>
      </font>
      <fill>
        <patternFill patternType="solid">
          <fgColor indexed="64"/>
          <bgColor theme="9" tint="0.79998168889431442"/>
        </patternFill>
      </fill>
    </dxf>
    <dxf>
      <font>
        <b/>
        <i val="0"/>
        <color rgb="FF00D661"/>
      </font>
      <fill>
        <patternFill>
          <fgColor indexed="64"/>
          <bgColor rgb="FFF2F9EB"/>
        </patternFill>
      </fill>
    </dxf>
    <dxf>
      <font>
        <b/>
        <i val="0"/>
        <color theme="5"/>
      </font>
      <fill>
        <patternFill>
          <fgColor indexed="64"/>
          <bgColor rgb="FFFEF5F0"/>
        </patternFill>
      </fill>
    </dxf>
    <dxf>
      <font>
        <b/>
        <i val="0"/>
        <color rgb="FFFF0000"/>
      </font>
      <fill>
        <patternFill>
          <fgColor indexed="64"/>
          <bgColor rgb="FFFF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darkDown">
          <fgColor theme="1"/>
          <bgColor theme="0" tint="-0.2499465926084170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darkDown">
          <fgColor theme="1"/>
          <bgColor theme="0" tint="-0.2499465926084170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darkDown">
          <fgColor theme="1"/>
          <bgColor theme="0" tint="-0.2499465926084170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darkDown">
          <fgColor theme="1"/>
          <bgColor theme="0" tint="-0.2499465926084170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b/>
        <i val="0"/>
        <color theme="4"/>
      </font>
      <fill>
        <patternFill patternType="solid">
          <fgColor indexed="64"/>
          <bgColor theme="8" tint="0.79998168889431442"/>
        </patternFill>
      </fill>
    </dxf>
    <dxf>
      <font>
        <b/>
        <i val="0"/>
        <color theme="5"/>
      </font>
      <fill>
        <patternFill patternType="solid">
          <fgColor indexed="64"/>
          <bgColor theme="5" tint="0.79998168889431442"/>
        </patternFill>
      </fill>
    </dxf>
    <dxf>
      <font>
        <b/>
        <i val="0"/>
        <color rgb="FFFF0000"/>
      </font>
      <fill>
        <patternFill patternType="solid">
          <fgColor indexed="64"/>
          <bgColor theme="5" tint="0.59999389629810485"/>
        </patternFill>
      </fill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i val="0"/>
        <color rgb="FF2C6646"/>
      </font>
      <fill>
        <patternFill patternType="solid">
          <fgColor rgb="FFB9E1CB"/>
          <bgColor rgb="FFB9E1CB"/>
        </patternFill>
      </fill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</dxfs>
  <tableStyles count="1" defaultTableStyle="TableStyleMedium2" defaultPivotStyle="PivotStyleLight16">
    <tableStyle name="TabFaisabilite" pivot="0" count="9" xr9:uid="{F0F2C6B9-C6FA-44C0-8A8B-734D2E307602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secondRowStripe" dxfId="75"/>
      <tableStyleElement type="firstColumnStripe" dxfId="74"/>
      <tableStyleElement type="secondColumnStripe" dxfId="73"/>
    </tableStyle>
  </tableStyles>
  <colors>
    <mruColors>
      <color rgb="FF00DE64"/>
      <color rgb="FF00D661"/>
      <color rgb="FFF2F9EB"/>
      <color rgb="FFFDFEFC"/>
      <color rgb="FFFEF5F0"/>
      <color rgb="FF009A46"/>
      <color rgb="FFF4F9F1"/>
      <color rgb="FFCCFFCC"/>
      <color rgb="FFFEF8F4"/>
      <color rgb="FFFF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025501879832581E-3"/>
          <c:y val="5.5555555555555552E-2"/>
          <c:w val="0.9411657559198543"/>
          <c:h val="0.9166666666666666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Paramétrage!$D$11</c:f>
              <c:strCache>
                <c:ptCount val="1"/>
                <c:pt idx="0">
                  <c:v>NON SATISFAISANTE</c:v>
                </c:pt>
              </c:strCache>
            </c:strRef>
          </c:tx>
          <c:spPr>
            <a:gradFill flip="none" rotWithShape="1">
              <a:gsLst>
                <a:gs pos="0">
                  <a:srgbClr val="FF0000">
                    <a:alpha val="15000"/>
                    <a:lumMod val="90000"/>
                    <a:lumOff val="10000"/>
                  </a:srgbClr>
                </a:gs>
                <a:gs pos="100000">
                  <a:srgbClr val="FF0000">
                    <a:alpha val="425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Paramétrage!$G$11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41-4338-8351-AFC77E3665EB}"/>
            </c:ext>
          </c:extLst>
        </c:ser>
        <c:ser>
          <c:idx val="1"/>
          <c:order val="1"/>
          <c:tx>
            <c:strRef>
              <c:f>Paramétrage!$D$12</c:f>
              <c:strCache>
                <c:ptCount val="1"/>
                <c:pt idx="0">
                  <c:v>PEU SATISFAISANTE</c:v>
                </c:pt>
              </c:strCache>
            </c:strRef>
          </c:tx>
          <c:spPr>
            <a:gradFill flip="none" rotWithShape="1">
              <a:gsLst>
                <a:gs pos="0">
                  <a:srgbClr val="ED7D31">
                    <a:alpha val="15000"/>
                    <a:lumMod val="90000"/>
                    <a:lumOff val="10000"/>
                  </a:srgbClr>
                </a:gs>
                <a:gs pos="100000">
                  <a:srgbClr val="ED7D31">
                    <a:alpha val="4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Paramétrage!$G$12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41-4338-8351-AFC77E3665EB}"/>
            </c:ext>
          </c:extLst>
        </c:ser>
        <c:ser>
          <c:idx val="2"/>
          <c:order val="2"/>
          <c:tx>
            <c:strRef>
              <c:f>Paramétrage!$D$13</c:f>
              <c:strCache>
                <c:ptCount val="1"/>
                <c:pt idx="0">
                  <c:v>SATISFAISANTE</c:v>
                </c:pt>
              </c:strCache>
            </c:strRef>
          </c:tx>
          <c:spPr>
            <a:gradFill flip="none" rotWithShape="1">
              <a:gsLst>
                <a:gs pos="0">
                  <a:srgbClr val="00D661">
                    <a:alpha val="15000"/>
                    <a:lumMod val="90000"/>
                    <a:lumOff val="10000"/>
                  </a:srgbClr>
                </a:gs>
                <a:gs pos="100000">
                  <a:srgbClr val="00D661">
                    <a:alpha val="475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Paramétrage!$G$13</c:f>
              <c:numCache>
                <c:formatCode>General</c:formatCode>
                <c:ptCount val="1"/>
                <c:pt idx="0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41-4338-8351-AFC77E3665EB}"/>
            </c:ext>
          </c:extLst>
        </c:ser>
        <c:ser>
          <c:idx val="3"/>
          <c:order val="3"/>
          <c:tx>
            <c:strRef>
              <c:f>Paramétrage!$D$14</c:f>
              <c:strCache>
                <c:ptCount val="1"/>
                <c:pt idx="0">
                  <c:v>TRÈS SATISFAISANTE</c:v>
                </c:pt>
              </c:strCache>
            </c:strRef>
          </c:tx>
          <c:spPr>
            <a:gradFill flip="none" rotWithShape="1">
              <a:gsLst>
                <a:gs pos="0">
                  <a:srgbClr val="009A46">
                    <a:alpha val="15000"/>
                    <a:lumMod val="90000"/>
                    <a:lumOff val="10000"/>
                  </a:srgbClr>
                </a:gs>
                <a:gs pos="100000">
                  <a:srgbClr val="009A46">
                    <a:alpha val="50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Paramétrage!$G$14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41-4338-8351-AFC77E366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97222112"/>
        <c:axId val="1241994832"/>
      </c:barChart>
      <c:catAx>
        <c:axId val="7972221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41994832"/>
        <c:crosses val="autoZero"/>
        <c:auto val="1"/>
        <c:lblAlgn val="ctr"/>
        <c:lblOffset val="100"/>
        <c:noMultiLvlLbl val="0"/>
      </c:catAx>
      <c:valAx>
        <c:axId val="1241994832"/>
        <c:scaling>
          <c:orientation val="minMax"/>
          <c:max val="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722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6695248898972"/>
          <c:y val="0.17714823690516945"/>
          <c:w val="0.72633789197402965"/>
          <c:h val="0.8157985686571787"/>
        </c:manualLayout>
      </c:layout>
      <c:barChart>
        <c:barDir val="bar"/>
        <c:grouping val="clustered"/>
        <c:varyColors val="0"/>
        <c:ser>
          <c:idx val="0"/>
          <c:order val="0"/>
          <c:tx>
            <c:v>General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rgbClr val="009A46">
                      <a:lumMod val="75000"/>
                      <a:lumOff val="25000"/>
                    </a:srgbClr>
                  </a:gs>
                  <a:gs pos="100000">
                    <a:srgbClr val="009A46"/>
                  </a:gs>
                </a:gsLst>
                <a:lin ang="54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D274-4AF3-B45F-75ECC643438B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rgbClr val="ED7D31">
                      <a:lumMod val="75000"/>
                      <a:lumOff val="25000"/>
                    </a:srgbClr>
                  </a:gs>
                  <a:gs pos="100000">
                    <a:srgbClr val="ED7D31"/>
                  </a:gs>
                </a:gsLst>
                <a:lin ang="54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274-4AF3-B45F-75ECC643438B}"/>
              </c:ext>
            </c:extLst>
          </c:dPt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rgbClr val="00D661">
                      <a:lumMod val="75000"/>
                      <a:lumOff val="25000"/>
                    </a:srgbClr>
                  </a:gs>
                  <a:gs pos="100000">
                    <a:srgbClr val="00D661"/>
                  </a:gs>
                </a:gsLst>
                <a:lin ang="54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74-4AF3-B45F-75ECC643438B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rgbClr val="ED7D31">
                      <a:lumMod val="75000"/>
                      <a:lumOff val="25000"/>
                    </a:srgbClr>
                  </a:gs>
                  <a:gs pos="100000">
                    <a:srgbClr val="ED7D31"/>
                  </a:gs>
                </a:gsLst>
                <a:lin ang="54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74-4AF3-B45F-75ECC643438B}"/>
              </c:ext>
            </c:extLst>
          </c:dPt>
          <c:cat>
            <c:strRef>
              <c:f>Dashboard!$D$22:$D$25</c:f>
              <c:strCache>
                <c:ptCount val="4"/>
                <c:pt idx="0">
                  <c:v>La faisabilité commerciale </c:v>
                </c:pt>
                <c:pt idx="1">
                  <c:v>La faisabilité technique </c:v>
                </c:pt>
                <c:pt idx="2">
                  <c:v>La faisabilité financière </c:v>
                </c:pt>
                <c:pt idx="3">
                  <c:v>La faisabilité économique et sociale </c:v>
                </c:pt>
              </c:strCache>
            </c:strRef>
          </c:cat>
          <c:val>
            <c:numRef>
              <c:f>Dashboard!$F$22:$F$25</c:f>
              <c:numCache>
                <c:formatCode>0.00</c:formatCode>
                <c:ptCount val="4"/>
                <c:pt idx="0">
                  <c:v>3.7</c:v>
                </c:pt>
                <c:pt idx="1">
                  <c:v>2.1333333333333333</c:v>
                </c:pt>
                <c:pt idx="2">
                  <c:v>3.3333333333333335</c:v>
                </c:pt>
                <c:pt idx="3">
                  <c:v>2.6153846153846154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74-4AF3-B45F-75ECC6434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"/>
        <c:axId val="1101168192"/>
        <c:axId val="611509056"/>
      </c:barChart>
      <c:catAx>
        <c:axId val="1101168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509056"/>
        <c:crosses val="autoZero"/>
        <c:auto val="1"/>
        <c:lblAlgn val="ctr"/>
        <c:lblOffset val="100"/>
        <c:noMultiLvlLbl val="0"/>
      </c:catAx>
      <c:valAx>
        <c:axId val="611509056"/>
        <c:scaling>
          <c:orientation val="minMax"/>
          <c:max val="4"/>
          <c:min val="0"/>
        </c:scaling>
        <c:delete val="1"/>
        <c:axPos val="b"/>
        <c:numFmt formatCode="0.00" sourceLinked="1"/>
        <c:majorTickMark val="out"/>
        <c:minorTickMark val="none"/>
        <c:tickLblPos val="nextTo"/>
        <c:crossAx val="110116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" dropStyle="combo" dx="26" fmlaLink="$L$6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hyperlink" Target="https://learn.microsoft.com/fr-fr/deployoffice/security/internet-macros-blocked" TargetMode="External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hyperlink" Target="https://blog-gestion-de-projet.com/docs/kit-management-projet/avant-projet/etude-de-faisabilite/" TargetMode="External"/><Relationship Id="rId5" Type="http://schemas.openxmlformats.org/officeDocument/2006/relationships/image" Target="../media/image22.svg"/><Relationship Id="rId4" Type="http://schemas.openxmlformats.org/officeDocument/2006/relationships/image" Target="../media/image2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hyperlink" Target="https://blog-gestion-de-projet.com/docs/kit-management-projet/avant-projet/etude-de-faisabilite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svg"/><Relationship Id="rId2" Type="http://schemas.openxmlformats.org/officeDocument/2006/relationships/image" Target="../media/image23.png"/><Relationship Id="rId1" Type="http://schemas.openxmlformats.org/officeDocument/2006/relationships/image" Target="../media/image1.png"/><Relationship Id="rId6" Type="http://schemas.openxmlformats.org/officeDocument/2006/relationships/hyperlink" Target="https://blog-gestion-de-projet.com/docs/kit-management-projet/avant-projet/etude-de-faisabilite/" TargetMode="External"/><Relationship Id="rId5" Type="http://schemas.openxmlformats.org/officeDocument/2006/relationships/image" Target="../media/image26.svg"/><Relationship Id="rId4" Type="http://schemas.openxmlformats.org/officeDocument/2006/relationships/image" Target="../media/image2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4" Type="http://schemas.openxmlformats.org/officeDocument/2006/relationships/image" Target="../media/image2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2</xdr:col>
      <xdr:colOff>1607820</xdr:colOff>
      <xdr:row>4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40030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3141345</xdr:colOff>
      <xdr:row>5</xdr:row>
      <xdr:rowOff>57150</xdr:rowOff>
    </xdr:from>
    <xdr:to>
      <xdr:col>4</xdr:col>
      <xdr:colOff>1317810</xdr:colOff>
      <xdr:row>5</xdr:row>
      <xdr:rowOff>325580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4122420" y="800100"/>
          <a:ext cx="5424990" cy="268430"/>
          <a:chOff x="3984432" y="853807"/>
          <a:chExt cx="6647866" cy="255176"/>
        </a:xfrm>
      </xdr:grpSpPr>
      <xdr:sp macro="[0]!NavBar" textlink="">
        <xdr:nvSpPr>
          <xdr:cNvPr id="7" name="BtnGuide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984432" y="853807"/>
            <a:ext cx="1442338" cy="252000"/>
          </a:xfrm>
          <a:prstGeom prst="roundRect">
            <a:avLst/>
          </a:prstGeom>
          <a:solidFill>
            <a:srgbClr val="F4792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8" name="BtnMatric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469729" y="856983"/>
            <a:ext cx="1655949" cy="252000"/>
          </a:xfrm>
          <a:prstGeom prst="roundRect">
            <a:avLst/>
          </a:prstGeom>
          <a:solidFill>
            <a:srgbClr val="0082B3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Matrice</a:t>
            </a:r>
          </a:p>
        </xdr:txBody>
      </xdr:sp>
      <xdr:sp macro="[0]!NavBar" textlink="">
        <xdr:nvSpPr>
          <xdr:cNvPr id="9" name="BtnDashboard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7192228" y="854080"/>
            <a:ext cx="1866555" cy="252000"/>
          </a:xfrm>
          <a:prstGeom prst="roundRect">
            <a:avLst/>
          </a:prstGeom>
          <a:solidFill>
            <a:srgbClr val="C0000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Dashboard</a:t>
            </a:r>
          </a:p>
        </xdr:txBody>
      </xdr:sp>
      <xdr:sp macro="[0]!NavBar" textlink="">
        <xdr:nvSpPr>
          <xdr:cNvPr id="10" name="BtnSettings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125498" y="855200"/>
            <a:ext cx="1506800" cy="252000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</xdr:grpSp>
    <xdr:clientData/>
  </xdr:twoCellAnchor>
  <xdr:twoCellAnchor editAs="oneCell">
    <xdr:from>
      <xdr:col>1</xdr:col>
      <xdr:colOff>0</xdr:colOff>
      <xdr:row>9</xdr:row>
      <xdr:rowOff>124391</xdr:rowOff>
    </xdr:from>
    <xdr:to>
      <xdr:col>4</xdr:col>
      <xdr:colOff>285750</xdr:colOff>
      <xdr:row>20</xdr:row>
      <xdr:rowOff>172842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3360" y="1869371"/>
          <a:ext cx="8534400" cy="2286826"/>
        </a:xfrm>
        <a:prstGeom prst="rect">
          <a:avLst/>
        </a:prstGeom>
      </xdr:spPr>
    </xdr:pic>
    <xdr:clientData/>
  </xdr:twoCellAnchor>
  <xdr:twoCellAnchor>
    <xdr:from>
      <xdr:col>12</xdr:col>
      <xdr:colOff>448156</xdr:colOff>
      <xdr:row>23</xdr:row>
      <xdr:rowOff>215538</xdr:rowOff>
    </xdr:from>
    <xdr:to>
      <xdr:col>13</xdr:col>
      <xdr:colOff>882412</xdr:colOff>
      <xdr:row>23</xdr:row>
      <xdr:rowOff>449749</xdr:rowOff>
    </xdr:to>
    <xdr:sp macro="" textlink="">
      <xdr:nvSpPr>
        <xdr:cNvPr id="12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914101" y="4459878"/>
          <a:ext cx="1828716" cy="236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</a:t>
          </a:r>
        </a:p>
      </xdr:txBody>
    </xdr:sp>
    <xdr:clientData/>
  </xdr:twoCellAnchor>
  <xdr:twoCellAnchor editAs="oneCell">
    <xdr:from>
      <xdr:col>1</xdr:col>
      <xdr:colOff>22860</xdr:colOff>
      <xdr:row>24</xdr:row>
      <xdr:rowOff>99060</xdr:rowOff>
    </xdr:from>
    <xdr:to>
      <xdr:col>3</xdr:col>
      <xdr:colOff>515579</xdr:colOff>
      <xdr:row>27</xdr:row>
      <xdr:rowOff>168603</xdr:rowOff>
    </xdr:to>
    <xdr:pic>
      <xdr:nvPicPr>
        <xdr:cNvPr id="13" name="Image 5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2132"/>
        <a:stretch/>
      </xdr:blipFill>
      <xdr:spPr>
        <a:xfrm>
          <a:off x="180975" y="4848225"/>
          <a:ext cx="6706829" cy="667713"/>
        </a:xfrm>
        <a:prstGeom prst="rect">
          <a:avLst/>
        </a:prstGeom>
      </xdr:spPr>
    </xdr:pic>
    <xdr:clientData/>
  </xdr:twoCellAnchor>
  <xdr:twoCellAnchor>
    <xdr:from>
      <xdr:col>1</xdr:col>
      <xdr:colOff>47625</xdr:colOff>
      <xdr:row>33</xdr:row>
      <xdr:rowOff>36526</xdr:rowOff>
    </xdr:from>
    <xdr:to>
      <xdr:col>3</xdr:col>
      <xdr:colOff>1495872</xdr:colOff>
      <xdr:row>41</xdr:row>
      <xdr:rowOff>152076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257175" y="7046926"/>
          <a:ext cx="7487097" cy="1715750"/>
          <a:chOff x="259080" y="6483046"/>
          <a:chExt cx="7658547" cy="1700510"/>
        </a:xfrm>
      </xdr:grpSpPr>
      <xdr:pic>
        <xdr:nvPicPr>
          <xdr:cNvPr id="14" name="Imag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59080" y="6483046"/>
            <a:ext cx="7658547" cy="1700510"/>
          </a:xfrm>
          <a:prstGeom prst="rect">
            <a:avLst/>
          </a:prstGeom>
        </xdr:spPr>
      </xdr:pic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700" y="6995160"/>
            <a:ext cx="4160520" cy="117348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7620</xdr:colOff>
      <xdr:row>45</xdr:row>
      <xdr:rowOff>36608</xdr:rowOff>
    </xdr:from>
    <xdr:to>
      <xdr:col>3</xdr:col>
      <xdr:colOff>1532071</xdr:colOff>
      <xdr:row>56</xdr:row>
      <xdr:rowOff>49118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217170" y="9485408"/>
          <a:ext cx="7563301" cy="2212785"/>
          <a:chOff x="198120" y="8555768"/>
          <a:chExt cx="7734751" cy="2191830"/>
        </a:xfrm>
      </xdr:grpSpPr>
      <xdr:pic>
        <xdr:nvPicPr>
          <xdr:cNvPr id="17" name="Imag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98120" y="8555768"/>
            <a:ext cx="7734751" cy="2191830"/>
          </a:xfrm>
          <a:prstGeom prst="rect">
            <a:avLst/>
          </a:prstGeom>
        </xdr:spPr>
      </xdr:pic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43840" y="8641080"/>
            <a:ext cx="243840" cy="1828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43840" y="10469880"/>
            <a:ext cx="4213860" cy="2438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20955</xdr:colOff>
      <xdr:row>58</xdr:row>
      <xdr:rowOff>94744</xdr:rowOff>
    </xdr:from>
    <xdr:to>
      <xdr:col>3</xdr:col>
      <xdr:colOff>1615892</xdr:colOff>
      <xdr:row>67</xdr:row>
      <xdr:rowOff>1592</xdr:rowOff>
    </xdr:to>
    <xdr:grpSp>
      <xdr:nvGrpSpPr>
        <xdr:cNvPr id="25" name="Group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230505" y="12143869"/>
          <a:ext cx="7633787" cy="1707073"/>
          <a:chOff x="243840" y="11158984"/>
          <a:chExt cx="7786187" cy="1678498"/>
        </a:xfrm>
      </xdr:grpSpPr>
      <xdr:grpSp>
        <xdr:nvGrpSpPr>
          <xdr:cNvPr id="23" name="Group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243840" y="11158984"/>
            <a:ext cx="7786187" cy="1678498"/>
            <a:chOff x="243840" y="11158984"/>
            <a:chExt cx="7786187" cy="1678498"/>
          </a:xfrm>
        </xdr:grpSpPr>
        <xdr:pic>
          <xdr:nvPicPr>
            <xdr:cNvPr id="21" name="Imag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243840" y="11158984"/>
              <a:ext cx="7786187" cy="1678498"/>
            </a:xfrm>
            <a:prstGeom prst="rect">
              <a:avLst/>
            </a:prstGeom>
          </xdr:spPr>
        </xdr:pic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251460" y="11833860"/>
              <a:ext cx="4259580" cy="24384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259047" y="11182199"/>
            <a:ext cx="243364" cy="189649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7620</xdr:colOff>
      <xdr:row>93</xdr:row>
      <xdr:rowOff>35270</xdr:rowOff>
    </xdr:from>
    <xdr:to>
      <xdr:col>3</xdr:col>
      <xdr:colOff>912938</xdr:colOff>
      <xdr:row>99</xdr:row>
      <xdr:rowOff>75933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217170" y="19399595"/>
          <a:ext cx="6944168" cy="1307488"/>
          <a:chOff x="220980" y="13896050"/>
          <a:chExt cx="7115618" cy="1297963"/>
        </a:xfrm>
      </xdr:grpSpPr>
      <xdr:pic>
        <xdr:nvPicPr>
          <xdr:cNvPr id="26" name="Imag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220980" y="13896050"/>
            <a:ext cx="7115618" cy="1297963"/>
          </a:xfrm>
          <a:prstGeom prst="rect">
            <a:avLst/>
          </a:prstGeom>
        </xdr:spPr>
      </xdr:pic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4114800" y="14523720"/>
            <a:ext cx="1958340" cy="3810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0</xdr:col>
      <xdr:colOff>186871</xdr:colOff>
      <xdr:row>101</xdr:row>
      <xdr:rowOff>38100</xdr:rowOff>
    </xdr:from>
    <xdr:to>
      <xdr:col>2</xdr:col>
      <xdr:colOff>1047750</xdr:colOff>
      <xdr:row>108</xdr:row>
      <xdr:rowOff>172930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6871" y="15750540"/>
          <a:ext cx="1870529" cy="15254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114</xdr:row>
      <xdr:rowOff>20442</xdr:rowOff>
    </xdr:from>
    <xdr:to>
      <xdr:col>2</xdr:col>
      <xdr:colOff>800099</xdr:colOff>
      <xdr:row>122</xdr:row>
      <xdr:rowOff>77485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13360" y="18308442"/>
          <a:ext cx="1592579" cy="1642003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129</xdr:row>
      <xdr:rowOff>82889</xdr:rowOff>
    </xdr:from>
    <xdr:to>
      <xdr:col>3</xdr:col>
      <xdr:colOff>144781</xdr:colOff>
      <xdr:row>137</xdr:row>
      <xdr:rowOff>144780</xdr:rowOff>
    </xdr:to>
    <xdr:grpSp>
      <xdr:nvGrpSpPr>
        <xdr:cNvPr id="38" name="Group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209551" y="26952914"/>
          <a:ext cx="6183630" cy="1662091"/>
          <a:chOff x="213361" y="21578909"/>
          <a:chExt cx="6355080" cy="1646851"/>
        </a:xfrm>
      </xdr:grpSpPr>
      <xdr:grpSp>
        <xdr:nvGrpSpPr>
          <xdr:cNvPr id="36" name="Group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213361" y="21578909"/>
            <a:ext cx="6355080" cy="1646851"/>
            <a:chOff x="228601" y="21342689"/>
            <a:chExt cx="6355080" cy="1646851"/>
          </a:xfrm>
        </xdr:grpSpPr>
        <xdr:pic>
          <xdr:nvPicPr>
            <xdr:cNvPr id="34" name="Image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1"/>
            <a:srcRect b="53551"/>
            <a:stretch/>
          </xdr:blipFill>
          <xdr:spPr>
            <a:xfrm>
              <a:off x="228601" y="21342689"/>
              <a:ext cx="6355080" cy="1646851"/>
            </a:xfrm>
            <a:prstGeom prst="rect">
              <a:avLst/>
            </a:prstGeom>
          </xdr:spPr>
        </xdr:pic>
        <xdr:sp macro="" textlink="">
          <xdr:nvSpPr>
            <xdr:cNvPr id="35" name="Rectangle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/>
          </xdr:nvSpPr>
          <xdr:spPr>
            <a:xfrm>
              <a:off x="2026920" y="22250400"/>
              <a:ext cx="4488180" cy="67056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2004060" y="21884640"/>
            <a:ext cx="4526280" cy="5562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0</xdr:col>
      <xdr:colOff>205740</xdr:colOff>
      <xdr:row>140</xdr:row>
      <xdr:rowOff>35358</xdr:rowOff>
    </xdr:from>
    <xdr:to>
      <xdr:col>2</xdr:col>
      <xdr:colOff>5312013</xdr:colOff>
      <xdr:row>149</xdr:row>
      <xdr:rowOff>16846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05740" y="23710698"/>
          <a:ext cx="6108303" cy="1768378"/>
        </a:xfrm>
        <a:prstGeom prst="rect">
          <a:avLst/>
        </a:prstGeom>
      </xdr:spPr>
    </xdr:pic>
    <xdr:clientData/>
  </xdr:twoCellAnchor>
  <xdr:twoCellAnchor>
    <xdr:from>
      <xdr:col>1</xdr:col>
      <xdr:colOff>7620</xdr:colOff>
      <xdr:row>151</xdr:row>
      <xdr:rowOff>93482</xdr:rowOff>
    </xdr:from>
    <xdr:to>
      <xdr:col>2</xdr:col>
      <xdr:colOff>5271502</xdr:colOff>
      <xdr:row>160</xdr:row>
      <xdr:rowOff>60959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217170" y="31364057"/>
          <a:ext cx="6035407" cy="1767702"/>
          <a:chOff x="220980" y="25917662"/>
          <a:chExt cx="6056362" cy="1750557"/>
        </a:xfrm>
      </xdr:grpSpPr>
      <xdr:pic>
        <xdr:nvPicPr>
          <xdr:cNvPr id="40" name="Imag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20980" y="25917662"/>
            <a:ext cx="6056362" cy="1750557"/>
          </a:xfrm>
          <a:prstGeom prst="rect">
            <a:avLst/>
          </a:prstGeom>
        </xdr:spPr>
      </xdr:pic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676900" y="26327100"/>
            <a:ext cx="571500" cy="12877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274320" y="26327100"/>
            <a:ext cx="899160" cy="12877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1</xdr:col>
      <xdr:colOff>15239</xdr:colOff>
      <xdr:row>167</xdr:row>
      <xdr:rowOff>139792</xdr:rowOff>
    </xdr:from>
    <xdr:to>
      <xdr:col>2</xdr:col>
      <xdr:colOff>5313045</xdr:colOff>
      <xdr:row>178</xdr:row>
      <xdr:rowOff>39961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28599" y="29164372"/>
          <a:ext cx="6103621" cy="207948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179</xdr:row>
      <xdr:rowOff>197517</xdr:rowOff>
    </xdr:from>
    <xdr:to>
      <xdr:col>2</xdr:col>
      <xdr:colOff>5295900</xdr:colOff>
      <xdr:row>190</xdr:row>
      <xdr:rowOff>93035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3360" y="31599537"/>
          <a:ext cx="6088380" cy="2067218"/>
        </a:xfrm>
        <a:prstGeom prst="rect">
          <a:avLst/>
        </a:prstGeom>
      </xdr:spPr>
    </xdr:pic>
    <xdr:clientData/>
  </xdr:twoCellAnchor>
  <xdr:twoCellAnchor>
    <xdr:from>
      <xdr:col>0</xdr:col>
      <xdr:colOff>165316</xdr:colOff>
      <xdr:row>192</xdr:row>
      <xdr:rowOff>0</xdr:rowOff>
    </xdr:from>
    <xdr:to>
      <xdr:col>2</xdr:col>
      <xdr:colOff>5270059</xdr:colOff>
      <xdr:row>200</xdr:row>
      <xdr:rowOff>79717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165316" y="39471600"/>
          <a:ext cx="6085818" cy="1679917"/>
          <a:chOff x="249136" y="34038540"/>
          <a:chExt cx="6110583" cy="1664677"/>
        </a:xfrm>
      </xdr:grpSpPr>
      <xdr:pic>
        <xdr:nvPicPr>
          <xdr:cNvPr id="47" name="Imag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49136" y="34038540"/>
            <a:ext cx="6110583" cy="1664677"/>
          </a:xfrm>
          <a:prstGeom prst="rect">
            <a:avLst/>
          </a:prstGeom>
        </xdr:spPr>
      </xdr:pic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1920240" y="34160460"/>
            <a:ext cx="4419600" cy="2209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</xdr:col>
      <xdr:colOff>1531620</xdr:colOff>
      <xdr:row>23</xdr:row>
      <xdr:rowOff>198120</xdr:rowOff>
    </xdr:from>
    <xdr:to>
      <xdr:col>5</xdr:col>
      <xdr:colOff>462434</xdr:colOff>
      <xdr:row>23</xdr:row>
      <xdr:rowOff>420732</xdr:rowOff>
    </xdr:to>
    <xdr:sp macro="" textlink="">
      <xdr:nvSpPr>
        <xdr:cNvPr id="2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989820" y="4815840"/>
          <a:ext cx="995834" cy="222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</a:t>
          </a:r>
        </a:p>
      </xdr:txBody>
    </xdr:sp>
    <xdr:clientData/>
  </xdr:twoCellAnchor>
  <xdr:twoCellAnchor>
    <xdr:from>
      <xdr:col>1</xdr:col>
      <xdr:colOff>15241</xdr:colOff>
      <xdr:row>69</xdr:row>
      <xdr:rowOff>16312</xdr:rowOff>
    </xdr:from>
    <xdr:to>
      <xdr:col>3</xdr:col>
      <xdr:colOff>1741508</xdr:colOff>
      <xdr:row>89</xdr:row>
      <xdr:rowOff>15240</xdr:rowOff>
    </xdr:to>
    <xdr:grpSp>
      <xdr:nvGrpSpPr>
        <xdr:cNvPr id="50" name="Group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24791" y="14265712"/>
          <a:ext cx="7765117" cy="3999428"/>
          <a:chOff x="236221" y="14219992"/>
          <a:chExt cx="7932757" cy="3961328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36221" y="14219992"/>
            <a:ext cx="7894320" cy="1951190"/>
          </a:xfrm>
          <a:prstGeom prst="rect">
            <a:avLst/>
          </a:prstGeom>
        </xdr:spPr>
      </xdr:pic>
      <xdr:pic>
        <xdr:nvPicPr>
          <xdr:cNvPr id="4" name="Imag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5528182" y="14851380"/>
            <a:ext cx="2079990" cy="1108498"/>
          </a:xfrm>
          <a:prstGeom prst="rect">
            <a:avLst/>
          </a:prstGeom>
        </xdr:spPr>
      </xdr:pic>
      <xdr:pic>
        <xdr:nvPicPr>
          <xdr:cNvPr id="29" name="Imag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243839" y="16447896"/>
            <a:ext cx="7925139" cy="1733424"/>
          </a:xfrm>
          <a:prstGeom prst="rect">
            <a:avLst/>
          </a:prstGeom>
        </xdr:spPr>
      </xdr:pic>
      <xdr:sp macro="" textlink="">
        <xdr:nvSpPr>
          <xdr:cNvPr id="31" name="Flèche : bas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6499860" y="16162020"/>
            <a:ext cx="220980" cy="266700"/>
          </a:xfrm>
          <a:prstGeom prst="down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6141720" y="15697200"/>
            <a:ext cx="647700" cy="1752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525716" y="14257021"/>
            <a:ext cx="228416" cy="192106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2</xdr:col>
      <xdr:colOff>1851660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46126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83820</xdr:colOff>
      <xdr:row>15</xdr:row>
      <xdr:rowOff>53760</xdr:rowOff>
    </xdr:from>
    <xdr:to>
      <xdr:col>2</xdr:col>
      <xdr:colOff>244545</xdr:colOff>
      <xdr:row>15</xdr:row>
      <xdr:rowOff>212580</xdr:rowOff>
    </xdr:to>
    <xdr:pic macro="[0]!AddRow">
      <xdr:nvPicPr>
        <xdr:cNvPr id="3" name="BtnAddRowCommFais" descr="Add with solid fill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03020" y="224832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380580</xdr:colOff>
      <xdr:row>15</xdr:row>
      <xdr:rowOff>53340</xdr:rowOff>
    </xdr:from>
    <xdr:to>
      <xdr:col>2</xdr:col>
      <xdr:colOff>531780</xdr:colOff>
      <xdr:row>15</xdr:row>
      <xdr:rowOff>212160</xdr:rowOff>
    </xdr:to>
    <xdr:pic macro="[0]!DeleteRow">
      <xdr:nvPicPr>
        <xdr:cNvPr id="4" name="BtnDeleteRowCommFais" descr="Close with solid fill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99780" y="224790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91440</xdr:colOff>
      <xdr:row>21</xdr:row>
      <xdr:rowOff>69000</xdr:rowOff>
    </xdr:from>
    <xdr:to>
      <xdr:col>2</xdr:col>
      <xdr:colOff>250260</xdr:colOff>
      <xdr:row>21</xdr:row>
      <xdr:rowOff>208770</xdr:rowOff>
    </xdr:to>
    <xdr:pic macro="[0]!AddRow">
      <xdr:nvPicPr>
        <xdr:cNvPr id="5" name="BtnAddRowTechFais" descr="Add with solid fill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10640" y="477054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388200</xdr:colOff>
      <xdr:row>21</xdr:row>
      <xdr:rowOff>68580</xdr:rowOff>
    </xdr:from>
    <xdr:to>
      <xdr:col>2</xdr:col>
      <xdr:colOff>548925</xdr:colOff>
      <xdr:row>21</xdr:row>
      <xdr:rowOff>208350</xdr:rowOff>
    </xdr:to>
    <xdr:pic macro="[0]!DeleteRow">
      <xdr:nvPicPr>
        <xdr:cNvPr id="6" name="BtnDeleteRowTechFais" descr="Close with solid fill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607400" y="477012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30</xdr:row>
      <xdr:rowOff>69000</xdr:rowOff>
    </xdr:from>
    <xdr:to>
      <xdr:col>2</xdr:col>
      <xdr:colOff>227400</xdr:colOff>
      <xdr:row>30</xdr:row>
      <xdr:rowOff>208770</xdr:rowOff>
    </xdr:to>
    <xdr:pic macro="[0]!AddRow">
      <xdr:nvPicPr>
        <xdr:cNvPr id="7" name="BtnAddRowFinFais" descr="Add with solid fil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95400" y="717084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372960</xdr:colOff>
      <xdr:row>30</xdr:row>
      <xdr:rowOff>68580</xdr:rowOff>
    </xdr:from>
    <xdr:to>
      <xdr:col>2</xdr:col>
      <xdr:colOff>512730</xdr:colOff>
      <xdr:row>30</xdr:row>
      <xdr:rowOff>208350</xdr:rowOff>
    </xdr:to>
    <xdr:pic macro="[0]!DeleteRow">
      <xdr:nvPicPr>
        <xdr:cNvPr id="8" name="BtnDeleteRowFinFais" descr="Close with solid fill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92160" y="717042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37</xdr:row>
      <xdr:rowOff>69000</xdr:rowOff>
    </xdr:from>
    <xdr:to>
      <xdr:col>2</xdr:col>
      <xdr:colOff>227400</xdr:colOff>
      <xdr:row>37</xdr:row>
      <xdr:rowOff>208770</xdr:rowOff>
    </xdr:to>
    <xdr:pic macro="[0]!AddRow">
      <xdr:nvPicPr>
        <xdr:cNvPr id="9" name="BtnAddRowEcoFais" descr="Add with solid fil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95400" y="957114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372960</xdr:colOff>
      <xdr:row>37</xdr:row>
      <xdr:rowOff>68580</xdr:rowOff>
    </xdr:from>
    <xdr:to>
      <xdr:col>2</xdr:col>
      <xdr:colOff>512730</xdr:colOff>
      <xdr:row>37</xdr:row>
      <xdr:rowOff>208350</xdr:rowOff>
    </xdr:to>
    <xdr:pic macro="[0]!DeleteRow">
      <xdr:nvPicPr>
        <xdr:cNvPr id="10" name="BtnDeleteRowEcoFais" descr="Close with solid fil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92160" y="9570720"/>
          <a:ext cx="151200" cy="151200"/>
        </a:xfrm>
        <a:prstGeom prst="rect">
          <a:avLst/>
        </a:prstGeom>
      </xdr:spPr>
    </xdr:pic>
    <xdr:clientData/>
  </xdr:twoCellAnchor>
  <xdr:twoCellAnchor editAs="absolute">
    <xdr:from>
      <xdr:col>2</xdr:col>
      <xdr:colOff>2674620</xdr:colOff>
      <xdr:row>5</xdr:row>
      <xdr:rowOff>53340</xdr:rowOff>
    </xdr:from>
    <xdr:to>
      <xdr:col>2</xdr:col>
      <xdr:colOff>3893798</xdr:colOff>
      <xdr:row>5</xdr:row>
      <xdr:rowOff>318429</xdr:rowOff>
    </xdr:to>
    <xdr:sp macro="" textlink="">
      <xdr:nvSpPr>
        <xdr:cNvPr id="12" name="BtnGuid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497580" y="807720"/>
          <a:ext cx="1219178" cy="265089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2</xdr:col>
      <xdr:colOff>3930110</xdr:colOff>
      <xdr:row>5</xdr:row>
      <xdr:rowOff>56681</xdr:rowOff>
    </xdr:from>
    <xdr:to>
      <xdr:col>3</xdr:col>
      <xdr:colOff>216829</xdr:colOff>
      <xdr:row>5</xdr:row>
      <xdr:rowOff>321770</xdr:rowOff>
    </xdr:to>
    <xdr:sp macro="[0]!NavBar" textlink="">
      <xdr:nvSpPr>
        <xdr:cNvPr id="13" name="BtnMatrice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53070" y="811061"/>
          <a:ext cx="1399739" cy="265089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Matrice</a:t>
          </a:r>
        </a:p>
      </xdr:txBody>
    </xdr:sp>
    <xdr:clientData/>
  </xdr:twoCellAnchor>
  <xdr:twoCellAnchor editAs="absolute">
    <xdr:from>
      <xdr:col>3</xdr:col>
      <xdr:colOff>273082</xdr:colOff>
      <xdr:row>5</xdr:row>
      <xdr:rowOff>53627</xdr:rowOff>
    </xdr:from>
    <xdr:to>
      <xdr:col>5</xdr:col>
      <xdr:colOff>349701</xdr:colOff>
      <xdr:row>5</xdr:row>
      <xdr:rowOff>318716</xdr:rowOff>
    </xdr:to>
    <xdr:sp macro="[0]!NavBar" textlink="">
      <xdr:nvSpPr>
        <xdr:cNvPr id="14" name="BtnDashboar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209062" y="808007"/>
          <a:ext cx="1577759" cy="265089"/>
        </a:xfrm>
        <a:prstGeom prst="roundRect">
          <a:avLst/>
        </a:prstGeom>
        <a:solidFill>
          <a:srgbClr val="C0000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xdr:twoCellAnchor editAs="absolute">
    <xdr:from>
      <xdr:col>5</xdr:col>
      <xdr:colOff>406094</xdr:colOff>
      <xdr:row>5</xdr:row>
      <xdr:rowOff>54805</xdr:rowOff>
    </xdr:from>
    <xdr:to>
      <xdr:col>5</xdr:col>
      <xdr:colOff>1679760</xdr:colOff>
      <xdr:row>5</xdr:row>
      <xdr:rowOff>319894</xdr:rowOff>
    </xdr:to>
    <xdr:sp macro="[0]!NavBar" textlink="">
      <xdr:nvSpPr>
        <xdr:cNvPr id="15" name="BtnSetting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843214" y="809185"/>
          <a:ext cx="1273666" cy="265089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1</xdr:col>
      <xdr:colOff>571500</xdr:colOff>
      <xdr:row>11</xdr:row>
      <xdr:rowOff>30480</xdr:rowOff>
    </xdr:from>
    <xdr:to>
      <xdr:col>2</xdr:col>
      <xdr:colOff>1615440</xdr:colOff>
      <xdr:row>13</xdr:row>
      <xdr:rowOff>82209</xdr:rowOff>
    </xdr:to>
    <xdr:sp macro="[0]!AddVolet" textlink="">
      <xdr:nvSpPr>
        <xdr:cNvPr id="11" name="BtnAddVolet">
          <a:extLst>
            <a:ext uri="{FF2B5EF4-FFF2-40B4-BE49-F238E27FC236}">
              <a16:creationId xmlns:a16="http://schemas.microsoft.com/office/drawing/2014/main" id="{176BECDD-977B-452E-AA85-EF06BEBFE598}"/>
            </a:ext>
          </a:extLst>
        </xdr:cNvPr>
        <xdr:cNvSpPr/>
      </xdr:nvSpPr>
      <xdr:spPr>
        <a:xfrm>
          <a:off x="784860" y="1699260"/>
          <a:ext cx="1653540" cy="265089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Ajouter un volet</a:t>
          </a:r>
        </a:p>
      </xdr:txBody>
    </xdr:sp>
    <xdr:clientData/>
  </xdr:twoCellAnchor>
  <xdr:twoCellAnchor>
    <xdr:from>
      <xdr:col>3</xdr:col>
      <xdr:colOff>1432560</xdr:colOff>
      <xdr:row>37</xdr:row>
      <xdr:rowOff>53340</xdr:rowOff>
    </xdr:from>
    <xdr:to>
      <xdr:col>5</xdr:col>
      <xdr:colOff>1663020</xdr:colOff>
      <xdr:row>37</xdr:row>
      <xdr:rowOff>243840</xdr:rowOff>
    </xdr:to>
    <xdr:sp macro="[0]!DeleteVolet" textlink="">
      <xdr:nvSpPr>
        <xdr:cNvPr id="43" name="RemBtn01">
          <a:extLst>
            <a:ext uri="{FF2B5EF4-FFF2-40B4-BE49-F238E27FC236}">
              <a16:creationId xmlns:a16="http://schemas.microsoft.com/office/drawing/2014/main" id="{A0E85341-1C4C-4428-8507-DB5300140512}"/>
            </a:ext>
          </a:extLst>
        </xdr:cNvPr>
        <xdr:cNvSpPr/>
      </xdr:nvSpPr>
      <xdr:spPr>
        <a:xfrm>
          <a:off x="7368540" y="8618220"/>
          <a:ext cx="1731600" cy="190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Supprimer ce volet</a:t>
          </a:r>
          <a:endParaRPr lang="en-US">
            <a:effectLst/>
          </a:endParaRPr>
        </a:p>
      </xdr:txBody>
    </xdr:sp>
    <xdr:clientData/>
  </xdr:twoCellAnchor>
  <xdr:twoCellAnchor>
    <xdr:from>
      <xdr:col>3</xdr:col>
      <xdr:colOff>1470660</xdr:colOff>
      <xdr:row>30</xdr:row>
      <xdr:rowOff>45720</xdr:rowOff>
    </xdr:from>
    <xdr:to>
      <xdr:col>5</xdr:col>
      <xdr:colOff>1701120</xdr:colOff>
      <xdr:row>30</xdr:row>
      <xdr:rowOff>236220</xdr:rowOff>
    </xdr:to>
    <xdr:sp macro="[0]!DeleteVolet" textlink="">
      <xdr:nvSpPr>
        <xdr:cNvPr id="44" name="RemBtn2">
          <a:extLst>
            <a:ext uri="{FF2B5EF4-FFF2-40B4-BE49-F238E27FC236}">
              <a16:creationId xmlns:a16="http://schemas.microsoft.com/office/drawing/2014/main" id="{B2E791CD-F167-4A8F-A0DA-7B4FDF669849}"/>
            </a:ext>
          </a:extLst>
        </xdr:cNvPr>
        <xdr:cNvSpPr/>
      </xdr:nvSpPr>
      <xdr:spPr>
        <a:xfrm>
          <a:off x="7406640" y="6583680"/>
          <a:ext cx="1731600" cy="190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Supprimer ce volet</a:t>
          </a:r>
          <a:endParaRPr lang="en-US">
            <a:effectLst/>
          </a:endParaRPr>
        </a:p>
      </xdr:txBody>
    </xdr:sp>
    <xdr:clientData/>
  </xdr:twoCellAnchor>
  <xdr:twoCellAnchor>
    <xdr:from>
      <xdr:col>3</xdr:col>
      <xdr:colOff>1463040</xdr:colOff>
      <xdr:row>21</xdr:row>
      <xdr:rowOff>45720</xdr:rowOff>
    </xdr:from>
    <xdr:to>
      <xdr:col>5</xdr:col>
      <xdr:colOff>1693500</xdr:colOff>
      <xdr:row>21</xdr:row>
      <xdr:rowOff>236220</xdr:rowOff>
    </xdr:to>
    <xdr:sp macro="[0]!DeleteVolet" textlink="">
      <xdr:nvSpPr>
        <xdr:cNvPr id="45" name="RemBtn3">
          <a:extLst>
            <a:ext uri="{FF2B5EF4-FFF2-40B4-BE49-F238E27FC236}">
              <a16:creationId xmlns:a16="http://schemas.microsoft.com/office/drawing/2014/main" id="{D31235F4-A7A5-466A-82B4-60E7D3ACE39E}"/>
            </a:ext>
          </a:extLst>
        </xdr:cNvPr>
        <xdr:cNvSpPr/>
      </xdr:nvSpPr>
      <xdr:spPr>
        <a:xfrm>
          <a:off x="7399020" y="3977640"/>
          <a:ext cx="1731600" cy="190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Supprimer ce volet</a:t>
          </a:r>
          <a:endParaRPr lang="en-US">
            <a:effectLst/>
          </a:endParaRPr>
        </a:p>
      </xdr:txBody>
    </xdr:sp>
    <xdr:clientData/>
  </xdr:twoCellAnchor>
  <xdr:twoCellAnchor>
    <xdr:from>
      <xdr:col>3</xdr:col>
      <xdr:colOff>1478280</xdr:colOff>
      <xdr:row>15</xdr:row>
      <xdr:rowOff>38100</xdr:rowOff>
    </xdr:from>
    <xdr:to>
      <xdr:col>5</xdr:col>
      <xdr:colOff>1707909</xdr:colOff>
      <xdr:row>15</xdr:row>
      <xdr:rowOff>228600</xdr:rowOff>
    </xdr:to>
    <xdr:sp macro="[0]!DeleteVolet" textlink="">
      <xdr:nvSpPr>
        <xdr:cNvPr id="46" name="RemBtn4">
          <a:extLst>
            <a:ext uri="{FF2B5EF4-FFF2-40B4-BE49-F238E27FC236}">
              <a16:creationId xmlns:a16="http://schemas.microsoft.com/office/drawing/2014/main" id="{2B438D45-EDA2-485D-9098-F945CCE8EFD9}"/>
            </a:ext>
          </a:extLst>
        </xdr:cNvPr>
        <xdr:cNvSpPr/>
      </xdr:nvSpPr>
      <xdr:spPr>
        <a:xfrm>
          <a:off x="7414260" y="2286000"/>
          <a:ext cx="1730769" cy="190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Supprimer ce volet</a:t>
          </a:r>
          <a:endParaRPr lang="en-US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1623060</xdr:colOff>
      <xdr:row>10</xdr:row>
      <xdr:rowOff>121920</xdr:rowOff>
    </xdr:from>
    <xdr:to>
      <xdr:col>8</xdr:col>
      <xdr:colOff>15240</xdr:colOff>
      <xdr:row>17</xdr:row>
      <xdr:rowOff>30480</xdr:rowOff>
    </xdr:to>
    <xdr:graphicFrame macro="">
      <xdr:nvGraphicFramePr>
        <xdr:cNvPr id="9" name="ChartBackEnd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350520</xdr:colOff>
      <xdr:row>8</xdr:row>
      <xdr:rowOff>175260</xdr:rowOff>
    </xdr:from>
    <xdr:to>
      <xdr:col>8</xdr:col>
      <xdr:colOff>38100</xdr:colOff>
      <xdr:row>16</xdr:row>
      <xdr:rowOff>68580</xdr:rowOff>
    </xdr:to>
    <xdr:graphicFrame macro="">
      <xdr:nvGraphicFramePr>
        <xdr:cNvPr id="2" name="ChartSyntheseProject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0</xdr:row>
      <xdr:rowOff>152400</xdr:rowOff>
    </xdr:from>
    <xdr:to>
      <xdr:col>3</xdr:col>
      <xdr:colOff>929640</xdr:colOff>
      <xdr:row>4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43078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236220</xdr:colOff>
      <xdr:row>5</xdr:row>
      <xdr:rowOff>60960</xdr:rowOff>
    </xdr:from>
    <xdr:to>
      <xdr:col>5</xdr:col>
      <xdr:colOff>222611</xdr:colOff>
      <xdr:row>5</xdr:row>
      <xdr:rowOff>309117</xdr:rowOff>
    </xdr:to>
    <xdr:sp macro="" textlink="">
      <xdr:nvSpPr>
        <xdr:cNvPr id="16" name="BtnGuid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4145280" y="81534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5</xdr:col>
      <xdr:colOff>258973</xdr:colOff>
      <xdr:row>5</xdr:row>
      <xdr:rowOff>64088</xdr:rowOff>
    </xdr:from>
    <xdr:to>
      <xdr:col>7</xdr:col>
      <xdr:colOff>837650</xdr:colOff>
      <xdr:row>5</xdr:row>
      <xdr:rowOff>312245</xdr:rowOff>
    </xdr:to>
    <xdr:sp macro="[0]!NavBar" textlink="">
      <xdr:nvSpPr>
        <xdr:cNvPr id="18" name="BtnMatrice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402473" y="81846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Matrice</a:t>
          </a:r>
        </a:p>
      </xdr:txBody>
    </xdr:sp>
    <xdr:clientData/>
  </xdr:twoCellAnchor>
  <xdr:twoCellAnchor editAs="absolute">
    <xdr:from>
      <xdr:col>7</xdr:col>
      <xdr:colOff>893979</xdr:colOff>
      <xdr:row>5</xdr:row>
      <xdr:rowOff>61229</xdr:rowOff>
    </xdr:from>
    <xdr:to>
      <xdr:col>7</xdr:col>
      <xdr:colOff>2466258</xdr:colOff>
      <xdr:row>5</xdr:row>
      <xdr:rowOff>309386</xdr:rowOff>
    </xdr:to>
    <xdr:sp macro="[0]!NavBar" textlink="">
      <xdr:nvSpPr>
        <xdr:cNvPr id="19" name="BtnDashboard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6860439" y="815609"/>
          <a:ext cx="1579899" cy="248157"/>
        </a:xfrm>
        <a:prstGeom prst="roundRect">
          <a:avLst/>
        </a:prstGeom>
        <a:solidFill>
          <a:srgbClr val="C0000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xdr:twoCellAnchor editAs="absolute">
    <xdr:from>
      <xdr:col>7</xdr:col>
      <xdr:colOff>2522727</xdr:colOff>
      <xdr:row>5</xdr:row>
      <xdr:rowOff>62332</xdr:rowOff>
    </xdr:from>
    <xdr:to>
      <xdr:col>7</xdr:col>
      <xdr:colOff>3790500</xdr:colOff>
      <xdr:row>5</xdr:row>
      <xdr:rowOff>310489</xdr:rowOff>
    </xdr:to>
    <xdr:sp macro="[0]!NavBar" textlink="">
      <xdr:nvSpPr>
        <xdr:cNvPr id="20" name="BtnSettings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8496807" y="81671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2</xdr:col>
      <xdr:colOff>449580</xdr:colOff>
      <xdr:row>8</xdr:row>
      <xdr:rowOff>137160</xdr:rowOff>
    </xdr:from>
    <xdr:to>
      <xdr:col>5</xdr:col>
      <xdr:colOff>228600</xdr:colOff>
      <xdr:row>9</xdr:row>
      <xdr:rowOff>103377</xdr:rowOff>
    </xdr:to>
    <xdr:sp macro="" textlink="">
      <xdr:nvSpPr>
        <xdr:cNvPr id="3" name="BtnGuid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72540" y="1562100"/>
          <a:ext cx="4099560" cy="248157"/>
        </a:xfrm>
        <a:prstGeom prst="roundRect">
          <a:avLst/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10800000" scaled="1"/>
          <a:tileRect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0" cap="all" baseline="0">
              <a:solidFill>
                <a:srgbClr val="00668A"/>
              </a:solidFill>
              <a:latin typeface="+mn-lt"/>
              <a:ea typeface="+mn-ea"/>
              <a:cs typeface="+mn-cs"/>
            </a:rPr>
            <a:t>Synthèse générale »</a:t>
          </a:r>
          <a:endParaRPr lang="en-US" sz="12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4</xdr:col>
      <xdr:colOff>365760</xdr:colOff>
      <xdr:row>4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42316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91440</xdr:colOff>
      <xdr:row>7</xdr:row>
      <xdr:rowOff>30900</xdr:rowOff>
    </xdr:from>
    <xdr:to>
      <xdr:col>10</xdr:col>
      <xdr:colOff>217440</xdr:colOff>
      <xdr:row>7</xdr:row>
      <xdr:rowOff>156900</xdr:rowOff>
    </xdr:to>
    <xdr:pic macro="[0]!AddRow">
      <xdr:nvPicPr>
        <xdr:cNvPr id="2" name="BtnAddRowEvaluation" descr="Add with solid fil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287000" y="151680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357720</xdr:colOff>
      <xdr:row>7</xdr:row>
      <xdr:rowOff>30480</xdr:rowOff>
    </xdr:from>
    <xdr:to>
      <xdr:col>10</xdr:col>
      <xdr:colOff>483720</xdr:colOff>
      <xdr:row>7</xdr:row>
      <xdr:rowOff>156480</xdr:rowOff>
    </xdr:to>
    <xdr:pic macro="[0]!DeleteRow">
      <xdr:nvPicPr>
        <xdr:cNvPr id="4" name="BtnDeleteRowEvaluation" descr="Close with solid fil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553280" y="151638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8</xdr:col>
      <xdr:colOff>45720</xdr:colOff>
      <xdr:row>7</xdr:row>
      <xdr:rowOff>38520</xdr:rowOff>
    </xdr:from>
    <xdr:to>
      <xdr:col>8</xdr:col>
      <xdr:colOff>171720</xdr:colOff>
      <xdr:row>7</xdr:row>
      <xdr:rowOff>164520</xdr:rowOff>
    </xdr:to>
    <xdr:pic macro="[0]!AddRow">
      <xdr:nvPicPr>
        <xdr:cNvPr id="7" name="BtnAddRowCoeffPond" descr="Add with solid fil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19060" y="152442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8</xdr:col>
      <xdr:colOff>266280</xdr:colOff>
      <xdr:row>7</xdr:row>
      <xdr:rowOff>38100</xdr:rowOff>
    </xdr:from>
    <xdr:to>
      <xdr:col>8</xdr:col>
      <xdr:colOff>392280</xdr:colOff>
      <xdr:row>7</xdr:row>
      <xdr:rowOff>164100</xdr:rowOff>
    </xdr:to>
    <xdr:pic macro="[0]!DeleteRow">
      <xdr:nvPicPr>
        <xdr:cNvPr id="8" name="BtnDeleteRowCoeffPond" descr="Close with solid fill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939620" y="152400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4</xdr:col>
      <xdr:colOff>1874520</xdr:colOff>
      <xdr:row>5</xdr:row>
      <xdr:rowOff>60960</xdr:rowOff>
    </xdr:from>
    <xdr:to>
      <xdr:col>4</xdr:col>
      <xdr:colOff>3095351</xdr:colOff>
      <xdr:row>5</xdr:row>
      <xdr:rowOff>309117</xdr:rowOff>
    </xdr:to>
    <xdr:sp macro="" textlink="">
      <xdr:nvSpPr>
        <xdr:cNvPr id="6" name="BtnGuid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145280" y="81534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3131713</xdr:colOff>
      <xdr:row>5</xdr:row>
      <xdr:rowOff>64088</xdr:rowOff>
    </xdr:from>
    <xdr:to>
      <xdr:col>7</xdr:col>
      <xdr:colOff>464270</xdr:colOff>
      <xdr:row>5</xdr:row>
      <xdr:rowOff>312245</xdr:rowOff>
    </xdr:to>
    <xdr:sp macro="[0]!NavBar" textlink="">
      <xdr:nvSpPr>
        <xdr:cNvPr id="9" name="BtnMatric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402473" y="81846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Matrice</a:t>
          </a:r>
        </a:p>
      </xdr:txBody>
    </xdr:sp>
    <xdr:clientData/>
  </xdr:twoCellAnchor>
  <xdr:twoCellAnchor editAs="absolute">
    <xdr:from>
      <xdr:col>7</xdr:col>
      <xdr:colOff>520599</xdr:colOff>
      <xdr:row>5</xdr:row>
      <xdr:rowOff>61229</xdr:rowOff>
    </xdr:from>
    <xdr:to>
      <xdr:col>8</xdr:col>
      <xdr:colOff>1155618</xdr:colOff>
      <xdr:row>5</xdr:row>
      <xdr:rowOff>309386</xdr:rowOff>
    </xdr:to>
    <xdr:sp macro="[0]!NavBar" textlink="">
      <xdr:nvSpPr>
        <xdr:cNvPr id="11" name="BtnDashboard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860439" y="815609"/>
          <a:ext cx="1579899" cy="248157"/>
        </a:xfrm>
        <a:prstGeom prst="roundRect">
          <a:avLst/>
        </a:prstGeom>
        <a:solidFill>
          <a:srgbClr val="C0000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xdr:twoCellAnchor editAs="absolute">
    <xdr:from>
      <xdr:col>8</xdr:col>
      <xdr:colOff>1212087</xdr:colOff>
      <xdr:row>5</xdr:row>
      <xdr:rowOff>62332</xdr:rowOff>
    </xdr:from>
    <xdr:to>
      <xdr:col>9</xdr:col>
      <xdr:colOff>483420</xdr:colOff>
      <xdr:row>5</xdr:row>
      <xdr:rowOff>310489</xdr:rowOff>
    </xdr:to>
    <xdr:sp macro="[0]!NavBar" textlink="">
      <xdr:nvSpPr>
        <xdr:cNvPr id="12" name="BtnSetting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496807" y="81671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3</xdr:col>
      <xdr:colOff>533400</xdr:colOff>
      <xdr:row>7</xdr:row>
      <xdr:rowOff>38520</xdr:rowOff>
    </xdr:from>
    <xdr:to>
      <xdr:col>3</xdr:col>
      <xdr:colOff>659400</xdr:colOff>
      <xdr:row>7</xdr:row>
      <xdr:rowOff>164520</xdr:rowOff>
    </xdr:to>
    <xdr:pic macro="[0]!AddRow">
      <xdr:nvPicPr>
        <xdr:cNvPr id="10" name="BtnAddRowEval" descr="Add with solid fill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17320" y="134154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3</xdr:col>
      <xdr:colOff>777240</xdr:colOff>
      <xdr:row>7</xdr:row>
      <xdr:rowOff>38100</xdr:rowOff>
    </xdr:from>
    <xdr:to>
      <xdr:col>3</xdr:col>
      <xdr:colOff>910440</xdr:colOff>
      <xdr:row>7</xdr:row>
      <xdr:rowOff>164100</xdr:rowOff>
    </xdr:to>
    <xdr:pic macro="[0]!DeleteRow">
      <xdr:nvPicPr>
        <xdr:cNvPr id="14" name="BtnDeleteRowEval" descr="Close with solid fill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661160" y="1341120"/>
          <a:ext cx="133200" cy="12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1066800</xdr:colOff>
          <xdr:row>5</xdr:row>
          <xdr:rowOff>76200</xdr:rowOff>
        </xdr:from>
        <xdr:to>
          <xdr:col>11</xdr:col>
          <xdr:colOff>1190625</xdr:colOff>
          <xdr:row>5</xdr:row>
          <xdr:rowOff>285750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83820</xdr:colOff>
      <xdr:row>4</xdr:row>
      <xdr:rowOff>53760</xdr:rowOff>
    </xdr:from>
    <xdr:to>
      <xdr:col>12</xdr:col>
      <xdr:colOff>244545</xdr:colOff>
      <xdr:row>4</xdr:row>
      <xdr:rowOff>212580</xdr:rowOff>
    </xdr:to>
    <xdr:pic macro="[0]!AddRow">
      <xdr:nvPicPr>
        <xdr:cNvPr id="6" name="BtnAdd_191153" descr="Add with solid fill">
          <a:extLst>
            <a:ext uri="{FF2B5EF4-FFF2-40B4-BE49-F238E27FC236}">
              <a16:creationId xmlns:a16="http://schemas.microsoft.com/office/drawing/2014/main" id="{7AA95685-CB28-4167-9ACB-E775419A3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06780" y="2301660"/>
          <a:ext cx="160725" cy="158820"/>
        </a:xfrm>
        <a:prstGeom prst="rect">
          <a:avLst/>
        </a:prstGeom>
      </xdr:spPr>
    </xdr:pic>
    <xdr:clientData/>
  </xdr:twoCellAnchor>
  <xdr:twoCellAnchor editAs="oneCell">
    <xdr:from>
      <xdr:col>12</xdr:col>
      <xdr:colOff>380580</xdr:colOff>
      <xdr:row>4</xdr:row>
      <xdr:rowOff>53340</xdr:rowOff>
    </xdr:from>
    <xdr:to>
      <xdr:col>12</xdr:col>
      <xdr:colOff>531780</xdr:colOff>
      <xdr:row>4</xdr:row>
      <xdr:rowOff>212160</xdr:rowOff>
    </xdr:to>
    <xdr:pic macro="[0]!DeleteRow">
      <xdr:nvPicPr>
        <xdr:cNvPr id="7" name="BtnDel_191153" descr="Close with solid fill">
          <a:extLst>
            <a:ext uri="{FF2B5EF4-FFF2-40B4-BE49-F238E27FC236}">
              <a16:creationId xmlns:a16="http://schemas.microsoft.com/office/drawing/2014/main" id="{94B4D50A-C45E-4638-A387-B9E1A77E1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3540" y="2301240"/>
          <a:ext cx="151200" cy="15882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</xdr:row>
      <xdr:rowOff>53340</xdr:rowOff>
    </xdr:from>
    <xdr:to>
      <xdr:col>15</xdr:col>
      <xdr:colOff>1645920</xdr:colOff>
      <xdr:row>4</xdr:row>
      <xdr:rowOff>259080</xdr:rowOff>
    </xdr:to>
    <xdr:sp macro="[0]!DeleteVolet" textlink="">
      <xdr:nvSpPr>
        <xdr:cNvPr id="31" name="RemBtn_191153">
          <a:extLst>
            <a:ext uri="{FF2B5EF4-FFF2-40B4-BE49-F238E27FC236}">
              <a16:creationId xmlns:a16="http://schemas.microsoft.com/office/drawing/2014/main" id="{A823BB6F-4C8E-603B-56EA-2B832D3E4839}"/>
            </a:ext>
          </a:extLst>
        </xdr:cNvPr>
        <xdr:cNvSpPr/>
      </xdr:nvSpPr>
      <xdr:spPr>
        <a:xfrm>
          <a:off x="21861780" y="861060"/>
          <a:ext cx="1645920" cy="20574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Supprimer ce volet</a:t>
          </a:r>
          <a:endParaRPr lang="en-US"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E3240D-BF9D-4573-B8FB-069805BF94DF}" name="TabFaisCom" displayName="TabFaisCom" ref="C17:F20" totalsRowShown="0" headerRowDxfId="68" dataDxfId="67">
  <autoFilter ref="C17:F20" xr:uid="{33E3240D-BF9D-4573-B8FB-069805BF94DF}">
    <filterColumn colId="0" hiddenButton="1"/>
    <filterColumn colId="1" hiddenButton="1"/>
    <filterColumn colId="2" hiddenButton="1"/>
    <filterColumn colId="3" hiddenButton="1"/>
  </autoFilter>
  <tableColumns count="4">
    <tableColumn id="1" xr3:uid="{283C575E-FC05-4D31-B6DE-0AB715BAD581}" name="Critères d'évaluation" dataDxfId="66"/>
    <tableColumn id="3" xr3:uid="{DDFD749B-8885-4008-BB28-D243EDE6191D}" name="Evaluation" dataDxfId="65"/>
    <tableColumn id="4" xr3:uid="{4230C040-714D-4B73-A4AB-A05CBF29011A}" name="Pondération" dataDxfId="64">
      <calculatedColumnFormula>IFERROR(VLOOKUP(TabFaisCom[[#This Row],[Evaluation]],TabSettLegende[],2,FALSE)*TabFaisCom[[#This Row],[Coefficient de pondération]],"")</calculatedColumnFormula>
    </tableColumn>
    <tableColumn id="2" xr3:uid="{C474666E-CB55-4F05-8BF7-7C5A1FEA7EF3}" name="Coefficient de pondération" dataDxfId="63"/>
  </tableColumns>
  <tableStyleInfo name="TabFaisabilit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EDC9BB-66A7-44B2-BEF0-129F4B11C589}" name="TabFaisTec" displayName="TabFaisTec" ref="C23:F29" totalsRowShown="0" headerRowDxfId="62" dataDxfId="61">
  <autoFilter ref="C23:F29" xr:uid="{00EDC9BB-66A7-44B2-BEF0-129F4B11C589}">
    <filterColumn colId="0" hiddenButton="1"/>
    <filterColumn colId="1" hiddenButton="1"/>
    <filterColumn colId="2" hiddenButton="1"/>
    <filterColumn colId="3" hiddenButton="1"/>
  </autoFilter>
  <tableColumns count="4">
    <tableColumn id="1" xr3:uid="{44DEB5F2-B43A-428B-B2CD-D0114E632560}" name="Critères d'évaluation" dataDxfId="60"/>
    <tableColumn id="3" xr3:uid="{14FAF7D2-B7D7-4BAE-863D-AEC0BAE9178D}" name="Evaluation" dataDxfId="59"/>
    <tableColumn id="4" xr3:uid="{9C22C612-952D-458E-B806-6F0DC66B9ABA}" name="Pondération" dataDxfId="58">
      <calculatedColumnFormula>IFERROR(VLOOKUP(TabFaisTec[[#This Row],[Evaluation]],TabSettLegende[],2,FALSE)*TabFaisTec[[#This Row],[Coefficient de pondération]],"")</calculatedColumnFormula>
    </tableColumn>
    <tableColumn id="2" xr3:uid="{CA7CC188-7917-4F3F-BF8C-104D2D1D1071}" name="Coefficient de pondération" dataDxfId="57"/>
  </tableColumns>
  <tableStyleInfo name="TabFaisabilit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CF27F5-D4C7-41A2-9E69-6FFE79B57901}" name="TabFaisFin" displayName="TabFaisFin" ref="C32:F36" totalsRowShown="0" headerRowDxfId="56" dataDxfId="55">
  <autoFilter ref="C32:F36" xr:uid="{11CF27F5-D4C7-41A2-9E69-6FFE79B57901}">
    <filterColumn colId="0" hiddenButton="1"/>
    <filterColumn colId="1" hiddenButton="1"/>
    <filterColumn colId="2" hiddenButton="1"/>
    <filterColumn colId="3" hiddenButton="1"/>
  </autoFilter>
  <tableColumns count="4">
    <tableColumn id="1" xr3:uid="{A906F707-180D-473D-B1B7-A0F83D62685B}" name="Critères d'évaluation" dataDxfId="54"/>
    <tableColumn id="3" xr3:uid="{3BC074F1-9571-42D1-B9F4-9D60D9D4EF8F}" name="Evaluation" dataDxfId="53"/>
    <tableColumn id="4" xr3:uid="{381F08DA-097A-4E07-A60D-7FBC17544268}" name="Pondération" dataDxfId="52">
      <calculatedColumnFormula>IFERROR(VLOOKUP(TabFaisFin[[#This Row],[Evaluation]],TabSettLegende[],2,FALSE)*TabFaisFin[[#This Row],[Coefficient de pondération]],"")</calculatedColumnFormula>
    </tableColumn>
    <tableColumn id="2" xr3:uid="{1D31C68A-19A0-4B2E-A2B7-79BF3624CF7F}" name="Coefficient de pondération" dataDxfId="51"/>
  </tableColumns>
  <tableStyleInfo name="TabFaisabilit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E7684A0-FE51-4DD3-9332-BBC02E98E09B}" name="TabFaisEcoSoc" displayName="TabFaisEcoSoc" ref="C39:F45" totalsRowShown="0" headerRowDxfId="50" dataDxfId="49">
  <autoFilter ref="C39:F45" xr:uid="{0E7684A0-FE51-4DD3-9332-BBC02E98E09B}">
    <filterColumn colId="0" hiddenButton="1"/>
    <filterColumn colId="1" hiddenButton="1"/>
    <filterColumn colId="2" hiddenButton="1"/>
    <filterColumn colId="3" hiddenButton="1"/>
  </autoFilter>
  <tableColumns count="4">
    <tableColumn id="1" xr3:uid="{BE80559E-6B0F-4FB6-BD63-160A9094C4AE}" name="Critères d'évaluation" dataDxfId="48"/>
    <tableColumn id="3" xr3:uid="{511B0824-D57F-4E8F-A4E8-EAEA1A288B3C}" name="Evaluation" dataDxfId="47"/>
    <tableColumn id="4" xr3:uid="{3D0009FF-5471-41C4-976D-A621F6A0C0F6}" name="Pondération" dataDxfId="46">
      <calculatedColumnFormula>IFERROR(VLOOKUP(TabFaisEcoSoc[[#This Row],[Evaluation]],TabSettLegende[],2,FALSE)*TabFaisEcoSoc[[#This Row],[Coefficient de pondération]],"")</calculatedColumnFormula>
    </tableColumn>
    <tableColumn id="2" xr3:uid="{7A659534-A6C3-44AE-919D-503FC1A483EC}" name="Coefficient de pondération" dataDxfId="45"/>
  </tableColumns>
  <tableStyleInfo name="TabFaisabilit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9D860BE-6737-4E25-9DA8-41E0EB933285}" name="TabSynthese" displayName="TabSynthese" ref="D21:H25" totalsRowShown="0" headerRowDxfId="40" dataDxfId="39">
  <autoFilter ref="D21:H25" xr:uid="{99D860BE-6737-4E25-9DA8-41E0EB933285}"/>
  <tableColumns count="5">
    <tableColumn id="6" xr3:uid="{BA8A4D17-CA7A-4441-A331-EC9CBD42D2DE}" name="Volet" dataDxfId="38"/>
    <tableColumn id="3" xr3:uid="{8B07DD67-2B83-4BBB-A137-EC7F4566B67B}" name="Légende" dataDxfId="37">
      <calculatedColumnFormula array="1">IFERROR(INDEX(TabSettEvalProjet[],TabSynthese[[#This Row],[Position]],2),"ERROR")</calculatedColumnFormula>
    </tableColumn>
    <tableColumn id="2" xr3:uid="{5AE2F1CC-7A52-4E29-AB24-8D37F4A76190}" name="Moyenne" dataDxfId="36"/>
    <tableColumn id="7" xr3:uid="{B54CA909-AA61-446B-B384-23007F854A27}" name="Position" dataDxfId="35">
      <calculatedColumnFormula array="1">FindValueInRange(TabSynthese[[#This Row],[Moyenne]],TabSettEvalProjet[])</calculatedColumnFormula>
    </tableColumn>
    <tableColumn id="4" xr3:uid="{94C15547-8678-4E63-8A9B-BF8716D9FDBF}" name="Evaluation" dataDxfId="34">
      <calculatedColumnFormula array="1">INDEX(TabSettEvalProjet[],TabSynthese[[#This Row],[Position]],3)</calculatedColumnFormula>
    </tableColumn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E09BAF-B4CD-4065-A20C-148EA410C88E}" name="TabSettLegende" displayName="TabSettLegende" ref="K10:L14" totalsRowShown="0" headerRowDxfId="33" dataDxfId="32">
  <autoFilter ref="K10:L14" xr:uid="{D8E09BAF-B4CD-4065-A20C-148EA410C88E}"/>
  <tableColumns count="2">
    <tableColumn id="2" xr3:uid="{C7BDEB55-953C-4BDF-BF41-DAB60EE2DB9D}" name="Choix" dataDxfId="31"/>
    <tableColumn id="1" xr3:uid="{57077AE9-2751-4D0A-8838-1776D32AD5B9}" name="Valeur" dataDxfId="30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B05445-42C6-49AD-8C95-0E9F71EFCBA2}" name="TabSettCoeffPond" displayName="TabSettCoeffPond" ref="I10:I15" totalsRowShown="0" headerRowDxfId="29" dataDxfId="28">
  <autoFilter ref="I10:I15" xr:uid="{84B05445-42C6-49AD-8C95-0E9F71EFCBA2}"/>
  <tableColumns count="1">
    <tableColumn id="1" xr3:uid="{68BE2AAB-E1B9-48FA-A7FC-864791F3F34D}" name="Valeur" dataDxfId="27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ACB8AED-D1D2-49B5-9625-D2CB21F5AAB3}" name="TabSettEvalProjet" displayName="TabSettEvalProjet" ref="C10:G14" totalsRowShown="0" headerRowDxfId="26" dataDxfId="25">
  <autoFilter ref="C10:G14" xr:uid="{3ACB8AED-D1D2-49B5-9625-D2CB21F5AAB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E039CC6-D956-4AC9-8B70-79D6753344F6}" name="Min &lt;" dataDxfId="24">
      <calculatedColumnFormula array="1">IF(ISNUMBER(INDIRECT("F" &amp; ROW()-1)), INDIRECT("F" &amp; ROW()-1),"-")</calculatedColumnFormula>
    </tableColumn>
    <tableColumn id="3" xr3:uid="{07E36367-5CD9-4835-AF63-53F2FE10F7E6}" name="Légende" dataDxfId="23"/>
    <tableColumn id="2" xr3:uid="{00CB0FF4-3531-4319-A440-E1E26BBFF2B2}" name="Evaluation" dataDxfId="22"/>
    <tableColumn id="4" xr3:uid="{D42D4488-1BCD-4BCF-AC90-753A64DCED2C}" name="&lt;= Max" dataDxfId="21"/>
    <tableColumn id="5" xr3:uid="{31FD7503-8B78-4BC2-8835-866347DA44C5}" name="Cumul" dataDxfId="20">
      <calculatedColumnFormula array="1">IFERROR(IF(OR(TabSettEvalProjet[[#This Row],[&lt;= Max]] ="-",TabSettEvalProjet[[#This Row],[&lt;= Max]] =""),MaxEvaluation-INDIRECT("F" &amp; ROW()-1),TabSettEvalProjet[[#This Row],[&lt;= Max]]-INDIRECT("F" &amp; ROW()-1)),TabSettEvalProjet[[#This Row],[&lt;= Max]])</calculatedColumnFormula>
    </tableColumn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5F1F16-6501-452E-AFA2-4F907B3A2AA6}" name="Table12" displayName="Table12" ref="M6:P7" totalsRowShown="0" headerRowDxfId="15" dataDxfId="14">
  <tableColumns count="4">
    <tableColumn id="1" xr3:uid="{831864F8-A458-46A1-9B2F-F210DE73B5EA}" name="Critères d'évaluation" dataDxfId="13"/>
    <tableColumn id="2" xr3:uid="{A6434BA5-1777-43C0-8538-1B566027DDC7}" name="Evaluation" dataDxfId="12"/>
    <tableColumn id="3" xr3:uid="{047334D4-4A71-451F-8F20-E00F1F8776A3}" name="Pondération" dataDxfId="11">
      <calculatedColumnFormula>IFERROR(VLOOKUP(Table12[[#This Row],[Evaluation]],TabSettLegende[],2,FALSE)*Table12[[#This Row],[Coefficient de pondération]],"")</calculatedColumnFormula>
    </tableColumn>
    <tableColumn id="4" xr3:uid="{99A4DB2E-609A-4173-9084-FD274810023B}" name="Coefficient de pondération" dataDxfId="10"/>
  </tableColumns>
  <tableStyleInfo name="TabFaisabilit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B0BF857-E70E-4ED3-B99D-B216EE418F72}" name="TabLangue" displayName="TabLangue" ref="A1:B56" totalsRowShown="0" headerRowDxfId="7" dataDxfId="6">
  <autoFilter ref="A1:B56" xr:uid="{AB0BF857-E70E-4ED3-B99D-B216EE418F72}"/>
  <sortState xmlns:xlrd2="http://schemas.microsoft.com/office/spreadsheetml/2017/richdata2" ref="A2:B2">
    <sortCondition ref="A1:A2"/>
  </sortState>
  <tableColumns count="2">
    <tableColumn id="1" xr3:uid="{2DAF4ED6-2E72-4502-804D-CCBE1667E212}" name="Français" dataDxfId="5"/>
    <tableColumn id="2" xr3:uid="{992465E3-8AD9-434A-B616-25C532E27D94}" name="Anglais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B68EC4E-BCC3-48CE-BDD1-BB325B805309}" name="TabLang" displayName="TabLang" ref="F1:F3" totalsRowShown="0">
  <autoFilter ref="F1:F3" xr:uid="{EB68EC4E-BCC3-48CE-BDD1-BB325B805309}"/>
  <tableColumns count="1">
    <tableColumn id="1" xr3:uid="{9453D50C-FD6C-4F5E-9924-965F0AA9D840}" name="Lang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E967E31-EAF5-46B1-9A4B-18AF222C9AEC}" name="TabYesNo" displayName="TabYesNo" ref="H1:H3" totalsRowShown="0">
  <autoFilter ref="H1:H3" xr:uid="{1E967E31-EAF5-46B1-9A4B-18AF222C9AEC}"/>
  <tableColumns count="1">
    <tableColumn id="1" xr3:uid="{51234AA3-400D-4F51-857D-D02B25B6A21A}" name="Yes-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1263F-352E-482E-96DC-DEF7A3520EB7}">
  <sheetPr codeName="ShGuide">
    <tabColor theme="5" tint="0.39997558519241921"/>
  </sheetPr>
  <dimension ref="B1:XFC192"/>
  <sheetViews>
    <sheetView showGridLines="0" workbookViewId="0">
      <selection activeCell="C3" sqref="C3"/>
    </sheetView>
  </sheetViews>
  <sheetFormatPr defaultColWidth="0" defaultRowHeight="15.75" x14ac:dyDescent="0.25"/>
  <cols>
    <col min="1" max="1" width="3.140625" style="2" customWidth="1"/>
    <col min="2" max="2" width="11.5703125" style="3" customWidth="1"/>
    <col min="3" max="3" width="79" style="2" customWidth="1"/>
    <col min="4" max="4" width="29.7109375" style="2" customWidth="1"/>
    <col min="5" max="5" width="30.140625" style="2" customWidth="1"/>
    <col min="6" max="6" width="39.7109375" style="2" customWidth="1"/>
    <col min="7" max="16383" width="11.5703125" style="2" hidden="1"/>
    <col min="16384" max="16384" width="44.140625" style="2" customWidth="1"/>
  </cols>
  <sheetData>
    <row r="1" spans="2:5" customFormat="1" ht="19.899999999999999" customHeight="1" x14ac:dyDescent="0.25">
      <c r="D1" s="8" t="s">
        <v>16</v>
      </c>
      <c r="E1" s="18">
        <v>44893</v>
      </c>
    </row>
    <row r="2" spans="2:5" customFormat="1" ht="14.45" hidden="1" customHeight="1" x14ac:dyDescent="0.25">
      <c r="D2" s="4"/>
      <c r="E2" s="20"/>
    </row>
    <row r="3" spans="2:5" customFormat="1" ht="19.899999999999999" customHeight="1" x14ac:dyDescent="0.25">
      <c r="D3" s="8" t="s">
        <v>18</v>
      </c>
      <c r="E3" s="18"/>
    </row>
    <row r="4" spans="2:5" customFormat="1" ht="14.45" hidden="1" customHeight="1" x14ac:dyDescent="0.25">
      <c r="D4" s="4"/>
      <c r="E4" s="20"/>
    </row>
    <row r="5" spans="2:5" customFormat="1" ht="19.899999999999999" customHeight="1" thickBot="1" x14ac:dyDescent="0.3">
      <c r="D5" s="15" t="s">
        <v>19</v>
      </c>
      <c r="E5" s="19" t="s">
        <v>20</v>
      </c>
    </row>
    <row r="6" spans="2:5" customFormat="1" ht="28.15" customHeight="1" thickTop="1" thickBot="1" x14ac:dyDescent="0.3">
      <c r="B6" s="9"/>
      <c r="C6" s="10" t="s">
        <v>102</v>
      </c>
      <c r="D6" s="9"/>
      <c r="E6" s="9"/>
    </row>
    <row r="7" spans="2:5" ht="16.5" thickTop="1" x14ac:dyDescent="0.25"/>
    <row r="8" spans="2:5" ht="18.75" x14ac:dyDescent="0.25">
      <c r="B8" s="44" t="s">
        <v>58</v>
      </c>
    </row>
    <row r="9" spans="2:5" x14ac:dyDescent="0.25">
      <c r="B9" s="45" t="s">
        <v>59</v>
      </c>
    </row>
    <row r="10" spans="2:5" x14ac:dyDescent="0.25">
      <c r="B10" s="7"/>
    </row>
    <row r="11" spans="2:5" x14ac:dyDescent="0.25">
      <c r="B11" s="7"/>
    </row>
    <row r="12" spans="2:5" ht="21" x14ac:dyDescent="0.35">
      <c r="B12" s="5"/>
    </row>
    <row r="13" spans="2:5" x14ac:dyDescent="0.25">
      <c r="B13" s="6"/>
    </row>
    <row r="23" spans="2:18" ht="18.75" x14ac:dyDescent="0.3">
      <c r="B23" s="46" t="s">
        <v>60</v>
      </c>
      <c r="L23" s="47"/>
      <c r="M23" s="47"/>
      <c r="N23" s="47"/>
      <c r="O23" s="47"/>
      <c r="P23" s="47"/>
      <c r="Q23" s="47"/>
      <c r="R23" s="47"/>
    </row>
    <row r="24" spans="2:18" ht="39.6" customHeight="1" x14ac:dyDescent="0.25">
      <c r="B24" s="97" t="s">
        <v>61</v>
      </c>
      <c r="C24" s="97"/>
      <c r="D24" s="97"/>
      <c r="E24" s="97"/>
      <c r="F24" s="97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2:18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2:18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2:18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2:18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2:18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2:18" ht="18" customHeight="1" x14ac:dyDescent="0.25">
      <c r="B30" s="98" t="s">
        <v>62</v>
      </c>
      <c r="C30" s="99"/>
      <c r="D30" s="99"/>
      <c r="E30" s="99"/>
      <c r="F30"/>
      <c r="G30" s="52"/>
      <c r="H30" s="52"/>
      <c r="I30" s="52"/>
      <c r="J30" s="52"/>
      <c r="K30" s="52"/>
      <c r="L30" s="52"/>
      <c r="M30" s="53"/>
      <c r="N30"/>
      <c r="O30"/>
      <c r="P30"/>
      <c r="Q30"/>
      <c r="R30"/>
    </row>
    <row r="31" spans="2:18" ht="18.75" x14ac:dyDescent="0.25">
      <c r="B31" s="95" t="s">
        <v>87</v>
      </c>
      <c r="C31" s="96"/>
      <c r="D31" s="96"/>
      <c r="E31" s="96"/>
      <c r="F31" s="47"/>
      <c r="G31" s="47"/>
      <c r="H31" s="47"/>
      <c r="I31" s="47"/>
      <c r="J31" s="47"/>
      <c r="K31" s="47"/>
      <c r="L31" s="47"/>
      <c r="M31" s="47"/>
      <c r="N31" s="47"/>
      <c r="O31"/>
      <c r="P31"/>
      <c r="Q31"/>
      <c r="R31"/>
    </row>
    <row r="32" spans="2:18" x14ac:dyDescent="0.25">
      <c r="B32" s="54" t="s">
        <v>88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/>
      <c r="P32"/>
      <c r="Q32"/>
      <c r="R32"/>
    </row>
    <row r="33" spans="2:5" x14ac:dyDescent="0.25">
      <c r="B33" s="3" t="s">
        <v>63</v>
      </c>
    </row>
    <row r="43" spans="2:5" ht="18.75" x14ac:dyDescent="0.25">
      <c r="B43" s="95" t="s">
        <v>89</v>
      </c>
      <c r="C43" s="96"/>
      <c r="D43" s="96"/>
      <c r="E43" s="96"/>
    </row>
    <row r="44" spans="2:5" x14ac:dyDescent="0.25">
      <c r="B44" s="50" t="s">
        <v>94</v>
      </c>
    </row>
    <row r="45" spans="2:5" x14ac:dyDescent="0.25">
      <c r="B45" s="2" t="s">
        <v>96</v>
      </c>
    </row>
    <row r="58" spans="2:2" x14ac:dyDescent="0.25">
      <c r="B58" s="50" t="s">
        <v>95</v>
      </c>
    </row>
    <row r="68" spans="2:2" x14ac:dyDescent="0.25">
      <c r="B68" s="3" t="s">
        <v>64</v>
      </c>
    </row>
    <row r="69" spans="2:2" x14ac:dyDescent="0.25">
      <c r="B69" s="51"/>
    </row>
    <row r="91" spans="2:5" ht="18.75" x14ac:dyDescent="0.25">
      <c r="B91" s="95" t="s">
        <v>90</v>
      </c>
      <c r="C91" s="96"/>
      <c r="D91" s="96"/>
      <c r="E91" s="96"/>
    </row>
    <row r="92" spans="2:5" x14ac:dyDescent="0.25">
      <c r="B92" s="48" t="s">
        <v>91</v>
      </c>
    </row>
    <row r="93" spans="2:5" ht="37.9" customHeight="1" x14ac:dyDescent="0.25">
      <c r="B93" s="101" t="s">
        <v>69</v>
      </c>
      <c r="C93" s="101"/>
      <c r="D93" s="101"/>
      <c r="E93" s="101"/>
    </row>
    <row r="99" spans="2:2" ht="21" x14ac:dyDescent="0.35">
      <c r="B99" s="1"/>
    </row>
    <row r="100" spans="2:2" x14ac:dyDescent="0.25">
      <c r="B100" s="2"/>
    </row>
    <row r="101" spans="2:2" x14ac:dyDescent="0.25">
      <c r="B101" s="3" t="s">
        <v>65</v>
      </c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 t="s">
        <v>66</v>
      </c>
    </row>
    <row r="111" spans="2:2" x14ac:dyDescent="0.25">
      <c r="B111" s="2"/>
    </row>
    <row r="112" spans="2:2" x14ac:dyDescent="0.25">
      <c r="B112" s="48" t="s">
        <v>92</v>
      </c>
    </row>
    <row r="113" spans="2:6" x14ac:dyDescent="0.25">
      <c r="B113" s="2" t="s">
        <v>67</v>
      </c>
    </row>
    <row r="114" spans="2:6" x14ac:dyDescent="0.25">
      <c r="B114" s="2" t="s">
        <v>68</v>
      </c>
    </row>
    <row r="115" spans="2:6" x14ac:dyDescent="0.25">
      <c r="B115" s="2"/>
    </row>
    <row r="116" spans="2:6" x14ac:dyDescent="0.25">
      <c r="B116" s="2"/>
    </row>
    <row r="117" spans="2:6" x14ac:dyDescent="0.25">
      <c r="B117" s="2"/>
    </row>
    <row r="118" spans="2:6" x14ac:dyDescent="0.25">
      <c r="B118" s="2"/>
    </row>
    <row r="119" spans="2:6" x14ac:dyDescent="0.25">
      <c r="B119" s="2"/>
    </row>
    <row r="120" spans="2:6" x14ac:dyDescent="0.25">
      <c r="B120" s="2"/>
    </row>
    <row r="121" spans="2:6" x14ac:dyDescent="0.25">
      <c r="B121" s="2"/>
    </row>
    <row r="122" spans="2:6" x14ac:dyDescent="0.25">
      <c r="B122" s="2"/>
    </row>
    <row r="123" spans="2:6" x14ac:dyDescent="0.25">
      <c r="B123" s="2"/>
    </row>
    <row r="124" spans="2:6" x14ac:dyDescent="0.25">
      <c r="B124" s="2" t="s">
        <v>70</v>
      </c>
    </row>
    <row r="125" spans="2:6" ht="31.9" customHeight="1" x14ac:dyDescent="0.25">
      <c r="B125" s="100" t="s">
        <v>71</v>
      </c>
      <c r="C125" s="100"/>
      <c r="D125" s="100"/>
      <c r="E125" s="100"/>
      <c r="F125" s="55"/>
    </row>
    <row r="126" spans="2:6" x14ac:dyDescent="0.25">
      <c r="B126" s="2"/>
    </row>
    <row r="127" spans="2:6" ht="18.75" x14ac:dyDescent="0.25">
      <c r="B127" s="95" t="s">
        <v>93</v>
      </c>
      <c r="C127" s="96"/>
      <c r="D127" s="96"/>
      <c r="E127" s="96"/>
    </row>
    <row r="128" spans="2:6" x14ac:dyDescent="0.25">
      <c r="B128" s="2" t="s">
        <v>73</v>
      </c>
    </row>
    <row r="129" spans="2:2" x14ac:dyDescent="0.25">
      <c r="B129" s="2" t="s">
        <v>72</v>
      </c>
    </row>
    <row r="139" spans="2:2" x14ac:dyDescent="0.25">
      <c r="B139" s="3" t="s">
        <v>75</v>
      </c>
    </row>
    <row r="140" spans="2:2" x14ac:dyDescent="0.25">
      <c r="B140" s="3" t="s">
        <v>76</v>
      </c>
    </row>
    <row r="151" spans="2:2" x14ac:dyDescent="0.25">
      <c r="B151" s="3" t="s">
        <v>82</v>
      </c>
    </row>
    <row r="162" spans="2:2" x14ac:dyDescent="0.25">
      <c r="B162" s="3" t="s">
        <v>78</v>
      </c>
    </row>
    <row r="163" spans="2:2" x14ac:dyDescent="0.25">
      <c r="B163" s="3" t="s">
        <v>77</v>
      </c>
    </row>
    <row r="165" spans="2:2" x14ac:dyDescent="0.25">
      <c r="B165" s="3" t="s">
        <v>79</v>
      </c>
    </row>
    <row r="166" spans="2:2" x14ac:dyDescent="0.25">
      <c r="B166" s="3" t="s">
        <v>80</v>
      </c>
    </row>
    <row r="167" spans="2:2" x14ac:dyDescent="0.25">
      <c r="B167" s="3" t="s">
        <v>81</v>
      </c>
    </row>
    <row r="180" spans="2:2" x14ac:dyDescent="0.25">
      <c r="B180" s="3" t="s">
        <v>83</v>
      </c>
    </row>
    <row r="192" spans="2:2" x14ac:dyDescent="0.25">
      <c r="B192" s="3" t="s">
        <v>84</v>
      </c>
    </row>
  </sheetData>
  <mergeCells count="8">
    <mergeCell ref="B127:E127"/>
    <mergeCell ref="B24:F24"/>
    <mergeCell ref="B30:E30"/>
    <mergeCell ref="B31:E31"/>
    <mergeCell ref="B43:E43"/>
    <mergeCell ref="B91:E91"/>
    <mergeCell ref="B125:E125"/>
    <mergeCell ref="B93:E9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AF2A5-9BD6-4AC3-8FB3-393A20CDC1CE}">
  <sheetPr codeName="ShMatrice">
    <tabColor rgb="FF0070C0"/>
  </sheetPr>
  <dimension ref="A1:I45"/>
  <sheetViews>
    <sheetView showGridLines="0" tabSelected="1" topLeftCell="A8" workbookViewId="0">
      <selection activeCell="F21" sqref="F21"/>
    </sheetView>
  </sheetViews>
  <sheetFormatPr defaultColWidth="0" defaultRowHeight="22.9" customHeight="1" x14ac:dyDescent="0.25"/>
  <cols>
    <col min="1" max="1" width="3.140625" customWidth="1"/>
    <col min="2" max="2" width="8.85546875" customWidth="1"/>
    <col min="3" max="3" width="74.5703125" customWidth="1"/>
    <col min="4" max="4" width="21.85546875" bestFit="1" customWidth="1"/>
    <col min="5" max="5" width="15.85546875" style="62" hidden="1" customWidth="1"/>
    <col min="6" max="6" width="25.85546875" customWidth="1"/>
    <col min="7" max="7" width="9.140625" customWidth="1"/>
    <col min="8" max="8" width="30.42578125" hidden="1" customWidth="1"/>
    <col min="9" max="9" width="15.7109375" hidden="1" customWidth="1"/>
    <col min="10" max="16384" width="8.85546875" hidden="1"/>
  </cols>
  <sheetData>
    <row r="1" spans="2:6" ht="19.899999999999999" customHeight="1" x14ac:dyDescent="0.25">
      <c r="D1" s="8" t="s">
        <v>16</v>
      </c>
      <c r="F1" s="18">
        <v>44893</v>
      </c>
    </row>
    <row r="2" spans="2:6" ht="14.45" hidden="1" customHeight="1" x14ac:dyDescent="0.25">
      <c r="D2" s="4"/>
      <c r="F2" s="20"/>
    </row>
    <row r="3" spans="2:6" ht="19.899999999999999" customHeight="1" x14ac:dyDescent="0.25">
      <c r="D3" s="8" t="s">
        <v>18</v>
      </c>
      <c r="F3" s="18"/>
    </row>
    <row r="4" spans="2:6" ht="14.45" hidden="1" customHeight="1" x14ac:dyDescent="0.25">
      <c r="D4" s="4"/>
      <c r="F4" s="20"/>
    </row>
    <row r="5" spans="2:6" ht="19.899999999999999" customHeight="1" thickBot="1" x14ac:dyDescent="0.3">
      <c r="D5" s="15" t="s">
        <v>19</v>
      </c>
      <c r="F5" s="19" t="s">
        <v>20</v>
      </c>
    </row>
    <row r="6" spans="2:6" ht="28.15" customHeight="1" thickTop="1" thickBot="1" x14ac:dyDescent="0.3">
      <c r="B6" s="9"/>
      <c r="C6" s="10" t="s">
        <v>21</v>
      </c>
      <c r="D6" s="9"/>
      <c r="E6" s="63"/>
      <c r="F6" s="9"/>
    </row>
    <row r="7" spans="2:6" ht="10.15" customHeight="1" thickTop="1" x14ac:dyDescent="0.25"/>
    <row r="8" spans="2:6" ht="15" x14ac:dyDescent="0.25">
      <c r="D8" s="11" t="s">
        <v>15</v>
      </c>
      <c r="F8" s="16" t="s">
        <v>48</v>
      </c>
    </row>
    <row r="9" spans="2:6" ht="1.9" customHeight="1" x14ac:dyDescent="0.25">
      <c r="D9" s="12"/>
      <c r="F9" s="17"/>
    </row>
    <row r="10" spans="2:6" ht="15" x14ac:dyDescent="0.25">
      <c r="D10" s="11" t="s">
        <v>17</v>
      </c>
      <c r="F10" s="16" t="s">
        <v>49</v>
      </c>
    </row>
    <row r="11" spans="2:6" ht="3" customHeight="1" x14ac:dyDescent="0.25">
      <c r="D11" s="12"/>
      <c r="F11" s="17"/>
    </row>
    <row r="12" spans="2:6" ht="15" x14ac:dyDescent="0.25">
      <c r="D12" s="11" t="s">
        <v>23</v>
      </c>
      <c r="F12" s="16" t="s">
        <v>24</v>
      </c>
    </row>
    <row r="13" spans="2:6" ht="2.4500000000000002" customHeight="1" x14ac:dyDescent="0.25">
      <c r="D13" s="12"/>
      <c r="F13" s="17"/>
    </row>
    <row r="14" spans="2:6" ht="15" x14ac:dyDescent="0.25">
      <c r="C14" s="14"/>
      <c r="D14" s="11" t="s">
        <v>25</v>
      </c>
      <c r="F14" s="16" t="s">
        <v>26</v>
      </c>
    </row>
    <row r="15" spans="2:6" ht="15" x14ac:dyDescent="0.25">
      <c r="E15" s="64"/>
    </row>
    <row r="16" spans="2:6" ht="21" customHeight="1" x14ac:dyDescent="0.25">
      <c r="C16" s="102" t="s">
        <v>35</v>
      </c>
      <c r="D16" s="103"/>
      <c r="E16" s="103"/>
      <c r="F16" s="103"/>
    </row>
    <row r="17" spans="3:6" ht="20.45" customHeight="1" x14ac:dyDescent="0.25">
      <c r="C17" s="90" t="s">
        <v>5</v>
      </c>
      <c r="D17" s="90" t="s">
        <v>3</v>
      </c>
      <c r="E17" s="90" t="s">
        <v>2</v>
      </c>
      <c r="F17" s="91" t="s">
        <v>31</v>
      </c>
    </row>
    <row r="18" spans="3:6" ht="22.9" customHeight="1" x14ac:dyDescent="0.25">
      <c r="C18" s="92" t="s">
        <v>13</v>
      </c>
      <c r="D18" s="92" t="s">
        <v>30</v>
      </c>
      <c r="E18" s="93">
        <f>IFERROR(VLOOKUP(TabFaisCom[[#This Row],[Evaluation]],TabSettLegende[],2,FALSE)*TabFaisCom[[#This Row],[Coefficient de pondération]],"")</f>
        <v>1</v>
      </c>
      <c r="F18" s="94">
        <v>1</v>
      </c>
    </row>
    <row r="19" spans="3:6" ht="22.9" customHeight="1" x14ac:dyDescent="0.25">
      <c r="C19" s="92" t="s">
        <v>14</v>
      </c>
      <c r="D19" s="92" t="s">
        <v>27</v>
      </c>
      <c r="E19" s="93">
        <f>IFERROR(VLOOKUP(TabFaisCom[[#This Row],[Evaluation]],TabSettLegende[],2,FALSE)*TabFaisCom[[#This Row],[Coefficient de pondération]],"")</f>
        <v>16</v>
      </c>
      <c r="F19" s="94">
        <v>4</v>
      </c>
    </row>
    <row r="20" spans="3:6" ht="22.9" customHeight="1" x14ac:dyDescent="0.25">
      <c r="C20" s="92" t="s">
        <v>9</v>
      </c>
      <c r="D20" s="92" t="s">
        <v>27</v>
      </c>
      <c r="E20" s="93">
        <f>IFERROR(VLOOKUP(TabFaisCom[[#This Row],[Evaluation]],TabSettLegende[],2,FALSE)*TabFaisCom[[#This Row],[Coefficient de pondération]],"")</f>
        <v>20</v>
      </c>
      <c r="F20" s="94">
        <v>5</v>
      </c>
    </row>
    <row r="22" spans="3:6" ht="22.9" customHeight="1" x14ac:dyDescent="0.25">
      <c r="C22" s="102" t="s">
        <v>36</v>
      </c>
      <c r="D22" s="103"/>
      <c r="E22" s="103"/>
      <c r="F22" s="103"/>
    </row>
    <row r="23" spans="3:6" ht="22.9" customHeight="1" x14ac:dyDescent="0.25">
      <c r="C23" s="90" t="s">
        <v>5</v>
      </c>
      <c r="D23" s="90" t="s">
        <v>3</v>
      </c>
      <c r="E23" s="90" t="s">
        <v>2</v>
      </c>
      <c r="F23" s="91" t="s">
        <v>31</v>
      </c>
    </row>
    <row r="24" spans="3:6" ht="22.9" customHeight="1" x14ac:dyDescent="0.25">
      <c r="C24" s="92" t="s">
        <v>0</v>
      </c>
      <c r="D24" s="92" t="s">
        <v>28</v>
      </c>
      <c r="E24" s="93">
        <f>IFERROR(VLOOKUP(TabFaisTec[[#This Row],[Evaluation]],TabSettLegende[],2,FALSE)*TabFaisTec[[#This Row],[Coefficient de pondération]],"")</f>
        <v>3</v>
      </c>
      <c r="F24" s="94">
        <v>1</v>
      </c>
    </row>
    <row r="25" spans="3:6" ht="22.9" customHeight="1" x14ac:dyDescent="0.25">
      <c r="C25" s="92" t="s">
        <v>1</v>
      </c>
      <c r="D25" s="92" t="s">
        <v>30</v>
      </c>
      <c r="E25" s="93">
        <f>IFERROR(VLOOKUP(TabFaisTec[[#This Row],[Evaluation]],TabSettLegende[],2,FALSE)*TabFaisTec[[#This Row],[Coefficient de pondération]],"")</f>
        <v>4</v>
      </c>
      <c r="F25" s="94">
        <v>4</v>
      </c>
    </row>
    <row r="26" spans="3:6" ht="22.9" customHeight="1" x14ac:dyDescent="0.25">
      <c r="C26" s="92" t="s">
        <v>4</v>
      </c>
      <c r="D26" s="92" t="s">
        <v>28</v>
      </c>
      <c r="E26" s="93">
        <f>IFERROR(VLOOKUP(TabFaisTec[[#This Row],[Evaluation]],TabSettLegende[],2,FALSE)*TabFaisTec[[#This Row],[Coefficient de pondération]],"")</f>
        <v>6</v>
      </c>
      <c r="F26" s="94">
        <v>2</v>
      </c>
    </row>
    <row r="27" spans="3:6" ht="22.9" customHeight="1" x14ac:dyDescent="0.25">
      <c r="C27" s="92" t="s">
        <v>13</v>
      </c>
      <c r="D27" s="92" t="s">
        <v>27</v>
      </c>
      <c r="E27" s="93">
        <f>IFERROR(VLOOKUP(TabFaisTec[[#This Row],[Evaluation]],TabSettLegende[],2,FALSE)*TabFaisTec[[#This Row],[Coefficient de pondération]],"")</f>
        <v>12</v>
      </c>
      <c r="F27" s="94">
        <v>3</v>
      </c>
    </row>
    <row r="28" spans="3:6" ht="22.9" customHeight="1" x14ac:dyDescent="0.25">
      <c r="C28" s="92" t="s">
        <v>14</v>
      </c>
      <c r="D28" s="92" t="s">
        <v>28</v>
      </c>
      <c r="E28" s="93">
        <f>IFERROR(VLOOKUP(TabFaisTec[[#This Row],[Evaluation]],TabSettLegende[],2,FALSE)*TabFaisTec[[#This Row],[Coefficient de pondération]],"")</f>
        <v>3</v>
      </c>
      <c r="F28" s="94">
        <v>1</v>
      </c>
    </row>
    <row r="29" spans="3:6" ht="22.9" customHeight="1" x14ac:dyDescent="0.25">
      <c r="C29" s="92" t="s">
        <v>9</v>
      </c>
      <c r="D29" s="92" t="s">
        <v>30</v>
      </c>
      <c r="E29" s="93">
        <f>IFERROR(VLOOKUP(TabFaisTec[[#This Row],[Evaluation]],TabSettLegende[],2,FALSE)*TabFaisTec[[#This Row],[Coefficient de pondération]],"")</f>
        <v>4</v>
      </c>
      <c r="F29" s="94">
        <v>4</v>
      </c>
    </row>
    <row r="31" spans="3:6" ht="22.9" customHeight="1" x14ac:dyDescent="0.25">
      <c r="C31" s="102" t="s">
        <v>37</v>
      </c>
      <c r="D31" s="103"/>
      <c r="E31" s="103"/>
      <c r="F31" s="103"/>
    </row>
    <row r="32" spans="3:6" ht="22.9" customHeight="1" x14ac:dyDescent="0.25">
      <c r="C32" s="90" t="s">
        <v>5</v>
      </c>
      <c r="D32" s="90" t="s">
        <v>3</v>
      </c>
      <c r="E32" s="90" t="s">
        <v>2</v>
      </c>
      <c r="F32" s="91" t="s">
        <v>31</v>
      </c>
    </row>
    <row r="33" spans="3:6" ht="22.9" customHeight="1" x14ac:dyDescent="0.25">
      <c r="C33" s="92" t="s">
        <v>0</v>
      </c>
      <c r="D33" s="92" t="s">
        <v>27</v>
      </c>
      <c r="E33" s="93">
        <f>IFERROR(VLOOKUP(TabFaisFin[[#This Row],[Evaluation]],TabSettLegende[],2,FALSE)*TabFaisFin[[#This Row],[Coefficient de pondération]],"")</f>
        <v>16</v>
      </c>
      <c r="F33" s="94">
        <v>4</v>
      </c>
    </row>
    <row r="34" spans="3:6" ht="22.9" customHeight="1" x14ac:dyDescent="0.25">
      <c r="C34" s="92" t="s">
        <v>1</v>
      </c>
      <c r="D34" s="92" t="s">
        <v>29</v>
      </c>
      <c r="E34" s="93">
        <f>IFERROR(VLOOKUP(TabFaisFin[[#This Row],[Evaluation]],TabSettLegende[],2,FALSE)*TabFaisFin[[#This Row],[Coefficient de pondération]],"")</f>
        <v>6</v>
      </c>
      <c r="F34" s="94">
        <v>3</v>
      </c>
    </row>
    <row r="35" spans="3:6" ht="22.9" customHeight="1" x14ac:dyDescent="0.25">
      <c r="C35" s="92" t="s">
        <v>14</v>
      </c>
      <c r="D35" s="92" t="s">
        <v>29</v>
      </c>
      <c r="E35" s="93">
        <f>IFERROR(VLOOKUP(TabFaisFin[[#This Row],[Evaluation]],TabSettLegende[],2,FALSE)*TabFaisFin[[#This Row],[Coefficient de pondération]],"")</f>
        <v>2</v>
      </c>
      <c r="F35" s="94">
        <v>1</v>
      </c>
    </row>
    <row r="36" spans="3:6" ht="22.9" customHeight="1" x14ac:dyDescent="0.25">
      <c r="C36" s="92" t="s">
        <v>9</v>
      </c>
      <c r="D36" s="92" t="s">
        <v>27</v>
      </c>
      <c r="E36" s="93">
        <f>IFERROR(VLOOKUP(TabFaisFin[[#This Row],[Evaluation]],TabSettLegende[],2,FALSE)*TabFaisFin[[#This Row],[Coefficient de pondération]],"")</f>
        <v>16</v>
      </c>
      <c r="F36" s="94">
        <v>4</v>
      </c>
    </row>
    <row r="38" spans="3:6" ht="22.9" customHeight="1" x14ac:dyDescent="0.25">
      <c r="C38" s="102" t="s">
        <v>38</v>
      </c>
      <c r="D38" s="103"/>
      <c r="E38" s="103"/>
      <c r="F38" s="103"/>
    </row>
    <row r="39" spans="3:6" ht="22.9" customHeight="1" x14ac:dyDescent="0.25">
      <c r="C39" s="90" t="s">
        <v>5</v>
      </c>
      <c r="D39" s="90" t="s">
        <v>3</v>
      </c>
      <c r="E39" s="90" t="s">
        <v>2</v>
      </c>
      <c r="F39" s="91" t="s">
        <v>31</v>
      </c>
    </row>
    <row r="40" spans="3:6" ht="22.9" customHeight="1" x14ac:dyDescent="0.25">
      <c r="C40" s="92" t="s">
        <v>0</v>
      </c>
      <c r="D40" s="92" t="s">
        <v>27</v>
      </c>
      <c r="E40" s="93">
        <f>IFERROR(VLOOKUP(TabFaisEcoSoc[[#This Row],[Evaluation]],TabSettLegende[],2,FALSE)*TabFaisEcoSoc[[#This Row],[Coefficient de pondération]],"")</f>
        <v>8</v>
      </c>
      <c r="F40" s="94">
        <v>2</v>
      </c>
    </row>
    <row r="41" spans="3:6" ht="22.9" customHeight="1" x14ac:dyDescent="0.25">
      <c r="C41" s="92" t="s">
        <v>1</v>
      </c>
      <c r="D41" s="92" t="s">
        <v>30</v>
      </c>
      <c r="E41" s="93">
        <f>IFERROR(VLOOKUP(TabFaisEcoSoc[[#This Row],[Evaluation]],TabSettLegende[],2,FALSE)*TabFaisEcoSoc[[#This Row],[Coefficient de pondération]],"")</f>
        <v>2</v>
      </c>
      <c r="F41" s="94">
        <v>2</v>
      </c>
    </row>
    <row r="42" spans="3:6" ht="22.9" customHeight="1" x14ac:dyDescent="0.25">
      <c r="C42" s="92" t="s">
        <v>4</v>
      </c>
      <c r="D42" s="92" t="s">
        <v>30</v>
      </c>
      <c r="E42" s="93">
        <f>IFERROR(VLOOKUP(TabFaisEcoSoc[[#This Row],[Evaluation]],TabSettLegende[],2,FALSE)*TabFaisEcoSoc[[#This Row],[Coefficient de pondération]],"")</f>
        <v>1</v>
      </c>
      <c r="F42" s="94">
        <v>1</v>
      </c>
    </row>
    <row r="43" spans="3:6" ht="22.9" customHeight="1" x14ac:dyDescent="0.25">
      <c r="C43" s="92" t="s">
        <v>13</v>
      </c>
      <c r="D43" s="92" t="s">
        <v>27</v>
      </c>
      <c r="E43" s="93">
        <f>IFERROR(VLOOKUP(TabFaisEcoSoc[[#This Row],[Evaluation]],TabSettLegende[],2,FALSE)*TabFaisEcoSoc[[#This Row],[Coefficient de pondération]],"")</f>
        <v>16</v>
      </c>
      <c r="F43" s="94">
        <v>4</v>
      </c>
    </row>
    <row r="44" spans="3:6" ht="22.9" customHeight="1" x14ac:dyDescent="0.25">
      <c r="C44" s="92" t="s">
        <v>14</v>
      </c>
      <c r="D44" s="92" t="s">
        <v>30</v>
      </c>
      <c r="E44" s="93">
        <f>IFERROR(VLOOKUP(TabFaisEcoSoc[[#This Row],[Evaluation]],TabSettLegende[],2,FALSE)*TabFaisEcoSoc[[#This Row],[Coefficient de pondération]],"")</f>
        <v>3</v>
      </c>
      <c r="F44" s="94">
        <v>3</v>
      </c>
    </row>
    <row r="45" spans="3:6" ht="22.9" customHeight="1" x14ac:dyDescent="0.25">
      <c r="C45" s="92" t="s">
        <v>9</v>
      </c>
      <c r="D45" s="92" t="s">
        <v>27</v>
      </c>
      <c r="E45" s="93">
        <f>IFERROR(VLOOKUP(TabFaisEcoSoc[[#This Row],[Evaluation]],TabSettLegende[],2,FALSE)*TabFaisEcoSoc[[#This Row],[Coefficient de pondération]],"")</f>
        <v>4</v>
      </c>
      <c r="F45" s="94">
        <v>1</v>
      </c>
    </row>
  </sheetData>
  <sheetProtection sheet="1" objects="1" scenarios="1"/>
  <mergeCells count="4">
    <mergeCell ref="C16:F16"/>
    <mergeCell ref="C22:F22"/>
    <mergeCell ref="C31:F31"/>
    <mergeCell ref="C38:F38"/>
  </mergeCells>
  <phoneticPr fontId="36" type="noConversion"/>
  <conditionalFormatting sqref="D18:D20 D24:D29 D33:D36 D40:D45">
    <cfRule type="expression" dxfId="72" priority="5">
      <formula>$D18="Pas du tout d'accord"</formula>
    </cfRule>
  </conditionalFormatting>
  <conditionalFormatting sqref="D18:D20 D24:D29 D33:D36 D40:D45">
    <cfRule type="expression" dxfId="71" priority="4">
      <formula>$D18="Plutôt pas d'accord"</formula>
    </cfRule>
  </conditionalFormatting>
  <conditionalFormatting sqref="D18:D20 D24:D29 D33:D36 D40:D45">
    <cfRule type="expression" dxfId="70" priority="3">
      <formula>$D18="Plutôt d'accord"</formula>
    </cfRule>
  </conditionalFormatting>
  <conditionalFormatting sqref="D18:D20 D24:D29 D33:D36 D40:D45">
    <cfRule type="expression" dxfId="69" priority="2">
      <formula>$D18="Tout à fait d'accord"</formula>
    </cfRule>
  </conditionalFormatting>
  <conditionalFormatting sqref="F18:F20 F24:F29 F33:F36 F40:F45">
    <cfRule type="dataBar" priority="1">
      <dataBar>
        <cfvo type="formula" val="0"/>
        <cfvo type="formula" val="5"/>
        <color rgb="FFFFB628"/>
      </dataBar>
      <extLst>
        <ext xmlns:x14="http://schemas.microsoft.com/office/spreadsheetml/2009/9/main" uri="{B025F937-C7B1-47D3-B67F-A62EFF666E3E}">
          <x14:id>{57277D7D-DBA4-4151-979C-F32FD35FEF90}</x14:id>
        </ext>
      </extLst>
    </cfRule>
  </conditionalFormatting>
  <dataValidations count="2">
    <dataValidation type="list" allowBlank="1" showInputMessage="1" showErrorMessage="1" sqref="D24:D29 D18:D20 D40:D45 D33:D36" xr:uid="{65DF088C-1F7E-4A25-8560-097EE694A126}">
      <formula1>INDIRECT("TabSettLegende[Choix]")</formula1>
    </dataValidation>
    <dataValidation type="list" allowBlank="1" showInputMessage="1" showErrorMessage="1" sqref="F24:F29 F18:F20 F40:F45 F33:F36" xr:uid="{6BB8C4BA-C685-4FF2-B1C5-6856B53CF5B2}">
      <formula1>INDIRECT("TabSettCoeffPond[Valeur]")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277D7D-DBA4-4151-979C-F32FD35FEF90}">
            <x14:dataBar minLength="0" maxLength="100" border="1" negativeBarBorderColorSameAsPositive="0">
              <x14:cfvo type="formula">
                <xm:f>0</xm:f>
              </x14:cfvo>
              <x14:cfvo type="formula">
                <xm:f>5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F18:F20 F24:F29 F33:F36 F40:F45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1EADB-08A5-44F9-A21E-989872C29335}">
  <sheetPr codeName="ShDashboard">
    <tabColor rgb="FFC00000"/>
  </sheetPr>
  <dimension ref="A1:K126"/>
  <sheetViews>
    <sheetView showGridLines="0" topLeftCell="A13" zoomScaleNormal="100" workbookViewId="0">
      <selection activeCell="D25" sqref="D25"/>
    </sheetView>
  </sheetViews>
  <sheetFormatPr defaultColWidth="0" defaultRowHeight="15" x14ac:dyDescent="0.25"/>
  <cols>
    <col min="1" max="1" width="3.140625" customWidth="1"/>
    <col min="2" max="2" width="8.85546875" customWidth="1"/>
    <col min="3" max="3" width="13" customWidth="1"/>
    <col min="4" max="4" width="32" customWidth="1"/>
    <col min="5" max="5" width="18" bestFit="1" customWidth="1"/>
    <col min="6" max="6" width="12" bestFit="1" customWidth="1"/>
    <col min="7" max="7" width="7.7109375" hidden="1" customWidth="1"/>
    <col min="8" max="9" width="68.7109375" bestFit="1" customWidth="1"/>
    <col min="10" max="10" width="26.28515625" customWidth="1"/>
    <col min="11" max="11" width="3.28515625" customWidth="1"/>
    <col min="12" max="16384" width="8.85546875" hidden="1"/>
  </cols>
  <sheetData>
    <row r="1" spans="2:10" ht="19.899999999999999" customHeight="1" x14ac:dyDescent="0.25">
      <c r="I1" s="8" t="s">
        <v>16</v>
      </c>
      <c r="J1" s="18">
        <v>44893</v>
      </c>
    </row>
    <row r="2" spans="2:10" ht="14.45" hidden="1" customHeight="1" x14ac:dyDescent="0.25">
      <c r="I2" s="4"/>
      <c r="J2" s="20"/>
    </row>
    <row r="3" spans="2:10" ht="19.899999999999999" customHeight="1" x14ac:dyDescent="0.25">
      <c r="I3" s="8" t="s">
        <v>18</v>
      </c>
      <c r="J3" s="18"/>
    </row>
    <row r="4" spans="2:10" ht="14.45" hidden="1" customHeight="1" x14ac:dyDescent="0.25">
      <c r="I4" s="4"/>
      <c r="J4" s="20"/>
    </row>
    <row r="5" spans="2:10" ht="19.899999999999999" customHeight="1" thickBot="1" x14ac:dyDescent="0.3">
      <c r="I5" s="15" t="s">
        <v>19</v>
      </c>
      <c r="J5" s="19" t="s">
        <v>20</v>
      </c>
    </row>
    <row r="6" spans="2:10" ht="28.15" customHeight="1" thickTop="1" thickBot="1" x14ac:dyDescent="0.3">
      <c r="B6" s="9"/>
      <c r="C6" s="10" t="s">
        <v>33</v>
      </c>
      <c r="D6" s="9"/>
      <c r="E6" s="9"/>
      <c r="F6" s="9"/>
      <c r="G6" s="9"/>
      <c r="H6" s="9"/>
      <c r="I6" s="9"/>
      <c r="J6" s="9"/>
    </row>
    <row r="7" spans="2:10" ht="12" customHeight="1" thickTop="1" x14ac:dyDescent="0.25"/>
    <row r="8" spans="2:10" ht="12.6" customHeight="1" x14ac:dyDescent="0.25"/>
    <row r="9" spans="2:10" ht="22.15" customHeight="1" x14ac:dyDescent="0.25"/>
    <row r="10" spans="2:10" ht="22.15" customHeight="1" x14ac:dyDescent="0.25"/>
    <row r="11" spans="2:10" ht="22.15" customHeight="1" x14ac:dyDescent="0.25"/>
    <row r="12" spans="2:10" ht="22.15" customHeight="1" x14ac:dyDescent="0.25"/>
    <row r="13" spans="2:10" ht="22.15" customHeight="1" x14ac:dyDescent="0.25"/>
    <row r="14" spans="2:10" ht="61.9" customHeight="1" x14ac:dyDescent="0.25"/>
    <row r="18" spans="4:8" ht="30" customHeight="1" x14ac:dyDescent="0.25"/>
    <row r="19" spans="4:8" s="83" customFormat="1" ht="35.450000000000003" customHeight="1" x14ac:dyDescent="0.25"/>
    <row r="20" spans="4:8" s="14" customFormat="1" x14ac:dyDescent="0.25">
      <c r="D20" s="61" t="s">
        <v>152</v>
      </c>
      <c r="E20" s="88" t="s">
        <v>10</v>
      </c>
      <c r="F20" s="88" t="s">
        <v>34</v>
      </c>
      <c r="G20" s="88" t="s">
        <v>45</v>
      </c>
      <c r="H20" s="89" t="s">
        <v>3</v>
      </c>
    </row>
    <row r="21" spans="4:8" s="83" customFormat="1" hidden="1" x14ac:dyDescent="0.25">
      <c r="D21" s="13" t="s">
        <v>152</v>
      </c>
      <c r="E21" s="13" t="s">
        <v>10</v>
      </c>
      <c r="F21" s="13" t="s">
        <v>34</v>
      </c>
      <c r="G21" s="13" t="s">
        <v>45</v>
      </c>
      <c r="H21" s="13" t="s">
        <v>3</v>
      </c>
    </row>
    <row r="22" spans="4:8" s="83" customFormat="1" ht="31.9" customHeight="1" x14ac:dyDescent="0.25">
      <c r="D22" s="21" t="s">
        <v>35</v>
      </c>
      <c r="E22" s="21" t="str" cm="1">
        <f t="array" aca="1" ref="E22" ca="1">IFERROR(INDEX(TabSettEvalProjet[],TabSynthese[[#This Row],[Position]],2),"ERROR")</f>
        <v>TRÈS SATISFAISANTE</v>
      </c>
      <c r="F22" s="22">
        <v>3.7</v>
      </c>
      <c r="G22" s="14" cm="1">
        <f t="array" aca="1" ref="G22" ca="1">FindValueInRange(TabSynthese[[#This Row],[Moyenne]],TabSettEvalProjet[])</f>
        <v>4</v>
      </c>
      <c r="H22" s="21" t="str" cm="1">
        <f t="array" aca="1" ref="H22" ca="1">INDEX(TabSettEvalProjet[],TabSynthese[[#This Row],[Position]],3)</f>
        <v>L'évaluation du projet semble intéressante.</v>
      </c>
    </row>
    <row r="23" spans="4:8" s="83" customFormat="1" ht="31.9" customHeight="1" x14ac:dyDescent="0.25">
      <c r="D23" s="21" t="s">
        <v>36</v>
      </c>
      <c r="E23" s="21" t="str" cm="1">
        <f t="array" aca="1" ref="E23" ca="1">IFERROR(INDEX(TabSettEvalProjet[],TabSynthese[[#This Row],[Position]],2),"ERROR")</f>
        <v>PEU SATISFAISANTE</v>
      </c>
      <c r="F23" s="22">
        <v>2.1333333333333333</v>
      </c>
      <c r="G23" s="14" cm="1">
        <f t="array" aca="1" ref="G23" ca="1">FindValueInRange(TabSynthese[[#This Row],[Moyenne]],TabSettEvalProjet[])</f>
        <v>2</v>
      </c>
      <c r="H23" s="21" t="str" cm="1">
        <f t="array" aca="1" ref="H23" ca="1">INDEX(TabSettEvalProjet[],TabSynthese[[#This Row],[Position]],3)</f>
        <v>L'évaluation est satisfaisante mais présente un ou plusieurs risques à considérer.</v>
      </c>
    </row>
    <row r="24" spans="4:8" s="83" customFormat="1" ht="31.9" customHeight="1" x14ac:dyDescent="0.25">
      <c r="D24" s="21" t="s">
        <v>37</v>
      </c>
      <c r="E24" s="21" t="str" cm="1">
        <f t="array" aca="1" ref="E24" ca="1">IFERROR(INDEX(TabSettEvalProjet[],TabSynthese[[#This Row],[Position]],2),"ERROR")</f>
        <v>SATISFAISANTE</v>
      </c>
      <c r="F24" s="22">
        <v>3.3333333333333335</v>
      </c>
      <c r="G24" s="14" cm="1">
        <f t="array" aca="1" ref="G24" ca="1">FindValueInRange(TabSynthese[[#This Row],[Moyenne]],TabSettEvalProjet[])</f>
        <v>3</v>
      </c>
      <c r="H24" s="21" t="str" cm="1">
        <f t="array" aca="1" ref="H24" ca="1">INDEX(TabSettEvalProjet[],TabSynthese[[#This Row],[Position]],3)</f>
        <v>L'évaluation du projet semble très saisfaisante.</v>
      </c>
    </row>
    <row r="25" spans="4:8" s="83" customFormat="1" ht="31.9" customHeight="1" x14ac:dyDescent="0.25">
      <c r="D25" s="21" t="s">
        <v>38</v>
      </c>
      <c r="E25" s="21" t="str" cm="1">
        <f t="array" aca="1" ref="E25" ca="1">IFERROR(INDEX(TabSettEvalProjet[],TabSynthese[[#This Row],[Position]],2),"ERROR")</f>
        <v>PEU SATISFAISANTE</v>
      </c>
      <c r="F25" s="22">
        <v>2.6153846153846154</v>
      </c>
      <c r="G25" s="14" cm="1">
        <f t="array" aca="1" ref="G25" ca="1">FindValueInRange(TabSynthese[[#This Row],[Moyenne]],TabSettEvalProjet[])</f>
        <v>2</v>
      </c>
      <c r="H25" s="21" t="str" cm="1">
        <f t="array" aca="1" ref="H25" ca="1">INDEX(TabSettEvalProjet[],TabSynthese[[#This Row],[Position]],3)</f>
        <v>L'évaluation est satisfaisante mais présente un ou plusieurs risques à considérer.</v>
      </c>
    </row>
    <row r="26" spans="4:8" s="83" customFormat="1" ht="31.9" customHeight="1" x14ac:dyDescent="0.25"/>
    <row r="27" spans="4:8" s="83" customFormat="1" ht="31.9" customHeight="1" x14ac:dyDescent="0.25"/>
    <row r="28" spans="4:8" s="83" customFormat="1" ht="31.9" customHeight="1" x14ac:dyDescent="0.25"/>
    <row r="29" spans="4:8" s="83" customFormat="1" ht="31.9" customHeight="1" x14ac:dyDescent="0.25"/>
    <row r="30" spans="4:8" s="83" customFormat="1" ht="31.9" customHeight="1" x14ac:dyDescent="0.25"/>
    <row r="31" spans="4:8" s="83" customFormat="1" ht="31.9" customHeight="1" x14ac:dyDescent="0.25"/>
    <row r="32" spans="4:8" s="83" customFormat="1" ht="31.9" customHeight="1" x14ac:dyDescent="0.25"/>
    <row r="33" s="83" customFormat="1" ht="31.9" customHeight="1" x14ac:dyDescent="0.25"/>
    <row r="34" s="83" customFormat="1" ht="31.9" customHeight="1" x14ac:dyDescent="0.25"/>
    <row r="35" s="83" customFormat="1" ht="31.9" customHeight="1" x14ac:dyDescent="0.25"/>
    <row r="36" s="83" customFormat="1" ht="31.9" customHeight="1" x14ac:dyDescent="0.25"/>
    <row r="37" s="83" customFormat="1" ht="31.9" customHeight="1" x14ac:dyDescent="0.25"/>
    <row r="38" s="83" customFormat="1" ht="31.9" customHeight="1" x14ac:dyDescent="0.25"/>
    <row r="39" s="83" customFormat="1" ht="31.9" customHeight="1" x14ac:dyDescent="0.25"/>
    <row r="40" s="83" customFormat="1" ht="31.9" customHeight="1" x14ac:dyDescent="0.25"/>
    <row r="41" s="83" customFormat="1" ht="31.9" customHeight="1" x14ac:dyDescent="0.25"/>
    <row r="42" s="83" customFormat="1" ht="31.9" customHeight="1" x14ac:dyDescent="0.25"/>
    <row r="43" s="83" customFormat="1" ht="31.9" customHeight="1" x14ac:dyDescent="0.25"/>
    <row r="44" s="83" customFormat="1" ht="31.9" customHeight="1" x14ac:dyDescent="0.25"/>
    <row r="45" s="83" customFormat="1" ht="31.9" customHeight="1" x14ac:dyDescent="0.25"/>
    <row r="46" s="83" customFormat="1" ht="31.9" customHeight="1" x14ac:dyDescent="0.25"/>
    <row r="47" s="83" customFormat="1" ht="31.9" customHeight="1" x14ac:dyDescent="0.25"/>
    <row r="48" s="83" customFormat="1" ht="31.9" customHeight="1" x14ac:dyDescent="0.25"/>
    <row r="49" spans="4:8" s="83" customFormat="1" ht="31.9" customHeight="1" x14ac:dyDescent="0.25"/>
    <row r="50" spans="4:8" s="83" customFormat="1" ht="31.9" customHeight="1" x14ac:dyDescent="0.25"/>
    <row r="51" spans="4:8" s="83" customFormat="1" ht="31.9" customHeight="1" x14ac:dyDescent="0.25"/>
    <row r="52" spans="4:8" s="83" customFormat="1" ht="31.9" customHeight="1" x14ac:dyDescent="0.25"/>
    <row r="53" spans="4:8" s="83" customFormat="1" ht="31.9" customHeight="1" x14ac:dyDescent="0.25"/>
    <row r="54" spans="4:8" s="83" customFormat="1" ht="31.9" customHeight="1" x14ac:dyDescent="0.25"/>
    <row r="55" spans="4:8" s="83" customFormat="1" ht="31.9" customHeight="1" x14ac:dyDescent="0.25"/>
    <row r="56" spans="4:8" s="83" customFormat="1" ht="31.9" customHeight="1" x14ac:dyDescent="0.25"/>
    <row r="57" spans="4:8" s="83" customFormat="1" ht="31.9" customHeight="1" x14ac:dyDescent="0.25"/>
    <row r="58" spans="4:8" s="83" customFormat="1" ht="31.9" customHeight="1" x14ac:dyDescent="0.25"/>
    <row r="59" spans="4:8" s="83" customFormat="1" ht="31.9" customHeight="1" x14ac:dyDescent="0.25"/>
    <row r="60" spans="4:8" s="83" customFormat="1" ht="31.9" customHeight="1" x14ac:dyDescent="0.25"/>
    <row r="61" spans="4:8" s="83" customFormat="1" ht="31.9" customHeight="1" x14ac:dyDescent="0.25"/>
    <row r="62" spans="4:8" s="83" customFormat="1" ht="31.9" customHeight="1" x14ac:dyDescent="0.25">
      <c r="H62"/>
    </row>
    <row r="63" spans="4:8" ht="31.9" customHeight="1" x14ac:dyDescent="0.25">
      <c r="D63" s="83"/>
      <c r="E63" s="83"/>
      <c r="F63" s="83"/>
      <c r="G63" s="83"/>
    </row>
    <row r="64" spans="4:8" ht="31.9" customHeight="1" x14ac:dyDescent="0.25"/>
    <row r="65" ht="31.9" customHeight="1" x14ac:dyDescent="0.25"/>
    <row r="66" ht="31.9" customHeight="1" x14ac:dyDescent="0.25"/>
    <row r="67" ht="31.9" customHeight="1" x14ac:dyDescent="0.25"/>
    <row r="68" ht="31.9" customHeight="1" x14ac:dyDescent="0.25"/>
    <row r="69" ht="31.9" customHeight="1" x14ac:dyDescent="0.25"/>
    <row r="70" ht="31.9" customHeight="1" x14ac:dyDescent="0.25"/>
    <row r="71" ht="31.9" customHeight="1" x14ac:dyDescent="0.25"/>
    <row r="72" ht="31.9" customHeight="1" x14ac:dyDescent="0.25"/>
    <row r="73" ht="31.9" customHeight="1" x14ac:dyDescent="0.25"/>
    <row r="74" ht="31.9" customHeight="1" x14ac:dyDescent="0.25"/>
    <row r="75" ht="31.9" customHeight="1" x14ac:dyDescent="0.25"/>
    <row r="76" ht="31.9" customHeight="1" x14ac:dyDescent="0.25"/>
    <row r="77" ht="31.9" customHeight="1" x14ac:dyDescent="0.25"/>
    <row r="78" ht="31.9" customHeight="1" x14ac:dyDescent="0.25"/>
    <row r="79" ht="31.9" customHeight="1" x14ac:dyDescent="0.25"/>
    <row r="80" ht="31.9" customHeight="1" x14ac:dyDescent="0.25"/>
    <row r="81" ht="31.9" customHeight="1" x14ac:dyDescent="0.25"/>
    <row r="82" ht="31.9" customHeight="1" x14ac:dyDescent="0.25"/>
    <row r="83" ht="31.9" customHeight="1" x14ac:dyDescent="0.25"/>
    <row r="84" ht="31.9" customHeight="1" x14ac:dyDescent="0.25"/>
    <row r="85" ht="31.9" customHeight="1" x14ac:dyDescent="0.25"/>
    <row r="86" ht="31.9" customHeight="1" x14ac:dyDescent="0.25"/>
    <row r="87" ht="31.9" customHeight="1" x14ac:dyDescent="0.25"/>
    <row r="88" ht="31.9" customHeight="1" x14ac:dyDescent="0.25"/>
    <row r="89" ht="31.9" customHeight="1" x14ac:dyDescent="0.25"/>
    <row r="90" ht="31.9" customHeight="1" x14ac:dyDescent="0.25"/>
    <row r="91" ht="31.9" customHeight="1" x14ac:dyDescent="0.25"/>
    <row r="92" ht="31.9" customHeight="1" x14ac:dyDescent="0.25"/>
    <row r="93" ht="31.9" customHeight="1" x14ac:dyDescent="0.25"/>
    <row r="94" ht="31.9" customHeight="1" x14ac:dyDescent="0.25"/>
    <row r="95" ht="31.9" customHeight="1" x14ac:dyDescent="0.25"/>
    <row r="96" ht="31.9" customHeight="1" x14ac:dyDescent="0.25"/>
    <row r="97" ht="31.9" customHeight="1" x14ac:dyDescent="0.25"/>
    <row r="98" ht="31.9" customHeight="1" x14ac:dyDescent="0.25"/>
    <row r="99" ht="31.9" customHeight="1" x14ac:dyDescent="0.25"/>
    <row r="100" ht="31.9" customHeight="1" x14ac:dyDescent="0.25"/>
    <row r="101" ht="31.9" customHeight="1" x14ac:dyDescent="0.25"/>
    <row r="102" ht="31.9" customHeight="1" x14ac:dyDescent="0.25"/>
    <row r="103" ht="31.9" customHeight="1" x14ac:dyDescent="0.25"/>
    <row r="104" ht="31.9" customHeight="1" x14ac:dyDescent="0.25"/>
    <row r="105" ht="31.9" customHeight="1" x14ac:dyDescent="0.25"/>
    <row r="106" ht="31.9" customHeight="1" x14ac:dyDescent="0.25"/>
    <row r="107" ht="31.9" customHeight="1" x14ac:dyDescent="0.25"/>
    <row r="108" ht="31.9" customHeight="1" x14ac:dyDescent="0.25"/>
    <row r="109" ht="31.9" customHeight="1" x14ac:dyDescent="0.25"/>
    <row r="110" ht="31.9" customHeight="1" x14ac:dyDescent="0.25"/>
    <row r="111" ht="31.9" customHeight="1" x14ac:dyDescent="0.25"/>
    <row r="112" ht="31.9" customHeight="1" x14ac:dyDescent="0.25"/>
    <row r="113" ht="31.9" customHeight="1" x14ac:dyDescent="0.25"/>
    <row r="114" ht="31.9" customHeight="1" x14ac:dyDescent="0.25"/>
    <row r="115" ht="31.9" customHeight="1" x14ac:dyDescent="0.25"/>
    <row r="116" ht="31.9" customHeight="1" x14ac:dyDescent="0.25"/>
    <row r="117" ht="31.9" customHeight="1" x14ac:dyDescent="0.25"/>
    <row r="118" ht="31.9" customHeight="1" x14ac:dyDescent="0.25"/>
    <row r="119" ht="31.9" customHeight="1" x14ac:dyDescent="0.25"/>
    <row r="120" ht="31.9" customHeight="1" x14ac:dyDescent="0.25"/>
    <row r="121" ht="19.149999999999999" customHeight="1" x14ac:dyDescent="0.25"/>
    <row r="122" ht="19.149999999999999" customHeight="1" x14ac:dyDescent="0.25"/>
    <row r="123" ht="19.149999999999999" customHeight="1" x14ac:dyDescent="0.25"/>
    <row r="124" ht="19.149999999999999" customHeight="1" x14ac:dyDescent="0.25"/>
    <row r="125" ht="19.149999999999999" customHeight="1" x14ac:dyDescent="0.25"/>
    <row r="126" ht="19.149999999999999" customHeight="1" x14ac:dyDescent="0.25"/>
  </sheetData>
  <sheetProtection sheet="1" objects="1" scenarios="1"/>
  <conditionalFormatting sqref="D22:H25">
    <cfRule type="expression" dxfId="3" priority="4">
      <formula>$E22="NON SATISFAISANTE"</formula>
    </cfRule>
    <cfRule type="expression" dxfId="2" priority="3">
      <formula>$E22="PEU SATISFAISANTE"</formula>
    </cfRule>
    <cfRule type="expression" dxfId="1" priority="2">
      <formula>$E22="SATISFAISANTE"</formula>
    </cfRule>
    <cfRule type="expression" dxfId="0" priority="1">
      <formula>$E22="TRÈS SATISFAISANTE"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853F5-74DE-45BF-AD88-53F1C02927D4}">
  <sheetPr codeName="ShSettings">
    <tabColor rgb="FF7030A0"/>
  </sheetPr>
  <dimension ref="B1:L51"/>
  <sheetViews>
    <sheetView showGridLines="0" workbookViewId="0">
      <selection activeCell="K13" sqref="K13"/>
    </sheetView>
  </sheetViews>
  <sheetFormatPr defaultColWidth="8.85546875" defaultRowHeight="15" x14ac:dyDescent="0.25"/>
  <cols>
    <col min="1" max="1" width="3.140625" style="24" customWidth="1"/>
    <col min="2" max="2" width="9.7109375" style="24" customWidth="1"/>
    <col min="3" max="3" width="14.7109375" style="66" hidden="1" customWidth="1"/>
    <col min="4" max="4" width="20.28515625" style="24" customWidth="1"/>
    <col min="5" max="5" width="47.7109375" style="24" customWidth="1"/>
    <col min="6" max="6" width="11" style="24" customWidth="1"/>
    <col min="7" max="7" width="0.5703125" style="24" customWidth="1"/>
    <col min="8" max="8" width="13.7109375" style="24" customWidth="1"/>
    <col min="9" max="9" width="29.28515625" style="24" customWidth="1"/>
    <col min="10" max="10" width="11.28515625" style="24" customWidth="1"/>
    <col min="11" max="11" width="21.28515625" style="24" customWidth="1"/>
    <col min="12" max="12" width="17.85546875" style="24" customWidth="1"/>
    <col min="13" max="16384" width="8.85546875" style="24"/>
  </cols>
  <sheetData>
    <row r="1" spans="2:12" ht="19.899999999999999" customHeight="1" x14ac:dyDescent="0.25">
      <c r="K1" s="25" t="s">
        <v>16</v>
      </c>
      <c r="L1" s="74">
        <v>44893</v>
      </c>
    </row>
    <row r="2" spans="2:12" ht="14.45" hidden="1" customHeight="1" x14ac:dyDescent="0.25">
      <c r="K2" s="26"/>
      <c r="L2" s="27"/>
    </row>
    <row r="3" spans="2:12" ht="19.899999999999999" customHeight="1" x14ac:dyDescent="0.25">
      <c r="K3" s="25" t="s">
        <v>18</v>
      </c>
      <c r="L3" s="74"/>
    </row>
    <row r="4" spans="2:12" ht="14.45" hidden="1" customHeight="1" x14ac:dyDescent="0.25">
      <c r="K4" s="26"/>
      <c r="L4" s="27"/>
    </row>
    <row r="5" spans="2:12" ht="19.899999999999999" customHeight="1" thickBot="1" x14ac:dyDescent="0.3">
      <c r="K5" s="28" t="s">
        <v>19</v>
      </c>
      <c r="L5" s="75" t="s">
        <v>20</v>
      </c>
    </row>
    <row r="6" spans="2:12" ht="28.15" customHeight="1" thickTop="1" thickBot="1" x14ac:dyDescent="0.3">
      <c r="B6" s="29"/>
      <c r="C6" s="67" t="s">
        <v>22</v>
      </c>
      <c r="D6" s="29" t="s">
        <v>22</v>
      </c>
      <c r="E6" s="29"/>
      <c r="F6" s="29"/>
      <c r="G6" s="29"/>
      <c r="H6" s="29"/>
      <c r="I6" s="29"/>
      <c r="J6" s="29"/>
      <c r="K6" s="56" t="s">
        <v>97</v>
      </c>
      <c r="L6" s="77">
        <v>2</v>
      </c>
    </row>
    <row r="7" spans="2:12" ht="15.75" thickTop="1" x14ac:dyDescent="0.25"/>
    <row r="8" spans="2:12" x14ac:dyDescent="0.25">
      <c r="D8" s="104" t="s">
        <v>74</v>
      </c>
      <c r="E8" s="104"/>
      <c r="F8" s="104"/>
      <c r="G8" s="65"/>
      <c r="I8" s="23" t="s">
        <v>52</v>
      </c>
      <c r="K8" s="105" t="s">
        <v>3</v>
      </c>
      <c r="L8" s="105"/>
    </row>
    <row r="9" spans="2:12" x14ac:dyDescent="0.25">
      <c r="C9" s="68"/>
      <c r="D9" s="61" t="s">
        <v>10</v>
      </c>
      <c r="E9" s="61" t="s">
        <v>3</v>
      </c>
      <c r="F9" s="61" t="s">
        <v>53</v>
      </c>
      <c r="G9" s="73" t="s">
        <v>47</v>
      </c>
      <c r="I9" s="31" t="s">
        <v>12</v>
      </c>
      <c r="K9" s="32" t="s">
        <v>11</v>
      </c>
      <c r="L9" s="33" t="s">
        <v>12</v>
      </c>
    </row>
    <row r="10" spans="2:12" hidden="1" x14ac:dyDescent="0.25">
      <c r="C10" s="69" t="s">
        <v>54</v>
      </c>
      <c r="D10" s="30" t="s">
        <v>10</v>
      </c>
      <c r="E10" s="30" t="s">
        <v>3</v>
      </c>
      <c r="F10" s="30" t="s">
        <v>53</v>
      </c>
      <c r="G10" s="43" t="s">
        <v>47</v>
      </c>
      <c r="I10" s="14" t="s">
        <v>12</v>
      </c>
      <c r="K10" s="13" t="s">
        <v>11</v>
      </c>
      <c r="L10" s="13" t="s">
        <v>12</v>
      </c>
    </row>
    <row r="11" spans="2:12" ht="28.15" customHeight="1" x14ac:dyDescent="0.25">
      <c r="C11" s="70" t="str" cm="1">
        <f t="array" aca="1" ref="C11" ca="1">IF(ISNUMBER(INDIRECT("F" &amp; ROW()-1)), INDIRECT("F" &amp; ROW()-1),"-")</f>
        <v>-</v>
      </c>
      <c r="D11" s="84" t="s">
        <v>46</v>
      </c>
      <c r="E11" s="58" t="s">
        <v>55</v>
      </c>
      <c r="F11" s="59">
        <v>2</v>
      </c>
      <c r="G11" s="76" cm="1">
        <f t="array" aca="1" ref="G11" ca="1">IFERROR(IF(OR(TabSettEvalProjet[[#This Row],[&lt;= Max]] ="-",TabSettEvalProjet[[#This Row],[&lt;= Max]] =""),MaxEvaluation-INDIRECT("F" &amp; ROW()-1),TabSettEvalProjet[[#This Row],[&lt;= Max]]-INDIRECT("F" &amp; ROW()-1)),TabSettEvalProjet[[#This Row],[&lt;= Max]])</f>
        <v>2</v>
      </c>
      <c r="I11" s="34">
        <v>1</v>
      </c>
      <c r="K11" s="35" t="s">
        <v>30</v>
      </c>
      <c r="L11" s="36">
        <v>1</v>
      </c>
    </row>
    <row r="12" spans="2:12" ht="28.15" customHeight="1" x14ac:dyDescent="0.25">
      <c r="C12" s="70" t="str" cm="1">
        <f t="array" aca="1" ref="C12" ca="1">IF(ISNUMBER(INDIRECT("F" &amp; ROW()-1)), INDIRECT("F" &amp; ROW()-1),"-")</f>
        <v>-</v>
      </c>
      <c r="D12" s="86" t="s">
        <v>39</v>
      </c>
      <c r="E12" s="58" t="s">
        <v>146</v>
      </c>
      <c r="F12" s="59">
        <v>3</v>
      </c>
      <c r="G12" s="76" cm="1">
        <f t="array" aca="1" ref="G12" ca="1">IFERROR(IF(OR(TabSettEvalProjet[[#This Row],[&lt;= Max]] ="-",TabSettEvalProjet[[#This Row],[&lt;= Max]] =""),MaxEvaluation-INDIRECT("F" &amp; ROW()-1),TabSettEvalProjet[[#This Row],[&lt;= Max]]-INDIRECT("F" &amp; ROW()-1)),TabSettEvalProjet[[#This Row],[&lt;= Max]])</f>
        <v>3</v>
      </c>
      <c r="I12" s="34">
        <v>2</v>
      </c>
      <c r="K12" s="37" t="s">
        <v>29</v>
      </c>
      <c r="L12" s="38">
        <v>2</v>
      </c>
    </row>
    <row r="13" spans="2:12" ht="28.15" customHeight="1" x14ac:dyDescent="0.25">
      <c r="C13" s="70" t="str" cm="1">
        <f t="array" aca="1" ref="C13" ca="1">IF(ISNUMBER(INDIRECT("F" &amp; ROW()-1)), INDIRECT("F" &amp; ROW()-1),"-")</f>
        <v>-</v>
      </c>
      <c r="D13" s="87" t="s">
        <v>51</v>
      </c>
      <c r="E13" s="58" t="s">
        <v>56</v>
      </c>
      <c r="F13" s="59">
        <v>3.5</v>
      </c>
      <c r="G13" s="76" cm="1">
        <f t="array" aca="1" ref="G13" ca="1">IFERROR(IF(OR(TabSettEvalProjet[[#This Row],[&lt;= Max]] ="-",TabSettEvalProjet[[#This Row],[&lt;= Max]] =""),MaxEvaluation-INDIRECT("F" &amp; ROW()-1),TabSettEvalProjet[[#This Row],[&lt;= Max]]-INDIRECT("F" &amp; ROW()-1)),TabSettEvalProjet[[#This Row],[&lt;= Max]])</f>
        <v>3.5</v>
      </c>
      <c r="I13" s="34">
        <v>3</v>
      </c>
      <c r="K13" s="39" t="s">
        <v>28</v>
      </c>
      <c r="L13" s="40">
        <v>3</v>
      </c>
    </row>
    <row r="14" spans="2:12" ht="28.15" customHeight="1" x14ac:dyDescent="0.25">
      <c r="C14" s="70" t="str" cm="1">
        <f t="array" aca="1" ref="C14" ca="1">IF(ISNUMBER(INDIRECT("F" &amp; ROW()-1)), INDIRECT("F" &amp; ROW()-1),"-")</f>
        <v>-</v>
      </c>
      <c r="D14" s="85" t="s">
        <v>40</v>
      </c>
      <c r="E14" s="58" t="s">
        <v>57</v>
      </c>
      <c r="F14" s="60" t="s">
        <v>85</v>
      </c>
      <c r="G14" s="76" t="str" cm="1">
        <f t="array" aca="1" ref="G14" ca="1">IFERROR(IF(OR(TabSettEvalProjet[[#This Row],[&lt;= Max]] ="-",TabSettEvalProjet[[#This Row],[&lt;= Max]] =""),MaxEvaluation-INDIRECT("F" &amp; ROW()-1),TabSettEvalProjet[[#This Row],[&lt;= Max]]-INDIRECT("F" &amp; ROW()-1)),TabSettEvalProjet[[#This Row],[&lt;= Max]])</f>
        <v>-</v>
      </c>
      <c r="I14" s="34">
        <v>4</v>
      </c>
      <c r="K14" s="41" t="s">
        <v>27</v>
      </c>
      <c r="L14" s="42">
        <v>4</v>
      </c>
    </row>
    <row r="15" spans="2:12" ht="28.15" customHeight="1" x14ac:dyDescent="0.25">
      <c r="I15" s="34">
        <v>5</v>
      </c>
    </row>
    <row r="16" spans="2:12" ht="28.15" customHeight="1" x14ac:dyDescent="0.25">
      <c r="D16" s="78"/>
    </row>
    <row r="17" spans="3:8" ht="28.15" customHeight="1" x14ac:dyDescent="0.25">
      <c r="D17" s="78"/>
    </row>
    <row r="18" spans="3:8" ht="15.6" customHeight="1" x14ac:dyDescent="0.25">
      <c r="C18" s="71"/>
      <c r="D18" s="78"/>
      <c r="H18" s="30"/>
    </row>
    <row r="19" spans="3:8" ht="24" customHeight="1" x14ac:dyDescent="0.25">
      <c r="C19" s="72"/>
      <c r="D19" s="78"/>
    </row>
    <row r="21" spans="3:8" ht="24" customHeight="1" x14ac:dyDescent="0.25"/>
    <row r="22" spans="3:8" ht="24" customHeight="1" x14ac:dyDescent="0.25"/>
    <row r="23" spans="3:8" ht="28.9" customHeight="1" x14ac:dyDescent="0.25"/>
    <row r="24" spans="3:8" ht="28.9" customHeight="1" x14ac:dyDescent="0.25"/>
    <row r="25" spans="3:8" ht="28.9" customHeight="1" x14ac:dyDescent="0.25"/>
    <row r="26" spans="3:8" ht="28.9" customHeight="1" x14ac:dyDescent="0.25"/>
    <row r="27" spans="3:8" ht="28.9" customHeight="1" x14ac:dyDescent="0.25"/>
    <row r="28" spans="3:8" ht="28.9" customHeight="1" x14ac:dyDescent="0.25"/>
    <row r="29" spans="3:8" ht="28.9" customHeight="1" x14ac:dyDescent="0.25"/>
    <row r="30" spans="3:8" ht="28.9" customHeight="1" x14ac:dyDescent="0.25"/>
    <row r="31" spans="3:8" ht="28.9" customHeight="1" x14ac:dyDescent="0.25"/>
    <row r="32" spans="3:8" ht="28.9" customHeight="1" x14ac:dyDescent="0.25"/>
    <row r="33" ht="28.9" customHeight="1" x14ac:dyDescent="0.25"/>
    <row r="34" ht="28.9" customHeight="1" x14ac:dyDescent="0.25"/>
    <row r="35" ht="28.9" customHeight="1" x14ac:dyDescent="0.25"/>
    <row r="36" ht="28.9" customHeight="1" x14ac:dyDescent="0.25"/>
    <row r="37" ht="28.9" customHeight="1" x14ac:dyDescent="0.25"/>
    <row r="38" ht="28.9" customHeight="1" x14ac:dyDescent="0.25"/>
    <row r="39" ht="28.9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4" ht="28.9" customHeight="1" x14ac:dyDescent="0.25"/>
    <row r="45" ht="28.9" customHeight="1" x14ac:dyDescent="0.25"/>
    <row r="46" ht="28.9" customHeight="1" x14ac:dyDescent="0.25"/>
    <row r="47" ht="28.9" customHeight="1" x14ac:dyDescent="0.25"/>
    <row r="48" ht="28.9" customHeight="1" x14ac:dyDescent="0.25"/>
    <row r="49" ht="28.9" customHeight="1" x14ac:dyDescent="0.25"/>
    <row r="50" ht="28.9" customHeight="1" x14ac:dyDescent="0.25"/>
    <row r="51" ht="28.9" customHeight="1" x14ac:dyDescent="0.25"/>
  </sheetData>
  <sheetProtection formatCells="0" formatColumns="0" formatRows="0" insertColumns="0" insertRows="0" insertHyperlinks="0" deleteColumns="0" deleteRows="0" sort="0" autoFilter="0" pivotTables="0"/>
  <mergeCells count="2">
    <mergeCell ref="D8:F8"/>
    <mergeCell ref="K8:L8"/>
  </mergeCells>
  <dataValidations count="1">
    <dataValidation type="decimal" allowBlank="1" showInputMessage="1" showErrorMessage="1" sqref="I11:I15" xr:uid="{64565519-8931-44A1-880D-1E850FF78A74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 macro="[0]!change_langue">
                <anchor moveWithCells="1">
                  <from>
                    <xdr:col>10</xdr:col>
                    <xdr:colOff>1066800</xdr:colOff>
                    <xdr:row>5</xdr:row>
                    <xdr:rowOff>76200</xdr:rowOff>
                  </from>
                  <to>
                    <xdr:col>11</xdr:col>
                    <xdr:colOff>1190625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082CB-72CE-4C06-918C-FB7A9017DFE0}">
  <sheetPr codeName="ShBackend">
    <tabColor rgb="FFFF0000"/>
  </sheetPr>
  <dimension ref="B3:P18"/>
  <sheetViews>
    <sheetView showGridLines="0" topLeftCell="K1" workbookViewId="0">
      <selection activeCell="P11" sqref="P11"/>
    </sheetView>
  </sheetViews>
  <sheetFormatPr defaultColWidth="8.85546875" defaultRowHeight="15" x14ac:dyDescent="0.25"/>
  <cols>
    <col min="1" max="1" width="8.85546875" style="14"/>
    <col min="2" max="2" width="9.42578125" style="14" customWidth="1"/>
    <col min="3" max="3" width="30.42578125" style="14" customWidth="1"/>
    <col min="4" max="4" width="19.7109375" style="14" customWidth="1"/>
    <col min="5" max="5" width="14.28515625" style="14" customWidth="1"/>
    <col min="6" max="6" width="20.85546875" style="14" customWidth="1"/>
    <col min="7" max="7" width="30.7109375" style="14" customWidth="1"/>
    <col min="8" max="8" width="13" style="14" customWidth="1"/>
    <col min="9" max="9" width="86.85546875" style="14" customWidth="1"/>
    <col min="10" max="12" width="8.85546875" style="14"/>
    <col min="13" max="13" width="35" style="14" customWidth="1"/>
    <col min="14" max="14" width="22.85546875" style="14" customWidth="1"/>
    <col min="15" max="15" width="13.28515625" style="14" hidden="1" customWidth="1"/>
    <col min="16" max="16" width="25.42578125" style="14" customWidth="1"/>
    <col min="17" max="16384" width="8.85546875" style="14"/>
  </cols>
  <sheetData>
    <row r="3" spans="2:16" ht="20.45" customHeight="1" x14ac:dyDescent="0.25">
      <c r="D3" s="14" t="s">
        <v>86</v>
      </c>
      <c r="E3" s="14">
        <f>MAX(TabSettLegende[[#All],[Valeur]])</f>
        <v>4</v>
      </c>
    </row>
    <row r="5" spans="2:16" ht="22.9" customHeight="1" x14ac:dyDescent="0.25">
      <c r="B5" s="13"/>
      <c r="C5" s="13"/>
      <c r="D5" s="13"/>
      <c r="E5" s="13"/>
      <c r="F5" s="13"/>
      <c r="G5" s="13"/>
      <c r="H5" s="13"/>
      <c r="I5" s="13"/>
      <c r="M5" s="102"/>
      <c r="N5" s="103"/>
      <c r="O5" s="103"/>
      <c r="P5" s="103"/>
    </row>
    <row r="6" spans="2:16" ht="22.9" customHeight="1" x14ac:dyDescent="0.25">
      <c r="B6" s="21"/>
      <c r="C6" s="21"/>
      <c r="D6" s="79"/>
      <c r="E6" s="22"/>
      <c r="F6" s="81"/>
      <c r="G6" s="21"/>
      <c r="H6" s="80"/>
      <c r="I6" s="79"/>
      <c r="M6" s="90" t="s">
        <v>5</v>
      </c>
      <c r="N6" s="90" t="s">
        <v>3</v>
      </c>
      <c r="O6" s="90" t="s">
        <v>2</v>
      </c>
      <c r="P6" s="90" t="s">
        <v>31</v>
      </c>
    </row>
    <row r="7" spans="2:16" ht="22.9" customHeight="1" x14ac:dyDescent="0.25">
      <c r="B7" s="21"/>
      <c r="C7" s="21"/>
      <c r="D7" s="79"/>
      <c r="E7" s="22"/>
      <c r="F7" s="82"/>
      <c r="G7" s="21"/>
      <c r="H7" s="80"/>
      <c r="I7" s="79"/>
      <c r="M7" s="92" t="s">
        <v>151</v>
      </c>
      <c r="N7" s="92" t="s">
        <v>30</v>
      </c>
      <c r="O7" s="93">
        <f>IFERROR(VLOOKUP(Table12[[#This Row],[Evaluation]],TabSettLegende[],2,FALSE)*Table12[[#This Row],[Coefficient de pondération]],"")</f>
        <v>2</v>
      </c>
      <c r="P7" s="94">
        <v>2</v>
      </c>
    </row>
    <row r="8" spans="2:16" ht="22.9" customHeight="1" x14ac:dyDescent="0.25">
      <c r="B8" s="21"/>
      <c r="C8" s="21"/>
      <c r="D8" s="79"/>
      <c r="E8" s="22"/>
      <c r="F8" s="82"/>
      <c r="G8" s="21"/>
      <c r="H8" s="80"/>
      <c r="I8" s="79"/>
    </row>
    <row r="9" spans="2:16" ht="22.9" customHeight="1" x14ac:dyDescent="0.25">
      <c r="B9" s="21"/>
      <c r="C9" s="21"/>
      <c r="D9" s="79"/>
      <c r="E9" s="22"/>
      <c r="F9" s="82"/>
      <c r="G9" s="21"/>
      <c r="H9" s="80"/>
      <c r="I9" s="79"/>
    </row>
    <row r="10" spans="2:16" ht="21" customHeight="1" x14ac:dyDescent="0.25">
      <c r="B10" s="21"/>
      <c r="C10" s="21"/>
      <c r="D10" s="79"/>
      <c r="E10" s="22"/>
      <c r="F10" s="81"/>
      <c r="G10" s="21"/>
      <c r="H10" s="82"/>
      <c r="I10" s="79"/>
    </row>
    <row r="11" spans="2:16" ht="21" customHeight="1" x14ac:dyDescent="0.25"/>
    <row r="12" spans="2:16" ht="21" customHeight="1" x14ac:dyDescent="0.25"/>
    <row r="13" spans="2:16" ht="21" customHeight="1" x14ac:dyDescent="0.25"/>
    <row r="14" spans="2:16" ht="21" customHeight="1" x14ac:dyDescent="0.25"/>
    <row r="15" spans="2:16" ht="21" customHeight="1" x14ac:dyDescent="0.25"/>
    <row r="16" spans="2:16" ht="21" customHeight="1" x14ac:dyDescent="0.25"/>
    <row r="17" ht="21" customHeight="1" x14ac:dyDescent="0.25"/>
    <row r="18" ht="21" customHeight="1" x14ac:dyDescent="0.25"/>
  </sheetData>
  <mergeCells count="1">
    <mergeCell ref="M5:P5"/>
  </mergeCells>
  <conditionalFormatting sqref="N7">
    <cfRule type="expression" dxfId="19" priority="5">
      <formula>$D7="Pas du tout d'accord"</formula>
    </cfRule>
  </conditionalFormatting>
  <conditionalFormatting sqref="N7">
    <cfRule type="expression" dxfId="18" priority="4">
      <formula>$D7="Plutôt pas d'accord"</formula>
    </cfRule>
  </conditionalFormatting>
  <conditionalFormatting sqref="N7">
    <cfRule type="expression" dxfId="17" priority="3">
      <formula>$D7="Plutôt d'accord"</formula>
    </cfRule>
  </conditionalFormatting>
  <conditionalFormatting sqref="N7">
    <cfRule type="expression" dxfId="16" priority="2">
      <formula>$D7="Tout à fait d'accord"</formula>
    </cfRule>
  </conditionalFormatting>
  <conditionalFormatting sqref="P7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{2D0660A9-CA02-460E-8F7A-681BC4976B04}</x14:id>
        </ext>
      </extLst>
    </cfRule>
  </conditionalFormatting>
  <dataValidations count="2">
    <dataValidation type="list" allowBlank="1" showInputMessage="1" showErrorMessage="1" sqref="P7" xr:uid="{1953D5BC-2DB5-41BA-B6F7-EF6716DDD7EE}">
      <formula1>INDIRECT("TabSettCoeffPond[Valeur]")</formula1>
    </dataValidation>
    <dataValidation type="list" allowBlank="1" showInputMessage="1" showErrorMessage="1" sqref="N7" xr:uid="{30BD9C45-6516-4C8D-BA62-F49A2259734A}">
      <formula1>INDIRECT("TabSettLegende[Choix]")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0660A9-CA02-460E-8F7A-681BC4976B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21F19-08E8-4A72-BFC6-35D8FE7C67D5}">
  <sheetPr codeName="ShLangue"/>
  <dimension ref="A1:H77"/>
  <sheetViews>
    <sheetView showGridLines="0" topLeftCell="A39" workbookViewId="0">
      <selection activeCell="B59" sqref="B59"/>
    </sheetView>
  </sheetViews>
  <sheetFormatPr defaultColWidth="9.140625" defaultRowHeight="15" x14ac:dyDescent="0.25"/>
  <cols>
    <col min="1" max="1" width="73.7109375" customWidth="1"/>
    <col min="2" max="2" width="63.28515625" bestFit="1" customWidth="1"/>
    <col min="6" max="6" width="15" customWidth="1"/>
    <col min="8" max="8" width="14" customWidth="1"/>
  </cols>
  <sheetData>
    <row r="1" spans="1:8" x14ac:dyDescent="0.25">
      <c r="A1" s="14" t="s">
        <v>98</v>
      </c>
      <c r="B1" s="14" t="s">
        <v>99</v>
      </c>
      <c r="F1" t="s">
        <v>97</v>
      </c>
      <c r="H1" t="s">
        <v>100</v>
      </c>
    </row>
    <row r="2" spans="1:8" x14ac:dyDescent="0.25">
      <c r="A2" s="21" t="s">
        <v>46</v>
      </c>
      <c r="B2" s="21" t="s">
        <v>109</v>
      </c>
      <c r="F2" t="s">
        <v>99</v>
      </c>
      <c r="H2" t="s">
        <v>101</v>
      </c>
    </row>
    <row r="3" spans="1:8" x14ac:dyDescent="0.25">
      <c r="A3" s="21" t="s">
        <v>39</v>
      </c>
      <c r="B3" s="21" t="s">
        <v>110</v>
      </c>
      <c r="F3" t="s">
        <v>98</v>
      </c>
      <c r="H3" t="s">
        <v>103</v>
      </c>
    </row>
    <row r="4" spans="1:8" x14ac:dyDescent="0.25">
      <c r="A4" s="21" t="s">
        <v>51</v>
      </c>
      <c r="B4" s="21" t="s">
        <v>111</v>
      </c>
    </row>
    <row r="5" spans="1:8" x14ac:dyDescent="0.25">
      <c r="A5" s="21" t="s">
        <v>40</v>
      </c>
      <c r="B5" s="21" t="s">
        <v>112</v>
      </c>
    </row>
    <row r="6" spans="1:8" x14ac:dyDescent="0.25">
      <c r="A6" s="21" t="s">
        <v>55</v>
      </c>
      <c r="B6" s="21" t="s">
        <v>148</v>
      </c>
    </row>
    <row r="7" spans="1:8" x14ac:dyDescent="0.25">
      <c r="A7" s="21" t="s">
        <v>146</v>
      </c>
      <c r="B7" s="21" t="s">
        <v>147</v>
      </c>
    </row>
    <row r="8" spans="1:8" x14ac:dyDescent="0.25">
      <c r="A8" s="21" t="s">
        <v>56</v>
      </c>
      <c r="B8" s="21" t="s">
        <v>149</v>
      </c>
    </row>
    <row r="9" spans="1:8" x14ac:dyDescent="0.25">
      <c r="A9" s="21" t="s">
        <v>57</v>
      </c>
      <c r="B9" s="21" t="s">
        <v>150</v>
      </c>
    </row>
    <row r="10" spans="1:8" x14ac:dyDescent="0.25">
      <c r="A10" s="21" t="s">
        <v>10</v>
      </c>
      <c r="B10" s="21" t="s">
        <v>113</v>
      </c>
    </row>
    <row r="11" spans="1:8" x14ac:dyDescent="0.25">
      <c r="A11" s="21" t="s">
        <v>3</v>
      </c>
      <c r="B11" s="21" t="s">
        <v>3</v>
      </c>
    </row>
    <row r="12" spans="1:8" x14ac:dyDescent="0.25">
      <c r="A12" s="21" t="s">
        <v>74</v>
      </c>
      <c r="B12" s="21" t="s">
        <v>114</v>
      </c>
    </row>
    <row r="13" spans="1:8" x14ac:dyDescent="0.25">
      <c r="A13" s="21" t="s">
        <v>52</v>
      </c>
      <c r="B13" s="21" t="s">
        <v>115</v>
      </c>
    </row>
    <row r="14" spans="1:8" x14ac:dyDescent="0.25">
      <c r="A14" s="21" t="s">
        <v>50</v>
      </c>
      <c r="B14" s="21" t="s">
        <v>102</v>
      </c>
    </row>
    <row r="15" spans="1:8" x14ac:dyDescent="0.25">
      <c r="A15" s="21" t="s">
        <v>108</v>
      </c>
      <c r="B15" s="21" t="s">
        <v>116</v>
      </c>
    </row>
    <row r="16" spans="1:8" x14ac:dyDescent="0.25">
      <c r="A16" s="21" t="s">
        <v>22</v>
      </c>
      <c r="B16" s="21" t="s">
        <v>138</v>
      </c>
    </row>
    <row r="17" spans="1:2" x14ac:dyDescent="0.25">
      <c r="A17" s="21" t="s">
        <v>97</v>
      </c>
      <c r="B17" s="21" t="s">
        <v>104</v>
      </c>
    </row>
    <row r="18" spans="1:2" x14ac:dyDescent="0.25">
      <c r="A18" s="21" t="s">
        <v>16</v>
      </c>
      <c r="B18" s="21" t="s">
        <v>105</v>
      </c>
    </row>
    <row r="19" spans="1:2" x14ac:dyDescent="0.25">
      <c r="A19" s="21" t="s">
        <v>18</v>
      </c>
      <c r="B19" s="21" t="s">
        <v>106</v>
      </c>
    </row>
    <row r="20" spans="1:2" x14ac:dyDescent="0.25">
      <c r="A20" s="21" t="s">
        <v>19</v>
      </c>
      <c r="B20" s="21" t="s">
        <v>107</v>
      </c>
    </row>
    <row r="21" spans="1:2" x14ac:dyDescent="0.25">
      <c r="A21" s="21" t="s">
        <v>11</v>
      </c>
      <c r="B21" s="21" t="s">
        <v>117</v>
      </c>
    </row>
    <row r="22" spans="1:2" x14ac:dyDescent="0.25">
      <c r="A22" s="21" t="s">
        <v>12</v>
      </c>
      <c r="B22" s="21" t="s">
        <v>118</v>
      </c>
    </row>
    <row r="23" spans="1:2" x14ac:dyDescent="0.25">
      <c r="A23" s="21" t="s">
        <v>30</v>
      </c>
      <c r="B23" s="21" t="s">
        <v>119</v>
      </c>
    </row>
    <row r="24" spans="1:2" x14ac:dyDescent="0.25">
      <c r="A24" s="21" t="s">
        <v>29</v>
      </c>
      <c r="B24" s="21" t="s">
        <v>120</v>
      </c>
    </row>
    <row r="25" spans="1:2" x14ac:dyDescent="0.25">
      <c r="A25" s="21" t="s">
        <v>28</v>
      </c>
      <c r="B25" s="21" t="s">
        <v>121</v>
      </c>
    </row>
    <row r="26" spans="1:2" x14ac:dyDescent="0.25">
      <c r="A26" s="21" t="s">
        <v>27</v>
      </c>
      <c r="B26" s="21" t="s">
        <v>122</v>
      </c>
    </row>
    <row r="27" spans="1:2" x14ac:dyDescent="0.25">
      <c r="A27" s="21" t="s">
        <v>15</v>
      </c>
      <c r="B27" s="21" t="s">
        <v>123</v>
      </c>
    </row>
    <row r="28" spans="1:2" x14ac:dyDescent="0.25">
      <c r="A28" s="21" t="s">
        <v>17</v>
      </c>
      <c r="B28" s="21" t="s">
        <v>124</v>
      </c>
    </row>
    <row r="29" spans="1:2" x14ac:dyDescent="0.25">
      <c r="A29" s="21" t="s">
        <v>23</v>
      </c>
      <c r="B29" s="21" t="s">
        <v>125</v>
      </c>
    </row>
    <row r="30" spans="1:2" x14ac:dyDescent="0.25">
      <c r="A30" s="21" t="s">
        <v>25</v>
      </c>
      <c r="B30" s="21" t="s">
        <v>25</v>
      </c>
    </row>
    <row r="31" spans="1:2" x14ac:dyDescent="0.25">
      <c r="A31" s="21" t="s">
        <v>21</v>
      </c>
      <c r="B31" s="21" t="s">
        <v>126</v>
      </c>
    </row>
    <row r="32" spans="1:2" x14ac:dyDescent="0.25">
      <c r="A32" s="21" t="s">
        <v>8</v>
      </c>
      <c r="B32" s="21" t="s">
        <v>127</v>
      </c>
    </row>
    <row r="33" spans="1:2" x14ac:dyDescent="0.25">
      <c r="A33" s="21" t="s">
        <v>5</v>
      </c>
      <c r="B33" s="21" t="s">
        <v>128</v>
      </c>
    </row>
    <row r="34" spans="1:2" x14ac:dyDescent="0.25">
      <c r="A34" s="21" t="s">
        <v>31</v>
      </c>
      <c r="B34" s="21" t="s">
        <v>145</v>
      </c>
    </row>
    <row r="35" spans="1:2" x14ac:dyDescent="0.25">
      <c r="A35" s="21" t="s">
        <v>32</v>
      </c>
      <c r="B35" s="21" t="s">
        <v>129</v>
      </c>
    </row>
    <row r="36" spans="1:2" x14ac:dyDescent="0.25">
      <c r="A36" s="21" t="s">
        <v>6</v>
      </c>
      <c r="B36" s="21" t="s">
        <v>130</v>
      </c>
    </row>
    <row r="37" spans="1:2" x14ac:dyDescent="0.25">
      <c r="A37" s="21" t="s">
        <v>7</v>
      </c>
      <c r="B37" s="21" t="s">
        <v>131</v>
      </c>
    </row>
    <row r="38" spans="1:2" x14ac:dyDescent="0.25">
      <c r="A38" s="21" t="s">
        <v>0</v>
      </c>
      <c r="B38" s="21" t="s">
        <v>132</v>
      </c>
    </row>
    <row r="39" spans="1:2" x14ac:dyDescent="0.25">
      <c r="A39" s="21" t="s">
        <v>1</v>
      </c>
      <c r="B39" s="21" t="s">
        <v>133</v>
      </c>
    </row>
    <row r="40" spans="1:2" x14ac:dyDescent="0.25">
      <c r="A40" s="21" t="s">
        <v>4</v>
      </c>
      <c r="B40" s="21" t="s">
        <v>134</v>
      </c>
    </row>
    <row r="41" spans="1:2" x14ac:dyDescent="0.25">
      <c r="A41" s="21" t="s">
        <v>13</v>
      </c>
      <c r="B41" s="21" t="s">
        <v>135</v>
      </c>
    </row>
    <row r="42" spans="1:2" x14ac:dyDescent="0.25">
      <c r="A42" s="21" t="s">
        <v>14</v>
      </c>
      <c r="B42" s="21" t="s">
        <v>136</v>
      </c>
    </row>
    <row r="43" spans="1:2" x14ac:dyDescent="0.25">
      <c r="A43" s="21" t="s">
        <v>9</v>
      </c>
      <c r="B43" s="21" t="s">
        <v>137</v>
      </c>
    </row>
    <row r="44" spans="1:2" x14ac:dyDescent="0.25">
      <c r="A44" s="21" t="s">
        <v>139</v>
      </c>
      <c r="B44" s="21" t="s">
        <v>144</v>
      </c>
    </row>
    <row r="45" spans="1:2" x14ac:dyDescent="0.25">
      <c r="A45" s="21" t="s">
        <v>44</v>
      </c>
      <c r="B45" s="21" t="s">
        <v>142</v>
      </c>
    </row>
    <row r="46" spans="1:2" x14ac:dyDescent="0.25">
      <c r="A46" s="21" t="s">
        <v>41</v>
      </c>
      <c r="B46" s="21" t="s">
        <v>141</v>
      </c>
    </row>
    <row r="47" spans="1:2" x14ac:dyDescent="0.25">
      <c r="A47" s="21" t="s">
        <v>42</v>
      </c>
      <c r="B47" s="21" t="s">
        <v>140</v>
      </c>
    </row>
    <row r="48" spans="1:2" x14ac:dyDescent="0.25">
      <c r="A48" s="21" t="s">
        <v>43</v>
      </c>
      <c r="B48" s="21" t="s">
        <v>143</v>
      </c>
    </row>
    <row r="49" spans="1:2" x14ac:dyDescent="0.25">
      <c r="A49" s="21" t="s">
        <v>35</v>
      </c>
      <c r="B49" s="21" t="s">
        <v>127</v>
      </c>
    </row>
    <row r="50" spans="1:2" x14ac:dyDescent="0.25">
      <c r="A50" s="21" t="s">
        <v>36</v>
      </c>
      <c r="B50" s="21" t="s">
        <v>129</v>
      </c>
    </row>
    <row r="51" spans="1:2" x14ac:dyDescent="0.25">
      <c r="A51" s="21" t="s">
        <v>37</v>
      </c>
      <c r="B51" s="21" t="s">
        <v>130</v>
      </c>
    </row>
    <row r="52" spans="1:2" x14ac:dyDescent="0.25">
      <c r="A52" s="21" t="s">
        <v>38</v>
      </c>
      <c r="B52" s="21" t="s">
        <v>131</v>
      </c>
    </row>
    <row r="53" spans="1:2" x14ac:dyDescent="0.25">
      <c r="A53" s="21" t="s">
        <v>153</v>
      </c>
      <c r="B53" s="21" t="s">
        <v>156</v>
      </c>
    </row>
    <row r="54" spans="1:2" x14ac:dyDescent="0.25">
      <c r="A54" s="21" t="s">
        <v>154</v>
      </c>
      <c r="B54" s="21" t="s">
        <v>157</v>
      </c>
    </row>
    <row r="55" spans="1:2" x14ac:dyDescent="0.25">
      <c r="A55" s="21" t="s">
        <v>152</v>
      </c>
      <c r="B55" s="21" t="s">
        <v>158</v>
      </c>
    </row>
    <row r="56" spans="1:2" x14ac:dyDescent="0.25">
      <c r="A56" s="21" t="s">
        <v>34</v>
      </c>
      <c r="B56" s="21" t="s">
        <v>155</v>
      </c>
    </row>
    <row r="57" spans="1:2" x14ac:dyDescent="0.25">
      <c r="A57" s="21"/>
      <c r="B57" s="14"/>
    </row>
    <row r="58" spans="1:2" x14ac:dyDescent="0.25">
      <c r="A58" s="21"/>
      <c r="B58" s="14"/>
    </row>
    <row r="59" spans="1:2" x14ac:dyDescent="0.25">
      <c r="A59" s="21"/>
      <c r="B59" s="14"/>
    </row>
    <row r="60" spans="1:2" x14ac:dyDescent="0.25">
      <c r="A60" s="21"/>
      <c r="B60" s="14"/>
    </row>
    <row r="61" spans="1:2" x14ac:dyDescent="0.25">
      <c r="A61" s="21"/>
      <c r="B61" s="14"/>
    </row>
    <row r="62" spans="1:2" x14ac:dyDescent="0.25">
      <c r="A62" s="21"/>
      <c r="B62" s="14"/>
    </row>
    <row r="63" spans="1:2" x14ac:dyDescent="0.25">
      <c r="A63" s="21"/>
      <c r="B63" s="14"/>
    </row>
    <row r="64" spans="1:2" x14ac:dyDescent="0.25">
      <c r="A64" s="21"/>
      <c r="B64" s="14"/>
    </row>
    <row r="65" spans="1:2" x14ac:dyDescent="0.25">
      <c r="A65" s="21"/>
      <c r="B65" s="14"/>
    </row>
    <row r="66" spans="1:2" x14ac:dyDescent="0.25">
      <c r="A66" s="21"/>
      <c r="B66" s="14"/>
    </row>
    <row r="67" spans="1:2" x14ac:dyDescent="0.25">
      <c r="A67" s="21"/>
      <c r="B67" s="14"/>
    </row>
    <row r="68" spans="1:2" x14ac:dyDescent="0.25">
      <c r="A68" s="21"/>
      <c r="B68" s="14"/>
    </row>
    <row r="69" spans="1:2" x14ac:dyDescent="0.25">
      <c r="A69" s="21"/>
      <c r="B69" s="14"/>
    </row>
    <row r="70" spans="1:2" x14ac:dyDescent="0.25">
      <c r="A70" s="21"/>
      <c r="B70" s="14"/>
    </row>
    <row r="71" spans="1:2" x14ac:dyDescent="0.25">
      <c r="A71" s="21"/>
      <c r="B71" s="14"/>
    </row>
    <row r="72" spans="1:2" x14ac:dyDescent="0.25">
      <c r="A72" s="21"/>
      <c r="B72" s="14"/>
    </row>
    <row r="73" spans="1:2" x14ac:dyDescent="0.25">
      <c r="A73" s="21"/>
      <c r="B73" s="14"/>
    </row>
    <row r="74" spans="1:2" x14ac:dyDescent="0.25">
      <c r="A74" s="21"/>
      <c r="B74" s="14"/>
    </row>
    <row r="75" spans="1:2" x14ac:dyDescent="0.25">
      <c r="A75" s="21"/>
      <c r="B75" s="57"/>
    </row>
    <row r="76" spans="1:2" x14ac:dyDescent="0.25">
      <c r="A76" s="21"/>
      <c r="B76" s="14"/>
    </row>
    <row r="77" spans="1:2" x14ac:dyDescent="0.25">
      <c r="A77" s="21"/>
      <c r="B77" s="14"/>
    </row>
  </sheetData>
  <conditionalFormatting sqref="B2:B56">
    <cfRule type="duplicateValues" dxfId="9" priority="31"/>
  </conditionalFormatting>
  <conditionalFormatting sqref="A2:A56">
    <cfRule type="duplicateValues" dxfId="8" priority="32"/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7E2C82-D640-45C8-9662-C50FB97EBF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Matrice</vt:lpstr>
      <vt:lpstr>Dashboard</vt:lpstr>
      <vt:lpstr>Paramétrage</vt:lpstr>
      <vt:lpstr>HEADER_SYNTH</vt:lpstr>
      <vt:lpstr>Langue</vt:lpstr>
      <vt:lpstr>MaxEvaluation</vt:lpstr>
      <vt:lpstr>ModelTab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BGDP</dc:creator>
  <cp:lastModifiedBy>HP</cp:lastModifiedBy>
  <dcterms:created xsi:type="dcterms:W3CDTF">2022-01-05T07:59:13Z</dcterms:created>
  <dcterms:modified xsi:type="dcterms:W3CDTF">2025-04-29T16:25:12Z</dcterms:modified>
</cp:coreProperties>
</file>
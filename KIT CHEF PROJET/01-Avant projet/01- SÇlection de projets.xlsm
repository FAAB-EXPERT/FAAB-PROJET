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D:\BGDP\Kit du chef de projet\01-Avant projet\"/>
    </mc:Choice>
  </mc:AlternateContent>
  <xr:revisionPtr revIDLastSave="0" documentId="13_ncr:1_{F8729EAC-06CC-4F10-BA2F-0D43F6AA8565}" xr6:coauthVersionLast="47" xr6:coauthVersionMax="47" xr10:uidLastSave="{00000000-0000-0000-0000-000000000000}"/>
  <bookViews>
    <workbookView xWindow="-108" yWindow="-108" windowWidth="23256" windowHeight="12576" tabRatio="364" firstSheet="1" activeTab="1" xr2:uid="{00000000-000D-0000-FFFF-FFFF00000000}"/>
  </bookViews>
  <sheets>
    <sheet name="Guide d'utilisation" sheetId="6" state="veryHidden" r:id="rId1"/>
    <sheet name="Critères de sélection" sheetId="2" r:id="rId2"/>
    <sheet name="Evaluation" sheetId="3" r:id="rId3"/>
    <sheet name="Paramétrages" sheetId="4" r:id="rId4"/>
    <sheet name="Langue" sheetId="7" state="veryHidden" r:id="rId5"/>
    <sheet name="Backend" sheetId="5" state="veryHidden" r:id="rId6"/>
  </sheets>
  <definedNames>
    <definedName name="HeaderEvaluation">Evaluation!$D$15:$F$15</definedName>
    <definedName name="Langue">Paramétrages!$M$6</definedName>
    <definedName name="LevelPriority">Evaluation!$E$34</definedName>
    <definedName name="PriorityLevel">Evaluation!$D$34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3" i="3" l="1"/>
  <c r="N34" i="3" s="1" a="1"/>
  <c r="N34" i="3" s="1"/>
  <c r="M33" i="3"/>
  <c r="M34" i="3" s="1" a="1"/>
  <c r="M34" i="3" s="1"/>
  <c r="L33" i="3"/>
  <c r="L34" i="3" s="1" a="1"/>
  <c r="L34" i="3" s="1"/>
  <c r="K33" i="3"/>
  <c r="K34" i="3" s="1" a="1"/>
  <c r="K34" i="3" s="1"/>
  <c r="J33" i="3"/>
  <c r="J34" i="3" s="1" a="1"/>
  <c r="J34" i="3" s="1"/>
  <c r="I33" i="3"/>
  <c r="I34" i="3" s="1" a="1"/>
  <c r="I34" i="3" s="1"/>
  <c r="H33" i="3"/>
  <c r="H34" i="3" s="1" a="1"/>
  <c r="H34" i="3" s="1"/>
  <c r="G33" i="3"/>
  <c r="G34" i="3" s="1" a="1"/>
  <c r="G34" i="3" s="1"/>
  <c r="K16" i="4"/>
  <c r="K15" i="4"/>
  <c r="K14" i="4"/>
</calcChain>
</file>

<file path=xl/sharedStrings.xml><?xml version="1.0" encoding="utf-8"?>
<sst xmlns="http://schemas.openxmlformats.org/spreadsheetml/2006/main" count="881" uniqueCount="324">
  <si>
    <t>C1</t>
  </si>
  <si>
    <t>Degré de cohérence avec la mission de l'entreprise</t>
  </si>
  <si>
    <t>Fortement incohérente</t>
  </si>
  <si>
    <t>Un peu incohérente</t>
  </si>
  <si>
    <t>Neutre</t>
  </si>
  <si>
    <t>Cohérente</t>
  </si>
  <si>
    <t>Renforce la mission</t>
  </si>
  <si>
    <t>C2</t>
  </si>
  <si>
    <t>C3</t>
  </si>
  <si>
    <t>Degré d’urgence du projet</t>
  </si>
  <si>
    <t>Sans délais précis</t>
  </si>
  <si>
    <t>Flexible</t>
  </si>
  <si>
    <t>Normal</t>
  </si>
  <si>
    <t>Assez pressé</t>
  </si>
  <si>
    <t>Très urgent</t>
  </si>
  <si>
    <t>C4</t>
  </si>
  <si>
    <t>Stabilité des objectifs du projet</t>
  </si>
  <si>
    <t>Chaotiques</t>
  </si>
  <si>
    <t>Inconstants</t>
  </si>
  <si>
    <t>Risques modérés</t>
  </si>
  <si>
    <t>Relativement stable</t>
  </si>
  <si>
    <t>Très stable</t>
  </si>
  <si>
    <t>C5</t>
  </si>
  <si>
    <t>Soutien des parties prenantes</t>
  </si>
  <si>
    <t>Fortes oppositions</t>
  </si>
  <si>
    <t>Quelques oppositions</t>
  </si>
  <si>
    <t>Equilibre</t>
  </si>
  <si>
    <t>Bon soutien</t>
  </si>
  <si>
    <t>Soutien inconditionnel</t>
  </si>
  <si>
    <t>C6</t>
  </si>
  <si>
    <t>Durée du projet</t>
  </si>
  <si>
    <t>Très long &gt; 3 ans</t>
  </si>
  <si>
    <t>Long de 18 mois à 3 ans</t>
  </si>
  <si>
    <t>Normal de 12 à 18 mois</t>
  </si>
  <si>
    <t>Court de  de 3 à 12 mois</t>
  </si>
  <si>
    <t>Très court &lt;  3 mois</t>
  </si>
  <si>
    <t>C7</t>
  </si>
  <si>
    <t>Coût du projet (Capex + Opex externes)</t>
  </si>
  <si>
    <t>Très élevé &gt; 2 M$</t>
  </si>
  <si>
    <t>Elevé de 1 à 2 M$</t>
  </si>
  <si>
    <t>Moyen de 0,2 à 1 M$</t>
  </si>
  <si>
    <t>Bon marché &lt; 2 K$</t>
  </si>
  <si>
    <t xml:space="preserve">Presque sans coûts </t>
  </si>
  <si>
    <t>C8</t>
  </si>
  <si>
    <t>Rapport coût x bénéfice</t>
  </si>
  <si>
    <t>Très coûteux et peu de résultats</t>
  </si>
  <si>
    <t>Coûteux et peu de résultats</t>
  </si>
  <si>
    <t>Equilibre raisonnable</t>
  </si>
  <si>
    <t>Relation favorable</t>
  </si>
  <si>
    <t>Relation très favorable</t>
  </si>
  <si>
    <t>C9</t>
  </si>
  <si>
    <t>Disponibilité des ressources</t>
  </si>
  <si>
    <t>Ressources très concurrencées</t>
  </si>
  <si>
    <t>Exige quelques remaniements</t>
  </si>
  <si>
    <t>Peuvent être allouées</t>
  </si>
  <si>
    <t>Facilement disponibles</t>
  </si>
  <si>
    <t>Disponibles et sans attributions</t>
  </si>
  <si>
    <t>C10</t>
  </si>
  <si>
    <t>Degré de risque du projet durant son exécution</t>
  </si>
  <si>
    <t>Très risqué</t>
  </si>
  <si>
    <t>Risque moyen</t>
  </si>
  <si>
    <t>Peu de risque</t>
  </si>
  <si>
    <t>Presque sans risque</t>
  </si>
  <si>
    <t>Sans aucun risque</t>
  </si>
  <si>
    <t>C11</t>
  </si>
  <si>
    <t>Degré de complexité du projet</t>
  </si>
  <si>
    <t>Très complexe</t>
  </si>
  <si>
    <t>Complexe</t>
  </si>
  <si>
    <t>Moyennement complexe</t>
  </si>
  <si>
    <t>Assez simple</t>
  </si>
  <si>
    <t>Très simple</t>
  </si>
  <si>
    <t>C12</t>
  </si>
  <si>
    <t>Caractère d’innovation</t>
  </si>
  <si>
    <t>Presque obsolète</t>
  </si>
  <si>
    <t>Sans aucune nouveauté</t>
  </si>
  <si>
    <t>Quelques nouveautés</t>
  </si>
  <si>
    <t>Innovant</t>
  </si>
  <si>
    <t>Révolutionnaire</t>
  </si>
  <si>
    <t>C13</t>
  </si>
  <si>
    <t>Possibilité de réutilisation des résultats du projet (duplication, mutualisation, …)</t>
  </si>
  <si>
    <t>Aucun</t>
  </si>
  <si>
    <t>Peu et avec forte adaptation</t>
  </si>
  <si>
    <t>Possibilités de transfert</t>
  </si>
  <si>
    <t>Réutilisation possible</t>
  </si>
  <si>
    <t>Réutilisation totale</t>
  </si>
  <si>
    <t>C14</t>
  </si>
  <si>
    <t>Développement des compétences internes</t>
  </si>
  <si>
    <t>Défis considérables</t>
  </si>
  <si>
    <t>Apprentissage fort</t>
  </si>
  <si>
    <t>Apprentissage normal</t>
  </si>
  <si>
    <t>Presque pas</t>
  </si>
  <si>
    <t>C15</t>
  </si>
  <si>
    <t>Durabilité des impacts après la fin du projet</t>
  </si>
  <si>
    <t>Aucune</t>
  </si>
  <si>
    <t>Quelques jours</t>
  </si>
  <si>
    <t>Quelques semaines</t>
  </si>
  <si>
    <t>Quelques mois</t>
  </si>
  <si>
    <t>Quelques années</t>
  </si>
  <si>
    <t>C16</t>
  </si>
  <si>
    <t>Autre… (spécifiez)</t>
  </si>
  <si>
    <t>Code</t>
  </si>
  <si>
    <t>Critère de catégorisation et de sélection de projets</t>
  </si>
  <si>
    <t>Coefficient de pondération</t>
  </si>
  <si>
    <t>-2</t>
  </si>
  <si>
    <t>-1</t>
  </si>
  <si>
    <t>0</t>
  </si>
  <si>
    <t>1</t>
  </si>
  <si>
    <t>2</t>
  </si>
  <si>
    <t>Min</t>
  </si>
  <si>
    <t>Max</t>
  </si>
  <si>
    <t>P1</t>
  </si>
  <si>
    <t>P2</t>
  </si>
  <si>
    <t>P3</t>
  </si>
  <si>
    <t>P4</t>
  </si>
  <si>
    <t>Points</t>
  </si>
  <si>
    <t>Project 1</t>
  </si>
  <si>
    <t>Project 2</t>
  </si>
  <si>
    <t>Project 3</t>
  </si>
  <si>
    <t>Project 4</t>
  </si>
  <si>
    <t>Coefficients de pondération</t>
  </si>
  <si>
    <t>Project 5</t>
  </si>
  <si>
    <t>Critere</t>
  </si>
  <si>
    <t>Project 6</t>
  </si>
  <si>
    <t>Project 7</t>
  </si>
  <si>
    <r>
      <rPr>
        <b/>
        <sz val="9"/>
        <color theme="0"/>
        <rFont val="Calibri"/>
        <family val="2"/>
      </rPr>
      <t>≤</t>
    </r>
    <r>
      <rPr>
        <b/>
        <sz val="9"/>
        <color theme="0"/>
        <rFont val="Calibri"/>
        <family val="2"/>
        <scheme val="minor"/>
      </rPr>
      <t xml:space="preserve">  Priorité  &lt;</t>
    </r>
  </si>
  <si>
    <t>Niveaux de priorité</t>
  </si>
  <si>
    <t>Critères de sélection des projets</t>
  </si>
  <si>
    <t>Date de création</t>
  </si>
  <si>
    <t>Date de la version</t>
  </si>
  <si>
    <t>Numéro de version</t>
  </si>
  <si>
    <t>V2.3</t>
  </si>
  <si>
    <t>Réponses aux critères et points attribués</t>
  </si>
  <si>
    <t>C17</t>
  </si>
  <si>
    <t>TEST 3</t>
  </si>
  <si>
    <t>Project 8</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</si>
  <si>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</si>
  <si>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</si>
  <si>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</si>
  <si>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</si>
  <si>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</si>
  <si>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1. Définition des critères de sélection</t>
  </si>
  <si>
    <t xml:space="preserve">Rendez-vous dans la feuille "Critères de sélection" </t>
  </si>
  <si>
    <r>
      <rPr>
        <b/>
        <sz val="12"/>
        <color theme="1"/>
        <rFont val="Candara"/>
        <family val="2"/>
      </rPr>
      <t>Renseignez</t>
    </r>
    <r>
      <rPr>
        <sz val="12"/>
        <color theme="1"/>
        <rFont val="Candara"/>
        <family val="2"/>
      </rPr>
      <t xml:space="preserve"> vos critères de sélection des projets directement sur les lignes indiquées :</t>
    </r>
  </si>
  <si>
    <r>
      <t xml:space="preserve">Pour </t>
    </r>
    <r>
      <rPr>
        <b/>
        <sz val="12"/>
        <color theme="1"/>
        <rFont val="Candara"/>
        <family val="2"/>
      </rPr>
      <t>ajouter</t>
    </r>
    <r>
      <rPr>
        <sz val="12"/>
        <color theme="1"/>
        <rFont val="Candara"/>
        <family val="2"/>
      </rPr>
      <t xml:space="preserve"> un nouveau critère, il y'a deux façons de procéder :</t>
    </r>
  </si>
  <si>
    <t xml:space="preserve">* Ajout en bas de la liste : positionnez-vous sur l'avant dernière ligne (C16) et cliquez sur le bouton "Ajouter un critère" </t>
  </si>
  <si>
    <t xml:space="preserve">* Ajout entre les lignes : positionnez-vous sur la ligne au dessous de laquelle vous souhaitez ajouter une nouvelle ligne, puis cliquez sur le bouton "Ajouter un critère" </t>
  </si>
  <si>
    <t>Pour supprimer un critère, il suffit de se positionner sur la ligne à supprimer et cliquer sur le bouton "Supprimer un critère".</t>
  </si>
  <si>
    <r>
      <rPr>
        <b/>
        <sz val="12"/>
        <color theme="1"/>
        <rFont val="Candara"/>
        <family val="2"/>
      </rPr>
      <t>Evaluez</t>
    </r>
    <r>
      <rPr>
        <sz val="12"/>
        <color theme="1"/>
        <rFont val="Candara"/>
        <family val="2"/>
      </rPr>
      <t xml:space="preserve"> les critères en procédant comme suit :
</t>
    </r>
  </si>
  <si>
    <t xml:space="preserve">1. Pour chaque critère, définissez des réponses cohérentes avec les scores prédéfinis
</t>
  </si>
  <si>
    <t>En effet, les critères n'ayant pas tous la même importance, vous allez alors définir, pour chaque critère, un poids.</t>
  </si>
  <si>
    <t>Suite aux définitions stratégiques pour la période en vigueur, chaque critère recevra une pondération permettant ainsi d'éviter de ne pas considérer un critère lors de l’évaluation des projets, ou d’en renforcer un par rapport aux autres.</t>
  </si>
  <si>
    <t>Vous pouvez ajouter un score de pondération en procédant comme suit :</t>
  </si>
  <si>
    <t>* Ajout d'un score négatif : Positionnez-vous sur le score de l'extrême gauche (-2) et cliquez sur le bouton "Nouv. Score"</t>
  </si>
  <si>
    <t>2. Pondérez les différents critères de sélection</t>
  </si>
  <si>
    <t>Pour chaque critère, choisissez un coefficient de pondération à partir de la liste déroulante</t>
  </si>
  <si>
    <t>Vous pouvez ajouter un coefficient de pondération à partir de la feuille "paramétrage"</t>
  </si>
  <si>
    <t>Utilisez les signes (+) ou (-) pour ajouter ou supprimer un coefficient de pondération.</t>
  </si>
  <si>
    <t>2. Evaluation et sélection des projets</t>
  </si>
  <si>
    <t xml:space="preserve">Rendez-vous dans la feuille "Evaluation" </t>
  </si>
  <si>
    <r>
      <t xml:space="preserve">Mettez un </t>
    </r>
    <r>
      <rPr>
        <b/>
        <sz val="12"/>
        <color theme="1"/>
        <rFont val="Candara"/>
        <family val="2"/>
      </rPr>
      <t>libellé</t>
    </r>
    <r>
      <rPr>
        <sz val="12"/>
        <color theme="1"/>
        <rFont val="Candara"/>
        <family val="2"/>
      </rPr>
      <t xml:space="preserve"> pour chacun des </t>
    </r>
    <r>
      <rPr>
        <b/>
        <sz val="12"/>
        <color theme="1"/>
        <rFont val="Candara"/>
        <family val="2"/>
      </rPr>
      <t>projets</t>
    </r>
    <r>
      <rPr>
        <sz val="12"/>
        <color theme="1"/>
        <rFont val="Candara"/>
        <family val="2"/>
      </rPr>
      <t xml:space="preserve"> de votre portefeuille de projets</t>
    </r>
  </si>
  <si>
    <t xml:space="preserve">Pour supprimer un projet, positionnez-vous sur le libellé de projet en question, et cliquez sur le bouton "Supprimer un projet". </t>
  </si>
  <si>
    <t>Notez que la première colonne à gauche reprend automatiquement les critères de sélection renseignés dans la feuille "critères de sélection"</t>
  </si>
  <si>
    <r>
      <rPr>
        <b/>
        <sz val="12"/>
        <color theme="1"/>
        <rFont val="Candara"/>
        <family val="2"/>
      </rPr>
      <t>Mettez les réponses aux critères</t>
    </r>
    <r>
      <rPr>
        <sz val="12"/>
        <color theme="1"/>
        <rFont val="Candara"/>
        <family val="2"/>
      </rPr>
      <t xml:space="preserve"> correspondantes en choisissant un critère depuis la liste déroulante.</t>
    </r>
  </si>
  <si>
    <t>Obtenez le résultat de l'évaluation</t>
  </si>
  <si>
    <t>Le total des projets est calculé automatiquement pour chaque projet, en multipliant le coefficient par le score de chaque critère de sélection et en faisant la somme de tous ces scores.</t>
  </si>
  <si>
    <t>En fonction des résultats, des niveaux de priorité sont attribués aux différents projets :</t>
  </si>
  <si>
    <t>Priorité (P1) : lorsque le total des points se situe entre 32 et 200</t>
  </si>
  <si>
    <t>Priorité (P2) : lorsque le total des points se situe entre 0 et 32</t>
  </si>
  <si>
    <t>Priorité (P3) : lorsque le total des points se situe entre -32 et 0</t>
  </si>
  <si>
    <t>Priorité (P4) : lorsque le total des points est entre -64 et -32</t>
  </si>
  <si>
    <r>
      <t xml:space="preserve">Des </t>
    </r>
    <r>
      <rPr>
        <b/>
        <sz val="12"/>
        <rFont val="Candara"/>
        <family val="2"/>
      </rPr>
      <t>décisions doivent être prises</t>
    </r>
    <r>
      <rPr>
        <sz val="12"/>
        <rFont val="Candara"/>
        <family val="2"/>
      </rPr>
      <t xml:space="preserve"> quant à la sélection de projet.
</t>
    </r>
    <r>
      <rPr>
        <u/>
        <sz val="12"/>
        <rFont val="Candara"/>
        <family val="2"/>
      </rPr>
      <t>Exemple 1</t>
    </r>
    <r>
      <rPr>
        <sz val="12"/>
        <rFont val="Candara"/>
        <family val="2"/>
      </rPr>
      <t xml:space="preserve"> : les projets dont le total des points est supérieur à 0 vont être retenus, tandis que ceux dont le total des points est inférieur à 0 vont être rejetés.
</t>
    </r>
    <r>
      <rPr>
        <u/>
        <sz val="12"/>
        <rFont val="Candara"/>
        <family val="2"/>
      </rPr>
      <t>Exemple 2</t>
    </r>
    <r>
      <rPr>
        <sz val="12"/>
        <rFont val="Candara"/>
        <family val="2"/>
      </rPr>
      <t xml:space="preserve"> : Uniquement les projets de priorité P1 seront retenus. Les P2 seront réexaminés, et les autres écartés.</t>
    </r>
  </si>
  <si>
    <r>
      <rPr>
        <u/>
        <sz val="12"/>
        <rFont val="Candara"/>
        <family val="2"/>
      </rPr>
      <t>Exemple 1</t>
    </r>
    <r>
      <rPr>
        <sz val="12"/>
        <rFont val="Candara"/>
        <family val="2"/>
      </rPr>
      <t xml:space="preserve"> : les projets dont le total des points est supérieur à 0 vont être retenus, tandis que ceux dont le total des points est inférieur à 0 vont être rejetés.</t>
    </r>
  </si>
  <si>
    <r>
      <rPr>
        <u/>
        <sz val="12"/>
        <rFont val="Candara"/>
        <family val="2"/>
      </rPr>
      <t>Exemple 2</t>
    </r>
    <r>
      <rPr>
        <sz val="12"/>
        <rFont val="Candara"/>
        <family val="2"/>
      </rPr>
      <t xml:space="preserve"> : Uniquement les projets de priorité P1 seront retenus. Les P2 seront réexaminés, et les autres écartés.</t>
    </r>
  </si>
  <si>
    <t>Vous pouvez ajouter une nouvelle priorité (Pn). Pour ce faire :</t>
  </si>
  <si>
    <t>1. Rendez-vous dans la feuille paramétrage</t>
  </si>
  <si>
    <t>3. Mettez la couleur que vous souhaitez au libellé (Pn)</t>
  </si>
  <si>
    <t>4. Attribuez une valeur minimale (Min)</t>
  </si>
  <si>
    <t>Ce faisant, la nouvelle priorité (P5 dans cet exemple) sera attribuée aux projets dont le total des points se situera entre -100 et -64</t>
  </si>
  <si>
    <t>* Ajout d'un score positif : procédez pareillement en vous positionnant sur le "coefficient de pondération" et cliquez sur le bouton "Nouv. Score"</t>
  </si>
  <si>
    <t>Pour ajouter un nouveau projet, il suffit de vous positionner sur la colonne vide et de cliquer sur le bouton "Ajouter un projet".</t>
  </si>
  <si>
    <t>Vous pouvez ajouter une colonne "projet" entre les colonnes existantes, en se positionnant sur un libellé de projet puis en cliquant sur le bouton d'ajout.</t>
  </si>
  <si>
    <t>2. Renseignez la nouvelle priorité (Pn) en se positionnant sur une cellule de la "priorité", puis cliquez sur le bouton (+) et ajouter le libellé (P5 dans cet exemple)</t>
  </si>
  <si>
    <t>Non/code du portefeuille</t>
  </si>
  <si>
    <t>Portefeuille X</t>
  </si>
  <si>
    <t>PMO</t>
  </si>
  <si>
    <t>Alain DURAND</t>
  </si>
  <si>
    <t>Département</t>
  </si>
  <si>
    <t>Département X</t>
  </si>
  <si>
    <t>Organisation</t>
  </si>
  <si>
    <t>Société X</t>
  </si>
  <si>
    <t>Nom / Code portefeuille</t>
  </si>
  <si>
    <t>Societé X</t>
  </si>
  <si>
    <t>Les scores définis par défaut vont de (-2) jusqu'à (+2)</t>
  </si>
  <si>
    <t xml:space="preserve">Pour supprimer une priorité, il suffit de vous positionner sur la cellule appropriée et de cliquer sur le signe (-) </t>
  </si>
  <si>
    <t>Déverrouiller la feuille "Paramétrage"</t>
  </si>
  <si>
    <t>Si vous souhaitez modifier un élément dans le paramétrage, il faut utiliser le mot de passe fourni, comme montré dans la capture ci-après.</t>
  </si>
  <si>
    <t>Degré de cohérence et d'alignement avec la stratégie</t>
  </si>
  <si>
    <t>Appui la stratégie (deux axes ou plus)</t>
  </si>
  <si>
    <t>-</t>
  </si>
  <si>
    <t>15/03/2023</t>
  </si>
  <si>
    <t>Langue</t>
  </si>
  <si>
    <t>Français</t>
  </si>
  <si>
    <t>Anglais</t>
  </si>
  <si>
    <t>Version Date</t>
  </si>
  <si>
    <t>Guide d'utilisation</t>
  </si>
  <si>
    <t>User Guide</t>
  </si>
  <si>
    <t>Version Number</t>
  </si>
  <si>
    <t>Paramétrages</t>
  </si>
  <si>
    <t>Settings</t>
  </si>
  <si>
    <t>≤  Priorité  &lt;</t>
  </si>
  <si>
    <t>Evaluation</t>
  </si>
  <si>
    <t>Critères de sélection</t>
  </si>
  <si>
    <t>Weighting Coefficients</t>
  </si>
  <si>
    <t>Selection Criteria</t>
  </si>
  <si>
    <t>≤ Priority &lt;</t>
  </si>
  <si>
    <t>Date of Creation</t>
  </si>
  <si>
    <t>Degree of alignment with the company's mission</t>
  </si>
  <si>
    <t>Degree of alignment and alignment with the strategy</t>
  </si>
  <si>
    <t>Project urgency level</t>
  </si>
  <si>
    <t>Stability of project objectives</t>
  </si>
  <si>
    <t>Stakeholder support</t>
  </si>
  <si>
    <t>Project duration</t>
  </si>
  <si>
    <t>Project cost (Capex + external Opex)</t>
  </si>
  <si>
    <t>Cost-benefit ratio</t>
  </si>
  <si>
    <t>Resource availability</t>
  </si>
  <si>
    <t>Degree of project risk during execution</t>
  </si>
  <si>
    <t>Project complexity level</t>
  </si>
  <si>
    <t>Innovative character</t>
  </si>
  <si>
    <t>Possibility of reusing project results (duplication, mutualization, etc.)</t>
  </si>
  <si>
    <t>Development of internal skills</t>
  </si>
  <si>
    <t>Sustainability of impacts after the project's completion</t>
  </si>
  <si>
    <t>Other... (specify)</t>
  </si>
  <si>
    <t>Strongly incoherent</t>
  </si>
  <si>
    <t>No specific deadlines</t>
  </si>
  <si>
    <t>Chaotic</t>
  </si>
  <si>
    <t>Strong oppositions</t>
  </si>
  <si>
    <t>Very long &gt; 3 years</t>
  </si>
  <si>
    <t>Very high &gt; 2 M$</t>
  </si>
  <si>
    <t>Very costly and few results</t>
  </si>
  <si>
    <t>Highly competed resources</t>
  </si>
  <si>
    <t>Very risky</t>
  </si>
  <si>
    <t>Very complex</t>
  </si>
  <si>
    <t>Almost obsolete</t>
  </si>
  <si>
    <t>None</t>
  </si>
  <si>
    <t>Considerable challenges</t>
  </si>
  <si>
    <t>Slightly incoherent</t>
  </si>
  <si>
    <t>Inconsistent</t>
  </si>
  <si>
    <t>Some oppositions</t>
  </si>
  <si>
    <t>Long from 18 months to 3 years</t>
  </si>
  <si>
    <t>High from 1 to 2 M$</t>
  </si>
  <si>
    <t>Costly and few results</t>
  </si>
  <si>
    <t>Requires some rework</t>
  </si>
  <si>
    <t>Medium risk</t>
  </si>
  <si>
    <t>Complex</t>
  </si>
  <si>
    <t>Without any innovation</t>
  </si>
  <si>
    <t>Few and with significant adaptation</t>
  </si>
  <si>
    <t>Strong learning</t>
  </si>
  <si>
    <t>Some days</t>
  </si>
  <si>
    <t>Neutral</t>
  </si>
  <si>
    <t>Moderate risks</t>
  </si>
  <si>
    <t>Balance</t>
  </si>
  <si>
    <t>Normal from 12 to 18 months</t>
  </si>
  <si>
    <t>Moderate from 0.2 to 1 M$</t>
  </si>
  <si>
    <t>Reasonable balance</t>
  </si>
  <si>
    <t>Can be allocated</t>
  </si>
  <si>
    <t>Low risk</t>
  </si>
  <si>
    <t>Moderately simple</t>
  </si>
  <si>
    <t>Some novelties</t>
  </si>
  <si>
    <t>Transfer possibilities</t>
  </si>
  <si>
    <t>Normal learning</t>
  </si>
  <si>
    <t>Some weeks</t>
  </si>
  <si>
    <t>Coherent</t>
  </si>
  <si>
    <t>Fairly urgent</t>
  </si>
  <si>
    <t>Relatively stable</t>
  </si>
  <si>
    <t>Good support</t>
  </si>
  <si>
    <t>Short from 3 to 12 months</t>
  </si>
  <si>
    <t>Inexpensive &lt; 2 K$</t>
  </si>
  <si>
    <t>Favorable relationship</t>
  </si>
  <si>
    <t>Easily available</t>
  </si>
  <si>
    <t>Almost no risk</t>
  </si>
  <si>
    <t>Fairly simple</t>
  </si>
  <si>
    <t>Innovative</t>
  </si>
  <si>
    <t>Possible reuse</t>
  </si>
  <si>
    <t>Almost none</t>
  </si>
  <si>
    <t>Some months</t>
  </si>
  <si>
    <t>Reinforces the mission</t>
  </si>
  <si>
    <t>Supports the strategy (two axes or more)</t>
  </si>
  <si>
    <t>Very urgent</t>
  </si>
  <si>
    <t>Very stable</t>
  </si>
  <si>
    <t>Unconditional support</t>
  </si>
  <si>
    <t>Very short &lt; 3 months</t>
  </si>
  <si>
    <t>Almost no costs</t>
  </si>
  <si>
    <t>Very favorable relationship</t>
  </si>
  <si>
    <t>Available and without attributions</t>
  </si>
  <si>
    <t>No risk</t>
  </si>
  <si>
    <t>Very simple</t>
  </si>
  <si>
    <t>Revolutionary</t>
  </si>
  <si>
    <t>Total reuse</t>
  </si>
  <si>
    <t>A few years</t>
  </si>
  <si>
    <t>Language</t>
  </si>
  <si>
    <t>Criteria for categorization and selection of projects</t>
  </si>
  <si>
    <t>Weighting coefficient</t>
  </si>
  <si>
    <t>Responses to criteria and assigned points.</t>
  </si>
  <si>
    <t>Ajouter un critère</t>
  </si>
  <si>
    <t>Supprimer un critère</t>
  </si>
  <si>
    <t>Nouv. Score</t>
  </si>
  <si>
    <t>Supp. Score</t>
  </si>
  <si>
    <t>Add a criterion</t>
  </si>
  <si>
    <t>Delete a criterion</t>
  </si>
  <si>
    <t>New Score</t>
  </si>
  <si>
    <t>Delete Score</t>
  </si>
  <si>
    <t>Ajouter un projet</t>
  </si>
  <si>
    <t>Supprimer un projet</t>
  </si>
  <si>
    <t>Add a project</t>
  </si>
  <si>
    <t>Delete a project</t>
  </si>
  <si>
    <t>Name / Portfolio Code</t>
  </si>
  <si>
    <t>Department</t>
  </si>
  <si>
    <t>Organization</t>
  </si>
  <si>
    <t>Project Selection Criteria</t>
  </si>
  <si>
    <t>En fonction des résultats, des décisions doivent être prises quant à la sélection de projet.
Exemple 1 : les projets dont le total des points est supérieur à 0 vont être retenus, tandis que ceux dont le total des points est inférieur à 0 vont être rejetés.
Exemple 2 : Uniquement les projets de priorité P1 seront retenus. Les P2 seront réexaminés, et les autres écartés.</t>
  </si>
  <si>
    <t>Based on the results, decisions need to be made regarding project selection.
Example 1: Projects with a total score greater than 0 will be selected, while those with a total score less than 0 will be rejected.
Example 2: Only projects with priority P1 will be selected. Projects with P2 priority will be reevaluated, and the rest will be discarded.</t>
  </si>
  <si>
    <t>Priority Levels</t>
  </si>
  <si>
    <t>Total Points</t>
  </si>
  <si>
    <t>Points totaux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</si>
</sst>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1" x14ac:knownFonts="1">
    <font>
      <sz val="11"/>
      <color theme="1"/>
      <name val="Calibri"/>
      <family val="2"/>
      <scheme val="minor"/>
    </font>
    <font>
      <b/>
      <sz val="11"/>
      <color theme="1" tint="0.249977111117893"/>
      <name val="Calibri"/>
      <family val="2"/>
      <scheme val="minor"/>
    </font>
    <font>
      <sz val="11"/>
      <color theme="1" tint="0.249977111117893"/>
      <name val="Calibri"/>
      <family val="2"/>
      <scheme val="minor"/>
    </font>
    <font>
      <b/>
      <sz val="11"/>
      <color theme="1"/>
      <name val="Calibri"/>
      <family val="2"/>
      <scheme val="minor"/>
    </font>
    <font>
      <sz val="8"/>
      <name val="Calibri"/>
      <family val="2"/>
      <scheme val="minor"/>
    </font>
    <font>
      <sz val="11"/>
      <color theme="1" tint="0.14999847407452621"/>
      <name val="Calibri"/>
      <family val="2"/>
      <scheme val="minor"/>
    </font>
    <font>
      <b/>
      <sz val="9"/>
      <color theme="0"/>
      <name val="Calibri"/>
      <family val="2"/>
      <scheme val="minor"/>
    </font>
    <font>
      <b/>
      <sz val="11"/>
      <color rgb="FF00B050"/>
      <name val="Calibri"/>
      <family val="2"/>
    </font>
    <font>
      <b/>
      <sz val="11"/>
      <color theme="0"/>
      <name val="Calibri"/>
      <family val="2"/>
      <scheme val="minor"/>
    </font>
    <font>
      <sz val="11"/>
      <color theme="1"/>
      <name val="Calibri"/>
      <family val="2"/>
      <scheme val="minor"/>
    </font>
    <font>
      <b/>
      <sz val="11"/>
      <color theme="9" tint="-0.499984740745262"/>
      <name val="Calibri"/>
      <family val="2"/>
      <scheme val="minor"/>
    </font>
    <font>
      <b/>
      <sz val="9"/>
      <color theme="0"/>
      <name val="Calibri"/>
      <family val="2"/>
    </font>
    <font>
      <b/>
      <sz val="11"/>
      <color rgb="FFFF0000"/>
      <name val="Calibri"/>
      <family val="2"/>
      <scheme val="minor"/>
    </font>
    <font>
      <sz val="11"/>
      <color rgb="FF00B050"/>
      <name val="Calibri"/>
      <family val="2"/>
      <scheme val="minor"/>
    </font>
    <font>
      <sz val="11"/>
      <color theme="5"/>
      <name val="Calibri"/>
      <family val="2"/>
      <scheme val="minor"/>
    </font>
    <font>
      <sz val="11"/>
      <color theme="5" tint="-0.249977111117893"/>
      <name val="Calibri"/>
      <family val="2"/>
      <scheme val="minor"/>
    </font>
    <font>
      <b/>
      <sz val="16"/>
      <color theme="0"/>
      <name val="Calibri"/>
      <family val="2"/>
    </font>
    <font>
      <sz val="10"/>
      <color theme="1" tint="0.34998626667073579"/>
      <name val="Calibri"/>
      <family val="2"/>
      <scheme val="minor"/>
    </font>
    <font>
      <sz val="11"/>
      <color theme="1"/>
      <name val="Candara"/>
      <family val="2"/>
    </font>
    <font>
      <sz val="10"/>
      <color theme="6" tint="-0.249977111117893"/>
      <name val="Calibri"/>
      <family val="2"/>
      <scheme val="minor"/>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b/>
      <sz val="20"/>
      <color rgb="FF62BD8A"/>
      <name val="Candara"/>
      <family val="2"/>
    </font>
    <font>
      <b/>
      <sz val="14"/>
      <color theme="0"/>
      <name val="Calibri"/>
      <family val="2"/>
    </font>
    <font>
      <b/>
      <sz val="11"/>
      <color rgb="FF00B050"/>
      <name val="Calibri"/>
      <family val="2"/>
      <scheme val="minor"/>
    </font>
    <font>
      <sz val="11"/>
      <color rgb="FFC00000"/>
      <name val="Calibri"/>
      <family val="2"/>
      <scheme val="minor"/>
    </font>
    <font>
      <sz val="11"/>
      <name val="Calibri"/>
      <family val="2"/>
      <scheme val="minor"/>
    </font>
    <font>
      <b/>
      <sz val="11"/>
      <color rgb="FF2C6646"/>
      <name val="Calibri"/>
      <family val="2"/>
      <scheme val="minor"/>
    </font>
    <font>
      <b/>
      <sz val="14"/>
      <name val="Candara"/>
      <family val="2"/>
    </font>
    <font>
      <sz val="12"/>
      <name val="Candara"/>
      <family val="2"/>
    </font>
    <font>
      <sz val="11"/>
      <color rgb="FFFF0000"/>
      <name val="Candara"/>
      <family val="2"/>
    </font>
    <font>
      <b/>
      <sz val="14"/>
      <color theme="1"/>
      <name val="Candara"/>
      <family val="2"/>
    </font>
    <font>
      <sz val="12"/>
      <color theme="1"/>
      <name val="Candara"/>
      <family val="2"/>
    </font>
    <font>
      <b/>
      <sz val="16"/>
      <color theme="1"/>
      <name val="Candara"/>
      <family val="2"/>
    </font>
    <font>
      <b/>
      <sz val="12"/>
      <color theme="1"/>
      <name val="Candara"/>
      <family val="2"/>
    </font>
    <font>
      <b/>
      <sz val="12"/>
      <name val="Candara"/>
      <family val="2"/>
    </font>
    <font>
      <u/>
      <sz val="12"/>
      <name val="Candara"/>
      <family val="2"/>
    </font>
    <font>
      <b/>
      <sz val="11"/>
      <name val="Calibri"/>
      <family val="2"/>
      <scheme val="minor"/>
    </font>
    <font>
      <b/>
      <sz val="11"/>
      <color theme="9" tint="0.79998168889431442"/>
      <name val="Calibri"/>
      <family val="2"/>
      <scheme val="minor"/>
    </font>
    <font>
      <b/>
      <sz val="12"/>
      <color theme="0"/>
      <name val="Calibri"/>
      <family val="2"/>
    </font>
  </fonts>
  <fills count="16">
    <fill>
      <patternFill patternType="none"/>
    </fill>
    <fill>
      <patternFill patternType="gray125"/>
    </fill>
    <fill>
      <patternFill patternType="solid">
        <fgColor theme="8"/>
        <bgColor theme="8"/>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gradientFill degree="270">
        <stop position="0">
          <color rgb="FF62BD8A"/>
        </stop>
        <stop position="1">
          <color rgb="FF98D4B2"/>
        </stop>
      </gradientFill>
    </fill>
    <fill>
      <patternFill patternType="solid">
        <fgColor theme="0" tint="-4.9989318521683403E-2"/>
        <bgColor indexed="64"/>
      </patternFill>
    </fill>
    <fill>
      <patternFill patternType="solid">
        <fgColor theme="0"/>
        <bgColor indexed="64"/>
      </pattern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theme="9"/>
        <bgColor theme="8"/>
      </patternFill>
    </fill>
    <fill>
      <patternFill patternType="solid">
        <fgColor theme="9"/>
        <bgColor theme="9"/>
      </patternFill>
    </fill>
    <fill>
      <patternFill patternType="solid">
        <fgColor rgb="FF439B6B"/>
        <bgColor indexed="64"/>
      </patternFill>
    </fill>
  </fills>
  <borders count="9">
    <border>
      <left/>
      <right/>
      <top/>
      <bottom/>
      <diagonal/>
    </border>
    <border>
      <left style="thin">
        <color theme="8"/>
      </left>
      <right/>
      <top/>
      <bottom/>
      <diagonal/>
    </border>
    <border>
      <left/>
      <right style="thin">
        <color theme="8"/>
      </right>
      <top/>
      <bottom/>
      <diagonal/>
    </border>
    <border>
      <left/>
      <right/>
      <top style="thick">
        <color theme="0"/>
      </top>
      <bottom style="thick">
        <color theme="0"/>
      </bottom>
      <diagonal/>
    </border>
    <border>
      <left/>
      <right/>
      <top/>
      <bottom style="thin">
        <color theme="0" tint="-0.14996795556505021"/>
      </bottom>
      <diagonal/>
    </border>
    <border>
      <left/>
      <right/>
      <top/>
      <bottom style="thick">
        <color theme="0"/>
      </bottom>
      <diagonal/>
    </border>
    <border>
      <left/>
      <right/>
      <top/>
      <bottom style="thin">
        <color rgb="FF91E0FF"/>
      </bottom>
      <diagonal/>
    </border>
    <border>
      <left/>
      <right/>
      <top style="thin">
        <color rgb="FF91E0FF"/>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2">
    <xf numFmtId="0" fontId="0" fillId="0" borderId="0"/>
    <xf numFmtId="0" fontId="9" fillId="0" borderId="0"/>
  </cellStyleXfs>
  <cellXfs count="107">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2" fillId="0" borderId="0" xfId="0" applyFont="1" applyAlignment="1">
      <alignment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0" fontId="0" fillId="0" borderId="0" xfId="0" applyAlignment="1">
      <alignment horizontal="center"/>
    </xf>
    <xf numFmtId="0" fontId="3" fillId="0" borderId="0" xfId="0" applyFont="1" applyAlignment="1">
      <alignment horizontal="center" vertical="center"/>
    </xf>
    <xf numFmtId="1" fontId="0" fillId="0" borderId="0" xfId="0" applyNumberFormat="1" applyAlignment="1" applyProtection="1">
      <alignment horizontal="center" vertical="center"/>
      <protection locked="0"/>
    </xf>
    <xf numFmtId="0" fontId="6" fillId="0" borderId="0" xfId="0" applyFont="1" applyAlignment="1" applyProtection="1">
      <alignment horizontal="center" vertical="center" wrapText="1"/>
      <protection locked="0"/>
    </xf>
    <xf numFmtId="0" fontId="5" fillId="0" borderId="0" xfId="0" applyFont="1" applyAlignment="1" applyProtection="1">
      <alignment horizontal="center" vertical="center"/>
      <protection locked="0"/>
    </xf>
    <xf numFmtId="0" fontId="8" fillId="2" borderId="1"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0" fontId="12" fillId="6" borderId="0" xfId="1" applyFont="1" applyFill="1" applyAlignment="1">
      <alignment horizontal="center" vertical="center"/>
    </xf>
    <xf numFmtId="0" fontId="13" fillId="3" borderId="0" xfId="0" applyFont="1" applyFill="1" applyAlignment="1" applyProtection="1">
      <alignment horizontal="center" vertical="center"/>
      <protection locked="0"/>
    </xf>
    <xf numFmtId="0" fontId="15" fillId="5" borderId="0" xfId="1" applyFont="1" applyFill="1" applyAlignment="1">
      <alignment horizontal="center" vertical="center"/>
    </xf>
    <xf numFmtId="0" fontId="14" fillId="4" borderId="0" xfId="1" applyFont="1" applyFill="1" applyAlignment="1">
      <alignment horizontal="center" vertical="center"/>
    </xf>
    <xf numFmtId="0" fontId="16" fillId="7" borderId="3" xfId="0" applyFont="1" applyFill="1" applyBorder="1" applyAlignment="1">
      <alignment vertical="center"/>
    </xf>
    <xf numFmtId="0" fontId="18" fillId="9" borderId="0" xfId="0" applyFont="1" applyFill="1"/>
    <xf numFmtId="0" fontId="19" fillId="8" borderId="0" xfId="0" applyFont="1" applyFill="1" applyAlignment="1">
      <alignment horizontal="left" vertical="center"/>
    </xf>
    <xf numFmtId="14" fontId="17" fillId="8" borderId="4" xfId="0" applyNumberFormat="1" applyFont="1" applyFill="1" applyBorder="1" applyAlignment="1">
      <alignment horizontal="left" vertical="center"/>
    </xf>
    <xf numFmtId="0" fontId="17" fillId="8" borderId="4" xfId="0" applyFont="1" applyFill="1" applyBorder="1" applyAlignment="1">
      <alignment vertical="center"/>
    </xf>
    <xf numFmtId="0" fontId="20" fillId="10" borderId="6" xfId="0" applyFont="1" applyFill="1" applyBorder="1" applyAlignment="1">
      <alignment vertical="center"/>
    </xf>
    <xf numFmtId="0" fontId="22" fillId="11" borderId="0" xfId="0" applyFont="1" applyFill="1" applyAlignment="1">
      <alignment horizontal="center" vertical="center"/>
    </xf>
    <xf numFmtId="0" fontId="23" fillId="9" borderId="0" xfId="0" applyFont="1" applyFill="1" applyAlignment="1">
      <alignment vertical="center"/>
    </xf>
    <xf numFmtId="0" fontId="20" fillId="10" borderId="0" xfId="0" applyFont="1" applyFill="1" applyAlignment="1">
      <alignment horizontal="left" vertical="center"/>
    </xf>
    <xf numFmtId="0" fontId="22" fillId="0" borderId="0" xfId="0" applyFont="1" applyAlignment="1">
      <alignment horizontal="center" vertical="center"/>
    </xf>
    <xf numFmtId="0" fontId="22" fillId="0" borderId="0" xfId="0" applyFont="1" applyAlignment="1">
      <alignment vertical="center"/>
    </xf>
    <xf numFmtId="0" fontId="20" fillId="0" borderId="0" xfId="0" applyFont="1" applyAlignment="1">
      <alignment horizontal="left" vertical="center"/>
    </xf>
    <xf numFmtId="0" fontId="21" fillId="0" borderId="0" xfId="0" applyFont="1" applyAlignment="1">
      <alignment vertical="center"/>
    </xf>
    <xf numFmtId="0" fontId="23" fillId="0" borderId="0" xfId="0" applyFont="1" applyAlignment="1">
      <alignment vertical="center"/>
    </xf>
    <xf numFmtId="0" fontId="24" fillId="7" borderId="3" xfId="0" applyFont="1" applyFill="1" applyBorder="1" applyAlignment="1">
      <alignment vertical="center"/>
    </xf>
    <xf numFmtId="1" fontId="27" fillId="0" borderId="0" xfId="0" applyNumberFormat="1" applyFont="1" applyAlignment="1" applyProtection="1">
      <alignment horizontal="center" vertical="center"/>
      <protection locked="0"/>
    </xf>
    <xf numFmtId="0" fontId="6" fillId="13" borderId="0" xfId="0" applyFont="1" applyFill="1" applyAlignment="1">
      <alignment horizontal="center" vertical="center" wrapText="1"/>
    </xf>
    <xf numFmtId="1" fontId="3" fillId="0" borderId="0" xfId="0" applyNumberFormat="1" applyFont="1" applyAlignment="1">
      <alignment horizontal="center" vertical="center"/>
    </xf>
    <xf numFmtId="0" fontId="28" fillId="12" borderId="0" xfId="0" applyFont="1" applyFill="1" applyAlignment="1">
      <alignment horizontal="centerContinuous" vertical="center"/>
    </xf>
    <xf numFmtId="0" fontId="28" fillId="12" borderId="0" xfId="0" applyFont="1" applyFill="1" applyAlignment="1">
      <alignment horizontal="left" vertical="center"/>
    </xf>
    <xf numFmtId="0" fontId="0" fillId="12" borderId="0" xfId="0" applyFill="1"/>
    <xf numFmtId="0" fontId="29" fillId="9" borderId="0" xfId="0" applyFont="1" applyFill="1" applyAlignment="1">
      <alignment vertical="top"/>
    </xf>
    <xf numFmtId="0" fontId="30" fillId="9" borderId="0" xfId="0" applyFont="1" applyFill="1" applyAlignment="1">
      <alignment vertical="top"/>
    </xf>
    <xf numFmtId="0" fontId="31" fillId="9" borderId="0" xfId="0" applyFont="1" applyFill="1" applyAlignment="1">
      <alignment vertical="top"/>
    </xf>
    <xf numFmtId="0" fontId="32" fillId="0" borderId="0" xfId="0" applyFont="1"/>
    <xf numFmtId="0" fontId="33" fillId="0" borderId="0" xfId="0" applyFont="1"/>
    <xf numFmtId="0" fontId="34" fillId="9" borderId="0" xfId="0" applyFont="1" applyFill="1" applyAlignment="1">
      <alignment vertical="center"/>
    </xf>
    <xf numFmtId="0" fontId="18" fillId="9" borderId="0" xfId="0" applyFont="1" applyFill="1" applyAlignment="1">
      <alignment vertical="center"/>
    </xf>
    <xf numFmtId="0" fontId="0" fillId="9" borderId="0" xfId="0" applyFill="1"/>
    <xf numFmtId="0" fontId="32" fillId="9" borderId="0" xfId="0" applyFont="1" applyFill="1" applyAlignment="1">
      <alignment vertical="center"/>
    </xf>
    <xf numFmtId="0" fontId="33" fillId="9" borderId="0" xfId="0" applyFont="1" applyFill="1" applyAlignment="1">
      <alignment horizontal="left" vertical="center" wrapText="1"/>
    </xf>
    <xf numFmtId="0" fontId="33" fillId="9" borderId="0" xfId="0" applyFont="1" applyFill="1" applyAlignment="1">
      <alignment horizontal="left" vertical="center"/>
    </xf>
    <xf numFmtId="0" fontId="33" fillId="9" borderId="0" xfId="0" applyFont="1" applyFill="1" applyAlignment="1">
      <alignment horizontal="left" vertical="top"/>
    </xf>
    <xf numFmtId="0" fontId="33" fillId="9" borderId="0" xfId="0" applyFont="1" applyFill="1" applyAlignment="1">
      <alignment vertical="center"/>
    </xf>
    <xf numFmtId="0" fontId="0" fillId="0" borderId="0" xfId="0" applyAlignment="1">
      <alignment vertical="center"/>
    </xf>
    <xf numFmtId="0" fontId="35" fillId="9" borderId="0" xfId="0" applyFont="1" applyFill="1" applyAlignment="1">
      <alignment vertical="center"/>
    </xf>
    <xf numFmtId="0" fontId="33" fillId="9" borderId="0" xfId="0" applyFont="1" applyFill="1" applyAlignment="1">
      <alignment horizontal="left" wrapText="1"/>
    </xf>
    <xf numFmtId="0" fontId="33" fillId="9" borderId="0" xfId="0" applyFont="1" applyFill="1" applyAlignment="1">
      <alignment horizontal="left"/>
    </xf>
    <xf numFmtId="0" fontId="30" fillId="9" borderId="0" xfId="0" applyFont="1" applyFill="1" applyAlignment="1">
      <alignment horizontal="left" vertical="top"/>
    </xf>
    <xf numFmtId="0" fontId="32" fillId="9" borderId="0" xfId="0" applyFont="1" applyFill="1" applyAlignment="1">
      <alignment vertical="top"/>
    </xf>
    <xf numFmtId="0" fontId="33" fillId="9" borderId="0" xfId="0" applyFont="1" applyFill="1" applyAlignment="1">
      <alignment vertical="top"/>
    </xf>
    <xf numFmtId="0" fontId="2" fillId="0" borderId="0" xfId="0" applyFont="1" applyAlignment="1" applyProtection="1">
      <alignment horizontal="center" vertical="center" wrapText="1"/>
      <protection locked="0"/>
    </xf>
    <xf numFmtId="0" fontId="2"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0" fillId="0" borderId="0" xfId="0" applyProtection="1">
      <protection locked="0"/>
    </xf>
    <xf numFmtId="0" fontId="18" fillId="9" borderId="0" xfId="0" applyFont="1" applyFill="1" applyProtection="1">
      <protection locked="0"/>
    </xf>
    <xf numFmtId="0" fontId="19" fillId="8" borderId="0" xfId="0" applyFont="1" applyFill="1" applyAlignment="1" applyProtection="1">
      <alignment horizontal="left" vertical="center"/>
      <protection locked="0"/>
    </xf>
    <xf numFmtId="14" fontId="17" fillId="8" borderId="4" xfId="0" applyNumberFormat="1" applyFont="1" applyFill="1" applyBorder="1" applyAlignment="1" applyProtection="1">
      <alignment horizontal="left" vertical="center"/>
      <protection locked="0"/>
    </xf>
    <xf numFmtId="0" fontId="17" fillId="8" borderId="4" xfId="0" applyFont="1" applyFill="1" applyBorder="1" applyAlignment="1" applyProtection="1">
      <alignment vertical="center"/>
      <protection locked="0"/>
    </xf>
    <xf numFmtId="0" fontId="16" fillId="7" borderId="3" xfId="0" applyFont="1" applyFill="1" applyBorder="1" applyAlignment="1" applyProtection="1">
      <alignment vertical="center"/>
      <protection locked="0"/>
    </xf>
    <xf numFmtId="0" fontId="24" fillId="7" borderId="3" xfId="0" applyFont="1" applyFill="1" applyBorder="1" applyAlignment="1" applyProtection="1">
      <alignment vertical="center"/>
      <protection locked="0"/>
    </xf>
    <xf numFmtId="0" fontId="20" fillId="10" borderId="6" xfId="0" applyFont="1" applyFill="1" applyBorder="1" applyAlignment="1" applyProtection="1">
      <alignment vertical="center"/>
      <protection locked="0"/>
    </xf>
    <xf numFmtId="0" fontId="22" fillId="11" borderId="0" xfId="0" applyFont="1" applyFill="1" applyAlignment="1" applyProtection="1">
      <alignment horizontal="center" vertical="center"/>
      <protection locked="0"/>
    </xf>
    <xf numFmtId="0" fontId="23" fillId="9" borderId="0" xfId="0" applyFont="1" applyFill="1" applyAlignment="1" applyProtection="1">
      <alignment vertical="center"/>
      <protection locked="0"/>
    </xf>
    <xf numFmtId="0" fontId="0" fillId="0" borderId="0" xfId="0"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0" fillId="0" borderId="0" xfId="0" applyAlignment="1" applyProtection="1">
      <alignment horizontal="center"/>
      <protection locked="0"/>
    </xf>
    <xf numFmtId="0" fontId="26" fillId="4" borderId="0" xfId="0" applyFont="1" applyFill="1" applyAlignment="1">
      <alignment horizontal="center" vertical="center" wrapText="1"/>
    </xf>
    <xf numFmtId="1" fontId="27" fillId="0" borderId="0" xfId="0" applyNumberFormat="1" applyFont="1" applyAlignment="1">
      <alignment horizontal="center" vertical="center" wrapText="1"/>
    </xf>
    <xf numFmtId="0" fontId="25" fillId="3" borderId="0" xfId="0" applyFont="1" applyFill="1" applyAlignment="1">
      <alignment horizontal="center" vertical="center" wrapText="1"/>
    </xf>
    <xf numFmtId="0" fontId="38" fillId="0" borderId="0" xfId="0" applyFont="1" applyAlignment="1" applyProtection="1">
      <alignment horizontal="center" vertical="center" wrapText="1"/>
      <protection locked="0"/>
    </xf>
    <xf numFmtId="1" fontId="0" fillId="0" borderId="0" xfId="0" applyNumberFormat="1" applyAlignment="1">
      <alignment horizontal="center" vertical="center"/>
    </xf>
    <xf numFmtId="0" fontId="39" fillId="3" borderId="0" xfId="0" applyFont="1" applyFill="1" applyAlignment="1">
      <alignment horizontal="center" vertical="center" wrapText="1"/>
    </xf>
    <xf numFmtId="0" fontId="40" fillId="7" borderId="3" xfId="0" applyFont="1" applyFill="1" applyBorder="1" applyAlignment="1">
      <alignment horizontal="right" vertical="center"/>
    </xf>
    <xf numFmtId="0" fontId="6" fillId="14" borderId="8" xfId="0" applyFont="1" applyFill="1" applyBorder="1" applyAlignment="1">
      <alignment horizontal="center" vertical="center" wrapText="1"/>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centerContinuous"/>
    </xf>
    <xf numFmtId="0" fontId="8" fillId="15" borderId="0" xfId="0" applyFont="1" applyFill="1" applyAlignment="1" applyProtection="1">
      <alignment horizontal="center" vertical="center" wrapText="1"/>
      <protection locked="0"/>
    </xf>
    <xf numFmtId="0" fontId="17" fillId="8" borderId="4" xfId="0" applyFont="1" applyFill="1" applyBorder="1" applyAlignment="1">
      <alignment horizontal="left" vertical="center"/>
    </xf>
    <xf numFmtId="14" fontId="17" fillId="8" borderId="4" xfId="0" applyNumberFormat="1" applyFont="1" applyFill="1" applyBorder="1" applyAlignment="1">
      <alignment horizontal="center" vertical="center"/>
    </xf>
    <xf numFmtId="0" fontId="17" fillId="8" borderId="5" xfId="0" applyFont="1" applyFill="1" applyBorder="1" applyAlignment="1">
      <alignment horizontal="left" vertical="center"/>
    </xf>
    <xf numFmtId="0" fontId="17" fillId="8" borderId="5" xfId="0" applyFont="1" applyFill="1" applyBorder="1" applyAlignment="1">
      <alignment horizontal="center" vertical="center"/>
    </xf>
    <xf numFmtId="0" fontId="33" fillId="0" borderId="0" xfId="0" applyFont="1" applyAlignment="1">
      <alignment horizontal="left" vertical="center" wrapText="1"/>
    </xf>
    <xf numFmtId="0" fontId="33" fillId="9" borderId="0" xfId="0" applyFont="1" applyFill="1" applyAlignment="1">
      <alignment horizontal="left" vertical="center" wrapText="1"/>
    </xf>
    <xf numFmtId="0" fontId="30" fillId="9" borderId="0" xfId="0" applyFont="1" applyFill="1" applyAlignment="1">
      <alignment horizontal="left" vertical="top" wrapText="1"/>
    </xf>
    <xf numFmtId="0" fontId="33" fillId="9" borderId="0" xfId="0" applyFont="1" applyFill="1" applyAlignment="1">
      <alignment horizontal="left" wrapText="1"/>
    </xf>
    <xf numFmtId="0" fontId="21" fillId="10" borderId="6" xfId="0" applyFont="1" applyFill="1" applyBorder="1" applyAlignment="1">
      <alignment horizontal="left" vertical="center"/>
    </xf>
    <xf numFmtId="0" fontId="22" fillId="11" borderId="7" xfId="0" applyFont="1" applyFill="1" applyBorder="1" applyAlignment="1">
      <alignment horizontal="center" vertical="center"/>
    </xf>
    <xf numFmtId="0" fontId="21" fillId="10" borderId="6" xfId="0" applyFont="1" applyFill="1" applyBorder="1" applyAlignment="1" applyProtection="1">
      <alignment horizontal="left" vertical="center"/>
      <protection locked="0"/>
    </xf>
    <xf numFmtId="0" fontId="22" fillId="11" borderId="7" xfId="0" applyFont="1" applyFill="1" applyBorder="1" applyAlignment="1" applyProtection="1">
      <alignment horizontal="center" vertical="center"/>
      <protection locked="0"/>
    </xf>
    <xf numFmtId="0" fontId="7" fillId="0" borderId="0" xfId="0" applyFont="1" applyAlignment="1" applyProtection="1">
      <alignment horizontal="center" vertical="center" wrapText="1"/>
      <protection locked="0"/>
    </xf>
    <xf numFmtId="0" fontId="17" fillId="8" borderId="4" xfId="0" applyFont="1" applyFill="1" applyBorder="1" applyAlignment="1" applyProtection="1">
      <alignment horizontal="left" vertical="center"/>
      <protection locked="0"/>
    </xf>
    <xf numFmtId="14" fontId="17" fillId="8" borderId="4" xfId="0" applyNumberFormat="1" applyFont="1" applyFill="1" applyBorder="1" applyAlignment="1" applyProtection="1">
      <alignment horizontal="center" vertical="center"/>
      <protection locked="0"/>
    </xf>
    <xf numFmtId="0" fontId="17" fillId="8" borderId="5" xfId="0" applyFont="1" applyFill="1" applyBorder="1" applyAlignment="1" applyProtection="1">
      <alignment horizontal="left" vertical="center"/>
      <protection locked="0"/>
    </xf>
    <xf numFmtId="0" fontId="17" fillId="8" borderId="5" xfId="0" applyFont="1" applyFill="1" applyBorder="1" applyAlignment="1" applyProtection="1">
      <alignment horizontal="center" vertical="center"/>
      <protection locked="0"/>
    </xf>
  </cellXfs>
  <cellStyles count="2">
    <cellStyle name="Normal" xfId="0" builtinId="0"/>
    <cellStyle name="Normal 3" xfId="1" xr:uid="{ECD54D4C-2736-4ADD-B242-DA0FCFAD8837}"/>
  </cellStyles>
  <dxfs count="9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8"/>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8"/>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strike val="0"/>
        <outline val="0"/>
        <shadow val="0"/>
        <u val="none"/>
        <vertAlign val="baseline"/>
        <sz val="1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strike val="0"/>
        <outline val="0"/>
        <shadow val="0"/>
        <u val="none"/>
        <vertAlign val="baseline"/>
        <sz val="1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9"/>
        <color theme="0"/>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strike val="0"/>
        <outline val="0"/>
        <shadow val="0"/>
        <u val="none"/>
        <vertAlign val="baseline"/>
        <sz val="11"/>
        <color theme="1" tint="0.249977111117893"/>
        <name val="Calibri"/>
        <family val="2"/>
        <scheme val="minor"/>
      </font>
      <numFmt numFmtId="0" formatCode="General"/>
      <alignment vertical="center" textRotation="0" wrapText="1" indent="0" justifyLastLine="0" shrinkToFit="0" readingOrder="0"/>
      <protection locked="0" hidden="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11"/>
        <color rgb="FFC00000"/>
        <name val="Calibri"/>
        <family val="2"/>
        <scheme val="minor"/>
      </font>
      <fill>
        <patternFill patternType="solid">
          <fgColor indexed="64"/>
          <bgColor theme="5" tint="0.79998168889431442"/>
        </patternFill>
      </fill>
      <protection locked="1" hidden="0"/>
    </dxf>
    <dxf>
      <font>
        <b val="0"/>
        <strike val="0"/>
        <outline val="0"/>
        <shadow val="0"/>
        <u val="none"/>
        <vertAlign val="baseline"/>
        <sz val="11"/>
        <color theme="1" tint="0.249977111117893"/>
        <name val="Calibri"/>
        <family val="2"/>
        <scheme val="minor"/>
      </font>
      <alignment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i val="0"/>
        <color rgb="FFFF0000"/>
      </font>
      <fill>
        <patternFill patternType="solid">
          <fgColor indexed="64"/>
          <bgColor theme="5" tint="0.59999389629810485"/>
        </patternFill>
      </fill>
    </dxf>
    <dxf>
      <font>
        <b val="0"/>
        <i val="0"/>
        <color theme="5"/>
      </font>
      <fill>
        <patternFill patternType="solid">
          <fgColor indexed="64"/>
          <bgColor theme="5" tint="0.79998168889431442"/>
        </patternFill>
      </fill>
    </dxf>
    <dxf>
      <font>
        <b val="0"/>
        <i val="0"/>
        <color theme="5" tint="-0.249977111117893"/>
      </font>
      <fill>
        <patternFill patternType="solid">
          <fgColor indexed="64"/>
          <bgColor theme="7" tint="0.79998168889431442"/>
        </patternFill>
      </fill>
    </dxf>
    <dxf>
      <font>
        <b val="0"/>
        <i val="0"/>
        <color rgb="FF00B050"/>
      </font>
      <fill>
        <patternFill patternType="solid">
          <fgColor indexed="64"/>
          <bgColor theme="9" tint="0.79998168889431442"/>
        </patternFill>
      </fill>
    </dxf>
    <dxf>
      <font>
        <strike val="0"/>
        <outline val="0"/>
        <shadow val="0"/>
        <u val="none"/>
        <vertAlign val="baseline"/>
        <sz val="11"/>
        <color theme="1" tint="0.249977111117893"/>
        <name val="Calibri"/>
        <family val="2"/>
        <scheme val="minor"/>
      </font>
      <alignment horizontal="center" vertical="center" textRotation="0"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general" vertical="center" textRotation="0" wrapText="1" indent="0" justifyLastLine="0" shrinkToFit="0" readingOrder="0"/>
    </dxf>
    <dxf>
      <font>
        <b/>
        <strike val="0"/>
        <outline val="0"/>
        <shadow val="0"/>
        <u val="none"/>
        <vertAlign val="baseline"/>
        <sz val="11"/>
        <color theme="1" tint="0.249977111117893"/>
        <name val="Calibri"/>
        <family val="2"/>
        <scheme val="minor"/>
      </font>
      <alignment horizontal="center" vertical="center" textRotation="0" wrapText="0" indent="0" justifyLastLine="0" shrinkToFit="0" readingOrder="0"/>
    </dxf>
    <dxf>
      <font>
        <strike val="0"/>
        <outline val="0"/>
        <shadow val="0"/>
        <u val="none"/>
        <vertAlign val="baseline"/>
        <sz val="11"/>
        <color theme="1" tint="0.249977111117893"/>
        <name val="Calibri"/>
        <family val="2"/>
        <scheme val="minor"/>
      </font>
    </dxf>
    <dxf>
      <alignment horizontal="center" vertical="center" textRotation="0" indent="0" justifyLastLine="0" shrinkToFit="0" readingOrder="0"/>
    </dxf>
    <dxf>
      <border>
        <left style="thin">
          <color theme="9"/>
        </left>
      </border>
    </dxf>
    <dxf>
      <border>
        <left style="thin">
          <color theme="9"/>
        </left>
      </border>
    </dxf>
    <dxf>
      <border>
        <top style="thin">
          <color theme="9"/>
        </top>
      </border>
    </dxf>
    <dxf>
      <border>
        <top style="thin">
          <color theme="9"/>
        </top>
      </border>
    </dxf>
    <dxf>
      <font>
        <b/>
        <color theme="1"/>
      </font>
    </dxf>
    <dxf>
      <font>
        <b/>
        <color theme="1"/>
      </font>
    </dxf>
    <dxf>
      <font>
        <b/>
        <color theme="1"/>
      </font>
      <border>
        <top style="double">
          <color theme="9"/>
        </top>
      </border>
    </dxf>
    <dxf>
      <font>
        <b/>
        <color theme="0"/>
      </font>
      <fill>
        <patternFill patternType="solid">
          <fgColor rgb="FF439B6B"/>
          <bgColor rgb="FF439B6B"/>
        </patternFill>
      </fill>
    </dxf>
    <dxf>
      <font>
        <color theme="1"/>
      </font>
      <border>
        <left style="thin">
          <color theme="9"/>
        </left>
        <right style="thin">
          <color theme="9"/>
        </right>
        <top style="thin">
          <color theme="9"/>
        </top>
        <bottom style="thin">
          <color theme="9"/>
        </bottom>
      </border>
    </dxf>
  </dxfs>
  <tableStyles count="1" defaultTableStyle="TableStyleMedium2" defaultPivotStyle="PivotStyleLight16">
    <tableStyle name="BGDP" pivot="0" count="9" xr9:uid="{384537A5-8490-4931-BAE8-BB971B34ACCC}">
      <tableStyleElement type="wholeTable" dxfId="90"/>
      <tableStyleElement type="headerRow" dxfId="89"/>
      <tableStyleElement type="totalRow" dxfId="88"/>
      <tableStyleElement type="firstColumn" dxfId="87"/>
      <tableStyleElement type="lastColumn" dxfId="86"/>
      <tableStyleElement type="firstRowStripe" dxfId="85"/>
      <tableStyleElement type="secondRowStripe" dxfId="84"/>
      <tableStyleElement type="firstColumnStripe" dxfId="83"/>
      <tableStyleElement type="secondColumnStripe" dxfId="82"/>
    </tableStyle>
  </tableStyles>
  <colors>
    <mruColors>
      <color rgb="FF439B6B"/>
      <color rgb="FF98C6A3"/>
      <color rgb="FFFEFA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2" dropStyle="combo" dx="26" fmlaLink="$M$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3.png"/><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5" Type="http://schemas.openxmlformats.org/officeDocument/2006/relationships/image" Target="../media/image24.pn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hyperlink" Target="https://learn.microsoft.com/fr-fr/deployoffice/security/internet-macros-blocked" TargetMode="External"/><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s>
</file>

<file path=xl/drawings/_rels/drawing2.xml.rels><?xml version="1.0" encoding="UTF-8" standalone="yes"?>
<Relationships xmlns="http://schemas.openxmlformats.org/package/2006/relationships"><Relationship Id="rId1" Type="http://schemas.openxmlformats.org/officeDocument/2006/relationships/hyperlink" Target="https://blog-gestion-de-projet.com/docs/kit-management-projet/avant-projet/selection-des-projet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blog-gestion-de-projet.com/docs/kit-management-projet/avant-projet/selection-des-projets/"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svg"/><Relationship Id="rId1" Type="http://schemas.openxmlformats.org/officeDocument/2006/relationships/image" Target="../media/image26.png"/><Relationship Id="rId5" Type="http://schemas.openxmlformats.org/officeDocument/2006/relationships/hyperlink" Target="https://blog-gestion-de-projet.com/docs/kit-management-projet/avant-projet/selection-des-projets/" TargetMode="External"/><Relationship Id="rId4" Type="http://schemas.openxmlformats.org/officeDocument/2006/relationships/image" Target="../media/image29.svg"/></Relationships>
</file>

<file path=xl/drawings/drawing1.xml><?xml version="1.0" encoding="utf-8"?>
<xdr:wsDr xmlns:xdr="http://schemas.openxmlformats.org/drawingml/2006/spreadsheetDrawing" xmlns:a="http://schemas.openxmlformats.org/drawingml/2006/main">
  <xdr:twoCellAnchor editAs="oneCell">
    <xdr:from>
      <xdr:col>1</xdr:col>
      <xdr:colOff>137160</xdr:colOff>
      <xdr:row>0</xdr:row>
      <xdr:rowOff>76200</xdr:rowOff>
    </xdr:from>
    <xdr:to>
      <xdr:col>3</xdr:col>
      <xdr:colOff>2012491</xdr:colOff>
      <xdr:row>4</xdr:row>
      <xdr:rowOff>118165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9560" y="76200"/>
          <a:ext cx="2721151" cy="5448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2651760</xdr:colOff>
      <xdr:row>5</xdr:row>
      <xdr:rowOff>60960</xdr:rowOff>
    </xdr:from>
    <xdr:to>
      <xdr:col>4</xdr:col>
      <xdr:colOff>352151</xdr:colOff>
      <xdr:row>5</xdr:row>
      <xdr:rowOff>309117</xdr:rowOff>
    </xdr:to>
    <xdr:sp macro="[0]!NavBar" textlink="">
      <xdr:nvSpPr>
        <xdr:cNvPr id="7" name="BtnGuide">
          <a:extLst>
            <a:ext uri="{FF2B5EF4-FFF2-40B4-BE49-F238E27FC236}">
              <a16:creationId xmlns:a16="http://schemas.microsoft.com/office/drawing/2014/main" id="{00000000-0008-0000-0000-000007000000}"/>
            </a:ext>
          </a:extLst>
        </xdr:cNvPr>
        <xdr:cNvSpPr/>
      </xdr:nvSpPr>
      <xdr:spPr>
        <a:xfrm>
          <a:off x="3657600" y="815340"/>
          <a:ext cx="1220831" cy="248157"/>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388513</xdr:colOff>
      <xdr:row>5</xdr:row>
      <xdr:rowOff>64088</xdr:rowOff>
    </xdr:from>
    <xdr:to>
      <xdr:col>5</xdr:col>
      <xdr:colOff>517610</xdr:colOff>
      <xdr:row>5</xdr:row>
      <xdr:rowOff>312245</xdr:rowOff>
    </xdr:to>
    <xdr:sp macro="[0]!NavBar" textlink="">
      <xdr:nvSpPr>
        <xdr:cNvPr id="8" name="BtnCriteresSelection">
          <a:extLst>
            <a:ext uri="{FF2B5EF4-FFF2-40B4-BE49-F238E27FC236}">
              <a16:creationId xmlns:a16="http://schemas.microsoft.com/office/drawing/2014/main" id="{00000000-0008-0000-0000-000008000000}"/>
            </a:ext>
          </a:extLst>
        </xdr:cNvPr>
        <xdr:cNvSpPr/>
      </xdr:nvSpPr>
      <xdr:spPr>
        <a:xfrm>
          <a:off x="4914793" y="818468"/>
          <a:ext cx="1401637" cy="248157"/>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5</xdr:col>
      <xdr:colOff>573939</xdr:colOff>
      <xdr:row>5</xdr:row>
      <xdr:rowOff>61229</xdr:rowOff>
    </xdr:from>
    <xdr:to>
      <xdr:col>6</xdr:col>
      <xdr:colOff>881298</xdr:colOff>
      <xdr:row>5</xdr:row>
      <xdr:rowOff>309386</xdr:rowOff>
    </xdr:to>
    <xdr:sp macro="[0]!NavBar" textlink="">
      <xdr:nvSpPr>
        <xdr:cNvPr id="9" name="BtnEvaluation">
          <a:extLst>
            <a:ext uri="{FF2B5EF4-FFF2-40B4-BE49-F238E27FC236}">
              <a16:creationId xmlns:a16="http://schemas.microsoft.com/office/drawing/2014/main" id="{00000000-0008-0000-0000-000009000000}"/>
            </a:ext>
          </a:extLst>
        </xdr:cNvPr>
        <xdr:cNvSpPr/>
      </xdr:nvSpPr>
      <xdr:spPr>
        <a:xfrm>
          <a:off x="63727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6</xdr:col>
      <xdr:colOff>937767</xdr:colOff>
      <xdr:row>5</xdr:row>
      <xdr:rowOff>62332</xdr:rowOff>
    </xdr:from>
    <xdr:to>
      <xdr:col>7</xdr:col>
      <xdr:colOff>940620</xdr:colOff>
      <xdr:row>5</xdr:row>
      <xdr:rowOff>310489</xdr:rowOff>
    </xdr:to>
    <xdr:sp macro="[0]!NavBar" textlink="">
      <xdr:nvSpPr>
        <xdr:cNvPr id="10" name="BtnSettings">
          <a:extLst>
            <a:ext uri="{FF2B5EF4-FFF2-40B4-BE49-F238E27FC236}">
              <a16:creationId xmlns:a16="http://schemas.microsoft.com/office/drawing/2014/main" id="{00000000-0008-0000-0000-00000A000000}"/>
            </a:ext>
          </a:extLst>
        </xdr:cNvPr>
        <xdr:cNvSpPr/>
      </xdr:nvSpPr>
      <xdr:spPr>
        <a:xfrm>
          <a:off x="800912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oneCell">
    <xdr:from>
      <xdr:col>2</xdr:col>
      <xdr:colOff>45720</xdr:colOff>
      <xdr:row>26</xdr:row>
      <xdr:rowOff>45720</xdr:rowOff>
    </xdr:from>
    <xdr:to>
      <xdr:col>6</xdr:col>
      <xdr:colOff>852</xdr:colOff>
      <xdr:row>29</xdr:row>
      <xdr:rowOff>99060</xdr:rowOff>
    </xdr:to>
    <xdr:pic>
      <xdr:nvPicPr>
        <xdr:cNvPr id="2" name="Image 55">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2"/>
        <a:srcRect b="12132"/>
        <a:stretch/>
      </xdr:blipFill>
      <xdr:spPr>
        <a:xfrm>
          <a:off x="335280" y="5052060"/>
          <a:ext cx="6695022" cy="601980"/>
        </a:xfrm>
        <a:prstGeom prst="rect">
          <a:avLst/>
        </a:prstGeom>
      </xdr:spPr>
    </xdr:pic>
    <xdr:clientData/>
  </xdr:twoCellAnchor>
  <xdr:twoCellAnchor>
    <xdr:from>
      <xdr:col>0</xdr:col>
      <xdr:colOff>281940</xdr:colOff>
      <xdr:row>14</xdr:row>
      <xdr:rowOff>61582</xdr:rowOff>
    </xdr:from>
    <xdr:to>
      <xdr:col>6</xdr:col>
      <xdr:colOff>434191</xdr:colOff>
      <xdr:row>22</xdr:row>
      <xdr:rowOff>106680</xdr:rowOff>
    </xdr:to>
    <xdr:grpSp>
      <xdr:nvGrpSpPr>
        <xdr:cNvPr id="3" name="Groupe 2">
          <a:extLst>
            <a:ext uri="{FF2B5EF4-FFF2-40B4-BE49-F238E27FC236}">
              <a16:creationId xmlns:a16="http://schemas.microsoft.com/office/drawing/2014/main" id="{00000000-0008-0000-0000-000003000000}"/>
            </a:ext>
          </a:extLst>
        </xdr:cNvPr>
        <xdr:cNvGrpSpPr/>
      </xdr:nvGrpSpPr>
      <xdr:grpSpPr>
        <a:xfrm>
          <a:off x="281940" y="2157082"/>
          <a:ext cx="7223611" cy="1508138"/>
          <a:chOff x="297180" y="2934322"/>
          <a:chExt cx="7215991" cy="1355351"/>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97180" y="2934322"/>
            <a:ext cx="7215991" cy="1355351"/>
          </a:xfrm>
          <a:prstGeom prst="rect">
            <a:avLst/>
          </a:prstGeom>
        </xdr:spPr>
      </xdr:pic>
      <xdr:sp macro="" textlink="">
        <xdr:nvSpPr>
          <xdr:cNvPr id="11" name="Rectangle 10">
            <a:extLst>
              <a:ext uri="{FF2B5EF4-FFF2-40B4-BE49-F238E27FC236}">
                <a16:creationId xmlns:a16="http://schemas.microsoft.com/office/drawing/2014/main" id="{00000000-0008-0000-0000-00000B000000}"/>
              </a:ext>
            </a:extLst>
          </xdr:cNvPr>
          <xdr:cNvSpPr/>
        </xdr:nvSpPr>
        <xdr:spPr>
          <a:xfrm>
            <a:off x="6233160" y="3086100"/>
            <a:ext cx="822960" cy="1295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8</xdr:col>
      <xdr:colOff>411480</xdr:colOff>
      <xdr:row>24</xdr:row>
      <xdr:rowOff>160020</xdr:rowOff>
    </xdr:from>
    <xdr:to>
      <xdr:col>9</xdr:col>
      <xdr:colOff>229139</xdr:colOff>
      <xdr:row>25</xdr:row>
      <xdr:rowOff>57150</xdr:rowOff>
    </xdr:to>
    <xdr:sp macro="" textlink="">
      <xdr:nvSpPr>
        <xdr:cNvPr id="12" name="TextBox 5">
          <a:hlinkClick xmlns:r="http://schemas.openxmlformats.org/officeDocument/2006/relationships" r:id="rId4"/>
          <a:extLst>
            <a:ext uri="{FF2B5EF4-FFF2-40B4-BE49-F238E27FC236}">
              <a16:creationId xmlns:a16="http://schemas.microsoft.com/office/drawing/2014/main" id="{00000000-0008-0000-0000-00000C000000}"/>
            </a:ext>
          </a:extLst>
        </xdr:cNvPr>
        <xdr:cNvSpPr txBox="1"/>
      </xdr:nvSpPr>
      <xdr:spPr>
        <a:xfrm>
          <a:off x="10029825" y="4800600"/>
          <a:ext cx="1095914" cy="310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0</xdr:col>
      <xdr:colOff>251460</xdr:colOff>
      <xdr:row>35</xdr:row>
      <xdr:rowOff>36078</xdr:rowOff>
    </xdr:from>
    <xdr:to>
      <xdr:col>8</xdr:col>
      <xdr:colOff>1072892</xdr:colOff>
      <xdr:row>46</xdr:row>
      <xdr:rowOff>7620</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5"/>
        <a:stretch>
          <a:fillRect/>
        </a:stretch>
      </xdr:blipFill>
      <xdr:spPr>
        <a:xfrm>
          <a:off x="251460" y="6848358"/>
          <a:ext cx="10430252" cy="2150862"/>
        </a:xfrm>
        <a:prstGeom prst="rect">
          <a:avLst/>
        </a:prstGeom>
      </xdr:spPr>
    </xdr:pic>
    <xdr:clientData/>
  </xdr:twoCellAnchor>
  <xdr:twoCellAnchor>
    <xdr:from>
      <xdr:col>1</xdr:col>
      <xdr:colOff>0</xdr:colOff>
      <xdr:row>49</xdr:row>
      <xdr:rowOff>155998</xdr:rowOff>
    </xdr:from>
    <xdr:to>
      <xdr:col>8</xdr:col>
      <xdr:colOff>962094</xdr:colOff>
      <xdr:row>58</xdr:row>
      <xdr:rowOff>106469</xdr:rowOff>
    </xdr:to>
    <xdr:grpSp>
      <xdr:nvGrpSpPr>
        <xdr:cNvPr id="14" name="Groupe 13">
          <a:extLst>
            <a:ext uri="{FF2B5EF4-FFF2-40B4-BE49-F238E27FC236}">
              <a16:creationId xmlns:a16="http://schemas.microsoft.com/office/drawing/2014/main" id="{00000000-0008-0000-0000-00000E000000}"/>
            </a:ext>
          </a:extLst>
        </xdr:cNvPr>
        <xdr:cNvGrpSpPr/>
      </xdr:nvGrpSpPr>
      <xdr:grpSpPr>
        <a:xfrm>
          <a:off x="297180" y="9307618"/>
          <a:ext cx="10281354" cy="1733551"/>
          <a:chOff x="266700" y="9551458"/>
          <a:chExt cx="10281354" cy="1733551"/>
        </a:xfrm>
      </xdr:grpSpPr>
      <xdr:grpSp>
        <xdr:nvGrpSpPr>
          <xdr:cNvPr id="15" name="Groupe 14">
            <a:extLst>
              <a:ext uri="{FF2B5EF4-FFF2-40B4-BE49-F238E27FC236}">
                <a16:creationId xmlns:a16="http://schemas.microsoft.com/office/drawing/2014/main" id="{00000000-0008-0000-0000-00000F000000}"/>
              </a:ext>
            </a:extLst>
          </xdr:cNvPr>
          <xdr:cNvGrpSpPr/>
        </xdr:nvGrpSpPr>
        <xdr:grpSpPr>
          <a:xfrm>
            <a:off x="266700" y="9551458"/>
            <a:ext cx="10098474" cy="360192"/>
            <a:chOff x="266700" y="9551458"/>
            <a:chExt cx="10098474" cy="360192"/>
          </a:xfrm>
        </xdr:grpSpPr>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6"/>
            <a:stretch>
              <a:fillRect/>
            </a:stretch>
          </xdr:blipFill>
          <xdr:spPr>
            <a:xfrm>
              <a:off x="266700" y="9551458"/>
              <a:ext cx="10098474" cy="360192"/>
            </a:xfrm>
            <a:prstGeom prst="rect">
              <a:avLst/>
            </a:prstGeom>
          </xdr:spPr>
        </xdr:pic>
        <xdr:sp macro="" textlink="">
          <xdr:nvSpPr>
            <xdr:cNvPr id="18" name="Rectangle 17">
              <a:extLst>
                <a:ext uri="{FF2B5EF4-FFF2-40B4-BE49-F238E27FC236}">
                  <a16:creationId xmlns:a16="http://schemas.microsoft.com/office/drawing/2014/main" id="{00000000-0008-0000-0000-000012000000}"/>
                </a:ext>
              </a:extLst>
            </xdr:cNvPr>
            <xdr:cNvSpPr/>
          </xdr:nvSpPr>
          <xdr:spPr>
            <a:xfrm>
              <a:off x="312420" y="9601200"/>
              <a:ext cx="1226820" cy="2971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358140" y="10121958"/>
            <a:ext cx="10189914" cy="1163051"/>
          </a:xfrm>
          <a:prstGeom prst="rect">
            <a:avLst/>
          </a:prstGeom>
        </xdr:spPr>
      </xdr:pic>
    </xdr:grpSp>
    <xdr:clientData/>
  </xdr:twoCellAnchor>
  <xdr:twoCellAnchor>
    <xdr:from>
      <xdr:col>2</xdr:col>
      <xdr:colOff>45720</xdr:colOff>
      <xdr:row>61</xdr:row>
      <xdr:rowOff>137160</xdr:rowOff>
    </xdr:from>
    <xdr:to>
      <xdr:col>8</xdr:col>
      <xdr:colOff>982980</xdr:colOff>
      <xdr:row>83</xdr:row>
      <xdr:rowOff>42591</xdr:rowOff>
    </xdr:to>
    <xdr:grpSp>
      <xdr:nvGrpSpPr>
        <xdr:cNvPr id="19" name="Groupe 18">
          <a:extLst>
            <a:ext uri="{FF2B5EF4-FFF2-40B4-BE49-F238E27FC236}">
              <a16:creationId xmlns:a16="http://schemas.microsoft.com/office/drawing/2014/main" id="{00000000-0008-0000-0000-000013000000}"/>
            </a:ext>
          </a:extLst>
        </xdr:cNvPr>
        <xdr:cNvGrpSpPr/>
      </xdr:nvGrpSpPr>
      <xdr:grpSpPr>
        <a:xfrm>
          <a:off x="342900" y="11666220"/>
          <a:ext cx="10256520" cy="4264071"/>
          <a:chOff x="335280" y="12029432"/>
          <a:chExt cx="10111740" cy="4205659"/>
        </a:xfrm>
      </xdr:grpSpPr>
      <xdr:grpSp>
        <xdr:nvGrpSpPr>
          <xdr:cNvPr id="20" name="Groupe 19">
            <a:extLst>
              <a:ext uri="{FF2B5EF4-FFF2-40B4-BE49-F238E27FC236}">
                <a16:creationId xmlns:a16="http://schemas.microsoft.com/office/drawing/2014/main" id="{00000000-0008-0000-0000-000014000000}"/>
              </a:ext>
            </a:extLst>
          </xdr:cNvPr>
          <xdr:cNvGrpSpPr/>
        </xdr:nvGrpSpPr>
        <xdr:grpSpPr>
          <a:xfrm>
            <a:off x="342900" y="12029432"/>
            <a:ext cx="10104120" cy="1718508"/>
            <a:chOff x="342900" y="12029432"/>
            <a:chExt cx="10104120" cy="1718508"/>
          </a:xfrm>
        </xdr:grpSpPr>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8"/>
            <a:stretch>
              <a:fillRect/>
            </a:stretch>
          </xdr:blipFill>
          <xdr:spPr>
            <a:xfrm>
              <a:off x="358140" y="12029432"/>
              <a:ext cx="10088880" cy="1718508"/>
            </a:xfrm>
            <a:prstGeom prst="rect">
              <a:avLst/>
            </a:prstGeom>
          </xdr:spPr>
        </xdr:pic>
        <xdr:sp macro="" textlink="">
          <xdr:nvSpPr>
            <xdr:cNvPr id="24" name="Rectangle 23">
              <a:extLst>
                <a:ext uri="{FF2B5EF4-FFF2-40B4-BE49-F238E27FC236}">
                  <a16:creationId xmlns:a16="http://schemas.microsoft.com/office/drawing/2014/main" id="{00000000-0008-0000-0000-000018000000}"/>
                </a:ext>
              </a:extLst>
            </xdr:cNvPr>
            <xdr:cNvSpPr/>
          </xdr:nvSpPr>
          <xdr:spPr>
            <a:xfrm>
              <a:off x="342900" y="12054840"/>
              <a:ext cx="1249680" cy="2514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1" name="Imag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9"/>
          <a:stretch>
            <a:fillRect/>
          </a:stretch>
        </xdr:blipFill>
        <xdr:spPr>
          <a:xfrm>
            <a:off x="335280" y="14134241"/>
            <a:ext cx="10073640" cy="2100850"/>
          </a:xfrm>
          <a:prstGeom prst="rect">
            <a:avLst/>
          </a:prstGeom>
        </xdr:spPr>
      </xdr:pic>
      <xdr:sp macro="" textlink="">
        <xdr:nvSpPr>
          <xdr:cNvPr id="22" name="Flèche : bas 21">
            <a:extLst>
              <a:ext uri="{FF2B5EF4-FFF2-40B4-BE49-F238E27FC236}">
                <a16:creationId xmlns:a16="http://schemas.microsoft.com/office/drawing/2014/main" id="{00000000-0008-0000-0000-000016000000}"/>
              </a:ext>
            </a:extLst>
          </xdr:cNvPr>
          <xdr:cNvSpPr/>
        </xdr:nvSpPr>
        <xdr:spPr>
          <a:xfrm>
            <a:off x="632460" y="13822680"/>
            <a:ext cx="167640" cy="2133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38100</xdr:colOff>
      <xdr:row>105</xdr:row>
      <xdr:rowOff>149956</xdr:rowOff>
    </xdr:from>
    <xdr:to>
      <xdr:col>5</xdr:col>
      <xdr:colOff>1210399</xdr:colOff>
      <xdr:row>124</xdr:row>
      <xdr:rowOff>119659</xdr:rowOff>
    </xdr:to>
    <xdr:grpSp>
      <xdr:nvGrpSpPr>
        <xdr:cNvPr id="25" name="Groupe 24">
          <a:extLst>
            <a:ext uri="{FF2B5EF4-FFF2-40B4-BE49-F238E27FC236}">
              <a16:creationId xmlns:a16="http://schemas.microsoft.com/office/drawing/2014/main" id="{00000000-0008-0000-0000-000019000000}"/>
            </a:ext>
          </a:extLst>
        </xdr:cNvPr>
        <xdr:cNvGrpSpPr/>
      </xdr:nvGrpSpPr>
      <xdr:grpSpPr>
        <a:xfrm>
          <a:off x="335280" y="20640136"/>
          <a:ext cx="6673939" cy="3733983"/>
          <a:chOff x="259080" y="17386396"/>
          <a:chExt cx="6673939" cy="3733983"/>
        </a:xfrm>
      </xdr:grpSpPr>
      <xdr:pic>
        <xdr:nvPicPr>
          <xdr:cNvPr id="26" name="Imag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0"/>
          <a:stretch>
            <a:fillRect/>
          </a:stretch>
        </xdr:blipFill>
        <xdr:spPr>
          <a:xfrm>
            <a:off x="259080" y="19531891"/>
            <a:ext cx="6659880" cy="1588488"/>
          </a:xfrm>
          <a:prstGeom prst="rect">
            <a:avLst/>
          </a:prstGeom>
        </xdr:spPr>
      </xdr:pic>
      <xdr:grpSp>
        <xdr:nvGrpSpPr>
          <xdr:cNvPr id="27" name="Groupe 26">
            <a:extLst>
              <a:ext uri="{FF2B5EF4-FFF2-40B4-BE49-F238E27FC236}">
                <a16:creationId xmlns:a16="http://schemas.microsoft.com/office/drawing/2014/main" id="{00000000-0008-0000-0000-00001B000000}"/>
              </a:ext>
            </a:extLst>
          </xdr:cNvPr>
          <xdr:cNvGrpSpPr/>
        </xdr:nvGrpSpPr>
        <xdr:grpSpPr>
          <a:xfrm>
            <a:off x="335280" y="17386396"/>
            <a:ext cx="6597739" cy="1829011"/>
            <a:chOff x="335280" y="17386396"/>
            <a:chExt cx="6597739" cy="1829011"/>
          </a:xfrm>
        </xdr:grpSpPr>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1"/>
            <a:stretch>
              <a:fillRect/>
            </a:stretch>
          </xdr:blipFill>
          <xdr:spPr>
            <a:xfrm>
              <a:off x="335280" y="17386396"/>
              <a:ext cx="6597739" cy="1829011"/>
            </a:xfrm>
            <a:prstGeom prst="rect">
              <a:avLst/>
            </a:prstGeom>
          </xdr:spPr>
        </xdr:pic>
        <xdr:sp macro="" textlink="">
          <xdr:nvSpPr>
            <xdr:cNvPr id="30" name="Rectangle 29">
              <a:extLst>
                <a:ext uri="{FF2B5EF4-FFF2-40B4-BE49-F238E27FC236}">
                  <a16:creationId xmlns:a16="http://schemas.microsoft.com/office/drawing/2014/main" id="{00000000-0008-0000-0000-00001E000000}"/>
                </a:ext>
              </a:extLst>
            </xdr:cNvPr>
            <xdr:cNvSpPr/>
          </xdr:nvSpPr>
          <xdr:spPr>
            <a:xfrm>
              <a:off x="541020" y="17510760"/>
              <a:ext cx="754380" cy="2514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8" name="Flèche : bas 27">
            <a:extLst>
              <a:ext uri="{FF2B5EF4-FFF2-40B4-BE49-F238E27FC236}">
                <a16:creationId xmlns:a16="http://schemas.microsoft.com/office/drawing/2014/main" id="{00000000-0008-0000-0000-00001C000000}"/>
              </a:ext>
            </a:extLst>
          </xdr:cNvPr>
          <xdr:cNvSpPr/>
        </xdr:nvSpPr>
        <xdr:spPr>
          <a:xfrm>
            <a:off x="868680" y="19240500"/>
            <a:ext cx="236220" cy="23622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281939</xdr:colOff>
      <xdr:row>88</xdr:row>
      <xdr:rowOff>48816</xdr:rowOff>
    </xdr:from>
    <xdr:to>
      <xdr:col>8</xdr:col>
      <xdr:colOff>902970</xdr:colOff>
      <xdr:row>99</xdr:row>
      <xdr:rowOff>60960</xdr:rowOff>
    </xdr:to>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2"/>
        <a:stretch>
          <a:fillRect/>
        </a:stretch>
      </xdr:blipFill>
      <xdr:spPr>
        <a:xfrm>
          <a:off x="281939" y="17361456"/>
          <a:ext cx="10229851" cy="2191464"/>
        </a:xfrm>
        <a:prstGeom prst="rect">
          <a:avLst/>
        </a:prstGeom>
      </xdr:spPr>
    </xdr:pic>
    <xdr:clientData/>
  </xdr:twoCellAnchor>
  <xdr:twoCellAnchor editAs="oneCell">
    <xdr:from>
      <xdr:col>0</xdr:col>
      <xdr:colOff>281941</xdr:colOff>
      <xdr:row>129</xdr:row>
      <xdr:rowOff>79732</xdr:rowOff>
    </xdr:from>
    <xdr:to>
      <xdr:col>6</xdr:col>
      <xdr:colOff>19051</xdr:colOff>
      <xdr:row>139</xdr:row>
      <xdr:rowOff>30164</xdr:rowOff>
    </xdr:to>
    <xdr:pic>
      <xdr:nvPicPr>
        <xdr:cNvPr id="32" name="Imag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3"/>
        <a:stretch>
          <a:fillRect/>
        </a:stretch>
      </xdr:blipFill>
      <xdr:spPr>
        <a:xfrm>
          <a:off x="285751" y="26159182"/>
          <a:ext cx="6800850" cy="1779232"/>
        </a:xfrm>
        <a:prstGeom prst="rect">
          <a:avLst/>
        </a:prstGeom>
      </xdr:spPr>
    </xdr:pic>
    <xdr:clientData/>
  </xdr:twoCellAnchor>
  <xdr:twoCellAnchor editAs="oneCell">
    <xdr:from>
      <xdr:col>1</xdr:col>
      <xdr:colOff>1</xdr:colOff>
      <xdr:row>140</xdr:row>
      <xdr:rowOff>23144</xdr:rowOff>
    </xdr:from>
    <xdr:to>
      <xdr:col>3</xdr:col>
      <xdr:colOff>967741</xdr:colOff>
      <xdr:row>146</xdr:row>
      <xdr:rowOff>182656</xdr:rowOff>
    </xdr:to>
    <xdr:pic>
      <xdr:nvPicPr>
        <xdr:cNvPr id="33" name="Imag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4"/>
        <a:stretch>
          <a:fillRect/>
        </a:stretch>
      </xdr:blipFill>
      <xdr:spPr>
        <a:xfrm>
          <a:off x="285750" y="28299059"/>
          <a:ext cx="1676401" cy="1256792"/>
        </a:xfrm>
        <a:prstGeom prst="rect">
          <a:avLst/>
        </a:prstGeom>
      </xdr:spPr>
    </xdr:pic>
    <xdr:clientData/>
  </xdr:twoCellAnchor>
  <xdr:twoCellAnchor>
    <xdr:from>
      <xdr:col>0</xdr:col>
      <xdr:colOff>220980</xdr:colOff>
      <xdr:row>152</xdr:row>
      <xdr:rowOff>128651</xdr:rowOff>
    </xdr:from>
    <xdr:to>
      <xdr:col>9</xdr:col>
      <xdr:colOff>499016</xdr:colOff>
      <xdr:row>162</xdr:row>
      <xdr:rowOff>81569</xdr:rowOff>
    </xdr:to>
    <xdr:grpSp>
      <xdr:nvGrpSpPr>
        <xdr:cNvPr id="34" name="Groupe 33">
          <a:extLst>
            <a:ext uri="{FF2B5EF4-FFF2-40B4-BE49-F238E27FC236}">
              <a16:creationId xmlns:a16="http://schemas.microsoft.com/office/drawing/2014/main" id="{00000000-0008-0000-0000-000022000000}"/>
            </a:ext>
          </a:extLst>
        </xdr:cNvPr>
        <xdr:cNvGrpSpPr/>
      </xdr:nvGrpSpPr>
      <xdr:grpSpPr>
        <a:xfrm>
          <a:off x="220980" y="29960951"/>
          <a:ext cx="11167016" cy="1934118"/>
          <a:chOff x="220980" y="30661991"/>
          <a:chExt cx="11159396" cy="1934118"/>
        </a:xfrm>
      </xdr:grpSpPr>
      <xdr:pic>
        <xdr:nvPicPr>
          <xdr:cNvPr id="35" name="Imag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5"/>
          <a:stretch>
            <a:fillRect/>
          </a:stretch>
        </xdr:blipFill>
        <xdr:spPr>
          <a:xfrm>
            <a:off x="220980" y="30661991"/>
            <a:ext cx="11159396" cy="1934118"/>
          </a:xfrm>
          <a:prstGeom prst="rect">
            <a:avLst/>
          </a:prstGeom>
        </xdr:spPr>
      </xdr:pic>
      <xdr:sp macro="" textlink="">
        <xdr:nvSpPr>
          <xdr:cNvPr id="36" name="Rectangle 35">
            <a:extLst>
              <a:ext uri="{FF2B5EF4-FFF2-40B4-BE49-F238E27FC236}">
                <a16:creationId xmlns:a16="http://schemas.microsoft.com/office/drawing/2014/main" id="{00000000-0008-0000-0000-000024000000}"/>
              </a:ext>
            </a:extLst>
          </xdr:cNvPr>
          <xdr:cNvSpPr/>
        </xdr:nvSpPr>
        <xdr:spPr>
          <a:xfrm>
            <a:off x="4213860" y="31036260"/>
            <a:ext cx="7109460" cy="4267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0</xdr:colOff>
      <xdr:row>191</xdr:row>
      <xdr:rowOff>98834</xdr:rowOff>
    </xdr:from>
    <xdr:to>
      <xdr:col>9</xdr:col>
      <xdr:colOff>474127</xdr:colOff>
      <xdr:row>202</xdr:row>
      <xdr:rowOff>1905</xdr:rowOff>
    </xdr:to>
    <xdr:pic>
      <xdr:nvPicPr>
        <xdr:cNvPr id="37" name="Imag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6"/>
        <a:stretch>
          <a:fillRect/>
        </a:stretch>
      </xdr:blipFill>
      <xdr:spPr>
        <a:xfrm>
          <a:off x="285750" y="34004024"/>
          <a:ext cx="11065927" cy="1914751"/>
        </a:xfrm>
        <a:prstGeom prst="rect">
          <a:avLst/>
        </a:prstGeom>
      </xdr:spPr>
    </xdr:pic>
    <xdr:clientData/>
  </xdr:twoCellAnchor>
  <xdr:twoCellAnchor editAs="oneCell">
    <xdr:from>
      <xdr:col>2</xdr:col>
      <xdr:colOff>30480</xdr:colOff>
      <xdr:row>205</xdr:row>
      <xdr:rowOff>106716</xdr:rowOff>
    </xdr:from>
    <xdr:to>
      <xdr:col>9</xdr:col>
      <xdr:colOff>544830</xdr:colOff>
      <xdr:row>211</xdr:row>
      <xdr:rowOff>114885</xdr:rowOff>
    </xdr:to>
    <xdr:pic>
      <xdr:nvPicPr>
        <xdr:cNvPr id="38" name="Imag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7"/>
        <a:stretch>
          <a:fillRect/>
        </a:stretch>
      </xdr:blipFill>
      <xdr:spPr>
        <a:xfrm>
          <a:off x="314325" y="36585561"/>
          <a:ext cx="11106150" cy="1105449"/>
        </a:xfrm>
        <a:prstGeom prst="rect">
          <a:avLst/>
        </a:prstGeom>
      </xdr:spPr>
    </xdr:pic>
    <xdr:clientData/>
  </xdr:twoCellAnchor>
  <xdr:twoCellAnchor>
    <xdr:from>
      <xdr:col>2</xdr:col>
      <xdr:colOff>7621</xdr:colOff>
      <xdr:row>225</xdr:row>
      <xdr:rowOff>99060</xdr:rowOff>
    </xdr:from>
    <xdr:to>
      <xdr:col>3</xdr:col>
      <xdr:colOff>2286001</xdr:colOff>
      <xdr:row>233</xdr:row>
      <xdr:rowOff>3542</xdr:rowOff>
    </xdr:to>
    <xdr:grpSp>
      <xdr:nvGrpSpPr>
        <xdr:cNvPr id="39" name="Groupe 38">
          <a:extLst>
            <a:ext uri="{FF2B5EF4-FFF2-40B4-BE49-F238E27FC236}">
              <a16:creationId xmlns:a16="http://schemas.microsoft.com/office/drawing/2014/main" id="{00000000-0008-0000-0000-000027000000}"/>
            </a:ext>
          </a:extLst>
        </xdr:cNvPr>
        <xdr:cNvGrpSpPr/>
      </xdr:nvGrpSpPr>
      <xdr:grpSpPr>
        <a:xfrm>
          <a:off x="304801" y="44211240"/>
          <a:ext cx="2987040" cy="1489442"/>
          <a:chOff x="312421" y="39387780"/>
          <a:chExt cx="2987040" cy="1481822"/>
        </a:xfrm>
      </xdr:grpSpPr>
      <xdr:pic>
        <xdr:nvPicPr>
          <xdr:cNvPr id="40" name="Imag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8"/>
          <a:stretch>
            <a:fillRect/>
          </a:stretch>
        </xdr:blipFill>
        <xdr:spPr>
          <a:xfrm>
            <a:off x="312421" y="39387780"/>
            <a:ext cx="2987040" cy="1481822"/>
          </a:xfrm>
          <a:prstGeom prst="rect">
            <a:avLst/>
          </a:prstGeom>
        </xdr:spPr>
      </xdr:pic>
      <xdr:sp macro="" textlink="">
        <xdr:nvSpPr>
          <xdr:cNvPr id="41" name="Rectangle 40">
            <a:extLst>
              <a:ext uri="{FF2B5EF4-FFF2-40B4-BE49-F238E27FC236}">
                <a16:creationId xmlns:a16="http://schemas.microsoft.com/office/drawing/2014/main" id="{00000000-0008-0000-0000-000029000000}"/>
              </a:ext>
            </a:extLst>
          </xdr:cNvPr>
          <xdr:cNvSpPr/>
        </xdr:nvSpPr>
        <xdr:spPr>
          <a:xfrm>
            <a:off x="1333500" y="40341294"/>
            <a:ext cx="762000" cy="1981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2</xdr:col>
      <xdr:colOff>99060</xdr:colOff>
      <xdr:row>234</xdr:row>
      <xdr:rowOff>96533</xdr:rowOff>
    </xdr:from>
    <xdr:to>
      <xdr:col>3</xdr:col>
      <xdr:colOff>2257425</xdr:colOff>
      <xdr:row>242</xdr:row>
      <xdr:rowOff>16935</xdr:rowOff>
    </xdr:to>
    <xdr:pic>
      <xdr:nvPicPr>
        <xdr:cNvPr id="42" name="Imag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9"/>
        <a:stretch>
          <a:fillRect/>
        </a:stretch>
      </xdr:blipFill>
      <xdr:spPr>
        <a:xfrm>
          <a:off x="381000" y="42374198"/>
          <a:ext cx="2867025" cy="1383442"/>
        </a:xfrm>
        <a:prstGeom prst="rect">
          <a:avLst/>
        </a:prstGeom>
      </xdr:spPr>
    </xdr:pic>
    <xdr:clientData/>
  </xdr:twoCellAnchor>
  <xdr:twoCellAnchor>
    <xdr:from>
      <xdr:col>2</xdr:col>
      <xdr:colOff>45720</xdr:colOff>
      <xdr:row>243</xdr:row>
      <xdr:rowOff>121920</xdr:rowOff>
    </xdr:from>
    <xdr:to>
      <xdr:col>3</xdr:col>
      <xdr:colOff>2246293</xdr:colOff>
      <xdr:row>250</xdr:row>
      <xdr:rowOff>157902</xdr:rowOff>
    </xdr:to>
    <xdr:grpSp>
      <xdr:nvGrpSpPr>
        <xdr:cNvPr id="43" name="Groupe 42">
          <a:extLst>
            <a:ext uri="{FF2B5EF4-FFF2-40B4-BE49-F238E27FC236}">
              <a16:creationId xmlns:a16="http://schemas.microsoft.com/office/drawing/2014/main" id="{00000000-0008-0000-0000-00002B000000}"/>
            </a:ext>
          </a:extLst>
        </xdr:cNvPr>
        <xdr:cNvGrpSpPr/>
      </xdr:nvGrpSpPr>
      <xdr:grpSpPr>
        <a:xfrm>
          <a:off x="342900" y="47754540"/>
          <a:ext cx="2909233" cy="1422822"/>
          <a:chOff x="335280" y="43898820"/>
          <a:chExt cx="2909233" cy="1422822"/>
        </a:xfrm>
      </xdr:grpSpPr>
      <xdr:pic>
        <xdr:nvPicPr>
          <xdr:cNvPr id="44" name="Imag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0"/>
          <a:stretch>
            <a:fillRect/>
          </a:stretch>
        </xdr:blipFill>
        <xdr:spPr>
          <a:xfrm>
            <a:off x="335280" y="43898820"/>
            <a:ext cx="2909233" cy="1422822"/>
          </a:xfrm>
          <a:prstGeom prst="rect">
            <a:avLst/>
          </a:prstGeom>
        </xdr:spPr>
      </xdr:pic>
      <xdr:sp macro="" textlink="">
        <xdr:nvSpPr>
          <xdr:cNvPr id="45" name="Rectangle 44">
            <a:extLst>
              <a:ext uri="{FF2B5EF4-FFF2-40B4-BE49-F238E27FC236}">
                <a16:creationId xmlns:a16="http://schemas.microsoft.com/office/drawing/2014/main" id="{00000000-0008-0000-0000-00002D000000}"/>
              </a:ext>
            </a:extLst>
          </xdr:cNvPr>
          <xdr:cNvSpPr/>
        </xdr:nvSpPr>
        <xdr:spPr>
          <a:xfrm>
            <a:off x="403860" y="45064680"/>
            <a:ext cx="929640" cy="1752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2</xdr:col>
      <xdr:colOff>61612</xdr:colOff>
      <xdr:row>252</xdr:row>
      <xdr:rowOff>167640</xdr:rowOff>
    </xdr:from>
    <xdr:to>
      <xdr:col>8</xdr:col>
      <xdr:colOff>753960</xdr:colOff>
      <xdr:row>263</xdr:row>
      <xdr:rowOff>175260</xdr:rowOff>
    </xdr:to>
    <xdr:pic>
      <xdr:nvPicPr>
        <xdr:cNvPr id="46" name="Imag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1"/>
        <a:stretch>
          <a:fillRect/>
        </a:stretch>
      </xdr:blipFill>
      <xdr:spPr>
        <a:xfrm>
          <a:off x="343552" y="45996225"/>
          <a:ext cx="10011608" cy="2019300"/>
        </a:xfrm>
        <a:prstGeom prst="rect">
          <a:avLst/>
        </a:prstGeom>
      </xdr:spPr>
    </xdr:pic>
    <xdr:clientData/>
  </xdr:twoCellAnchor>
  <xdr:twoCellAnchor>
    <xdr:from>
      <xdr:col>2</xdr:col>
      <xdr:colOff>15239</xdr:colOff>
      <xdr:row>265</xdr:row>
      <xdr:rowOff>115722</xdr:rowOff>
    </xdr:from>
    <xdr:to>
      <xdr:col>5</xdr:col>
      <xdr:colOff>876301</xdr:colOff>
      <xdr:row>272</xdr:row>
      <xdr:rowOff>22860</xdr:rowOff>
    </xdr:to>
    <xdr:grpSp>
      <xdr:nvGrpSpPr>
        <xdr:cNvPr id="47" name="Groupe 46">
          <a:extLst>
            <a:ext uri="{FF2B5EF4-FFF2-40B4-BE49-F238E27FC236}">
              <a16:creationId xmlns:a16="http://schemas.microsoft.com/office/drawing/2014/main" id="{00000000-0008-0000-0000-00002F000000}"/>
            </a:ext>
          </a:extLst>
        </xdr:cNvPr>
        <xdr:cNvGrpSpPr/>
      </xdr:nvGrpSpPr>
      <xdr:grpSpPr>
        <a:xfrm>
          <a:off x="312419" y="52106982"/>
          <a:ext cx="6362702" cy="1293978"/>
          <a:chOff x="304799" y="48251262"/>
          <a:chExt cx="6362702" cy="1293978"/>
        </a:xfrm>
      </xdr:grpSpPr>
      <xdr:pic>
        <xdr:nvPicPr>
          <xdr:cNvPr id="48" name="Imag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2"/>
          <a:stretch>
            <a:fillRect/>
          </a:stretch>
        </xdr:blipFill>
        <xdr:spPr>
          <a:xfrm>
            <a:off x="304799" y="48251262"/>
            <a:ext cx="2710165" cy="1293978"/>
          </a:xfrm>
          <a:prstGeom prst="rect">
            <a:avLst/>
          </a:prstGeom>
        </xdr:spPr>
      </xdr:pic>
      <xdr:pic>
        <xdr:nvPicPr>
          <xdr:cNvPr id="49" name="Imag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23"/>
          <a:stretch>
            <a:fillRect/>
          </a:stretch>
        </xdr:blipFill>
        <xdr:spPr>
          <a:xfrm>
            <a:off x="3802381" y="48342530"/>
            <a:ext cx="2865120" cy="1181573"/>
          </a:xfrm>
          <a:prstGeom prst="rect">
            <a:avLst/>
          </a:prstGeom>
        </xdr:spPr>
      </xdr:pic>
      <xdr:sp macro="" textlink="">
        <xdr:nvSpPr>
          <xdr:cNvPr id="50" name="Rectangle 49">
            <a:extLst>
              <a:ext uri="{FF2B5EF4-FFF2-40B4-BE49-F238E27FC236}">
                <a16:creationId xmlns:a16="http://schemas.microsoft.com/office/drawing/2014/main" id="{00000000-0008-0000-0000-000032000000}"/>
              </a:ext>
            </a:extLst>
          </xdr:cNvPr>
          <xdr:cNvSpPr/>
        </xdr:nvSpPr>
        <xdr:spPr>
          <a:xfrm>
            <a:off x="2796540" y="48562260"/>
            <a:ext cx="16764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1" name="Flèche : droite 50">
            <a:extLst>
              <a:ext uri="{FF2B5EF4-FFF2-40B4-BE49-F238E27FC236}">
                <a16:creationId xmlns:a16="http://schemas.microsoft.com/office/drawing/2014/main" id="{00000000-0008-0000-0000-000033000000}"/>
              </a:ext>
            </a:extLst>
          </xdr:cNvPr>
          <xdr:cNvSpPr/>
        </xdr:nvSpPr>
        <xdr:spPr>
          <a:xfrm>
            <a:off x="3223260" y="48844200"/>
            <a:ext cx="35052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137160</xdr:colOff>
      <xdr:row>275</xdr:row>
      <xdr:rowOff>53340</xdr:rowOff>
    </xdr:from>
    <xdr:to>
      <xdr:col>4</xdr:col>
      <xdr:colOff>946666</xdr:colOff>
      <xdr:row>287</xdr:row>
      <xdr:rowOff>83820</xdr:rowOff>
    </xdr:to>
    <xdr:grpSp>
      <xdr:nvGrpSpPr>
        <xdr:cNvPr id="52" name="Groupe 51">
          <a:extLst>
            <a:ext uri="{FF2B5EF4-FFF2-40B4-BE49-F238E27FC236}">
              <a16:creationId xmlns:a16="http://schemas.microsoft.com/office/drawing/2014/main" id="{00000000-0008-0000-0000-000034000000}"/>
            </a:ext>
          </a:extLst>
        </xdr:cNvPr>
        <xdr:cNvGrpSpPr/>
      </xdr:nvGrpSpPr>
      <xdr:grpSpPr>
        <a:xfrm>
          <a:off x="137160" y="54056280"/>
          <a:ext cx="5335786" cy="2225040"/>
          <a:chOff x="137160" y="50200560"/>
          <a:chExt cx="5328166" cy="2225040"/>
        </a:xfrm>
      </xdr:grpSpPr>
      <xdr:pic>
        <xdr:nvPicPr>
          <xdr:cNvPr id="53" name="Image 52">
            <a:extLst>
              <a:ext uri="{FF2B5EF4-FFF2-40B4-BE49-F238E27FC236}">
                <a16:creationId xmlns:a16="http://schemas.microsoft.com/office/drawing/2014/main" id="{00000000-0008-0000-0000-000035000000}"/>
              </a:ext>
            </a:extLst>
          </xdr:cNvPr>
          <xdr:cNvPicPr>
            <a:picLocks noChangeAspect="1"/>
          </xdr:cNvPicPr>
        </xdr:nvPicPr>
        <xdr:blipFill rotWithShape="1">
          <a:blip xmlns:r="http://schemas.openxmlformats.org/officeDocument/2006/relationships" r:embed="rId24"/>
          <a:srcRect t="43502" r="20136"/>
          <a:stretch/>
        </xdr:blipFill>
        <xdr:spPr>
          <a:xfrm>
            <a:off x="137160" y="50200560"/>
            <a:ext cx="5328166" cy="2225040"/>
          </a:xfrm>
          <a:prstGeom prst="rect">
            <a:avLst/>
          </a:prstGeom>
        </xdr:spPr>
      </xdr:pic>
      <xdr:sp macro="" textlink="">
        <xdr:nvSpPr>
          <xdr:cNvPr id="54" name="Rectangle 53">
            <a:extLst>
              <a:ext uri="{FF2B5EF4-FFF2-40B4-BE49-F238E27FC236}">
                <a16:creationId xmlns:a16="http://schemas.microsoft.com/office/drawing/2014/main" id="{00000000-0008-0000-0000-000036000000}"/>
              </a:ext>
            </a:extLst>
          </xdr:cNvPr>
          <xdr:cNvSpPr/>
        </xdr:nvSpPr>
        <xdr:spPr>
          <a:xfrm>
            <a:off x="2247900" y="50368200"/>
            <a:ext cx="533400" cy="55626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5" name="Rectangle 54">
            <a:extLst>
              <a:ext uri="{FF2B5EF4-FFF2-40B4-BE49-F238E27FC236}">
                <a16:creationId xmlns:a16="http://schemas.microsoft.com/office/drawing/2014/main" id="{00000000-0008-0000-0000-000037000000}"/>
              </a:ext>
            </a:extLst>
          </xdr:cNvPr>
          <xdr:cNvSpPr/>
        </xdr:nvSpPr>
        <xdr:spPr>
          <a:xfrm>
            <a:off x="243840" y="50352960"/>
            <a:ext cx="533400" cy="55626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160021</xdr:colOff>
      <xdr:row>165</xdr:row>
      <xdr:rowOff>116098</xdr:rowOff>
    </xdr:from>
    <xdr:to>
      <xdr:col>9</xdr:col>
      <xdr:colOff>957934</xdr:colOff>
      <xdr:row>186</xdr:row>
      <xdr:rowOff>38100</xdr:rowOff>
    </xdr:to>
    <xdr:grpSp>
      <xdr:nvGrpSpPr>
        <xdr:cNvPr id="63" name="Groupe 62">
          <a:extLst>
            <a:ext uri="{FF2B5EF4-FFF2-40B4-BE49-F238E27FC236}">
              <a16:creationId xmlns:a16="http://schemas.microsoft.com/office/drawing/2014/main" id="{00000000-0008-0000-0000-00003F000000}"/>
            </a:ext>
          </a:extLst>
        </xdr:cNvPr>
        <xdr:cNvGrpSpPr/>
      </xdr:nvGrpSpPr>
      <xdr:grpSpPr>
        <a:xfrm>
          <a:off x="160021" y="32523958"/>
          <a:ext cx="11686893" cy="4082522"/>
          <a:chOff x="160021" y="32958298"/>
          <a:chExt cx="11679273" cy="4082522"/>
        </a:xfrm>
      </xdr:grpSpPr>
      <xdr:grpSp>
        <xdr:nvGrpSpPr>
          <xdr:cNvPr id="61" name="Groupe 60">
            <a:extLst>
              <a:ext uri="{FF2B5EF4-FFF2-40B4-BE49-F238E27FC236}">
                <a16:creationId xmlns:a16="http://schemas.microsoft.com/office/drawing/2014/main" id="{00000000-0008-0000-0000-00003D000000}"/>
              </a:ext>
            </a:extLst>
          </xdr:cNvPr>
          <xdr:cNvGrpSpPr/>
        </xdr:nvGrpSpPr>
        <xdr:grpSpPr>
          <a:xfrm>
            <a:off x="190500" y="35201154"/>
            <a:ext cx="11648794" cy="1839666"/>
            <a:chOff x="152400" y="34843014"/>
            <a:chExt cx="11648794" cy="1839666"/>
          </a:xfrm>
        </xdr:grpSpPr>
        <xdr:pic>
          <xdr:nvPicPr>
            <xdr:cNvPr id="57" name="Imag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25"/>
            <a:stretch>
              <a:fillRect/>
            </a:stretch>
          </xdr:blipFill>
          <xdr:spPr>
            <a:xfrm>
              <a:off x="152400" y="34843014"/>
              <a:ext cx="11648794" cy="1833607"/>
            </a:xfrm>
            <a:prstGeom prst="rect">
              <a:avLst/>
            </a:prstGeom>
          </xdr:spPr>
        </xdr:pic>
        <xdr:sp macro="" textlink="">
          <xdr:nvSpPr>
            <xdr:cNvPr id="58" name="Rectangle 57">
              <a:extLst>
                <a:ext uri="{FF2B5EF4-FFF2-40B4-BE49-F238E27FC236}">
                  <a16:creationId xmlns:a16="http://schemas.microsoft.com/office/drawing/2014/main" id="{00000000-0008-0000-0000-00003A000000}"/>
                </a:ext>
              </a:extLst>
            </xdr:cNvPr>
            <xdr:cNvSpPr/>
          </xdr:nvSpPr>
          <xdr:spPr>
            <a:xfrm>
              <a:off x="10782300" y="35189160"/>
              <a:ext cx="975360" cy="14935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60" name="Groupe 59">
            <a:extLst>
              <a:ext uri="{FF2B5EF4-FFF2-40B4-BE49-F238E27FC236}">
                <a16:creationId xmlns:a16="http://schemas.microsoft.com/office/drawing/2014/main" id="{00000000-0008-0000-0000-00003C000000}"/>
              </a:ext>
            </a:extLst>
          </xdr:cNvPr>
          <xdr:cNvGrpSpPr/>
        </xdr:nvGrpSpPr>
        <xdr:grpSpPr>
          <a:xfrm>
            <a:off x="160021" y="32958298"/>
            <a:ext cx="11376660" cy="1809643"/>
            <a:chOff x="160021" y="32958298"/>
            <a:chExt cx="11376660" cy="1809643"/>
          </a:xfrm>
        </xdr:grpSpPr>
        <xdr:pic>
          <xdr:nvPicPr>
            <xdr:cNvPr id="56" name="Image 55">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26"/>
            <a:stretch>
              <a:fillRect/>
            </a:stretch>
          </xdr:blipFill>
          <xdr:spPr>
            <a:xfrm>
              <a:off x="160021" y="32958298"/>
              <a:ext cx="11376660" cy="1809643"/>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10523220" y="33307020"/>
              <a:ext cx="967740" cy="4114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2" name="Flèche : bas 61">
            <a:extLst>
              <a:ext uri="{FF2B5EF4-FFF2-40B4-BE49-F238E27FC236}">
                <a16:creationId xmlns:a16="http://schemas.microsoft.com/office/drawing/2014/main" id="{00000000-0008-0000-0000-00003E000000}"/>
              </a:ext>
            </a:extLst>
          </xdr:cNvPr>
          <xdr:cNvSpPr/>
        </xdr:nvSpPr>
        <xdr:spPr>
          <a:xfrm>
            <a:off x="11026140" y="34899600"/>
            <a:ext cx="312420" cy="3276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10326</xdr:colOff>
      <xdr:row>14</xdr:row>
      <xdr:rowOff>0</xdr:rowOff>
    </xdr:from>
    <xdr:to>
      <xdr:col>2</xdr:col>
      <xdr:colOff>675475</xdr:colOff>
      <xdr:row>14</xdr:row>
      <xdr:rowOff>266700</xdr:rowOff>
    </xdr:to>
    <xdr:sp macro="[0]!AddNewCritère" textlink="">
      <xdr:nvSpPr>
        <xdr:cNvPr id="3" name="BtnNewProject">
          <a:extLst>
            <a:ext uri="{FF2B5EF4-FFF2-40B4-BE49-F238E27FC236}">
              <a16:creationId xmlns:a16="http://schemas.microsoft.com/office/drawing/2014/main" id="{00000000-0008-0000-0100-000003000000}"/>
            </a:ext>
          </a:extLst>
        </xdr:cNvPr>
        <xdr:cNvSpPr/>
      </xdr:nvSpPr>
      <xdr:spPr>
        <a:xfrm>
          <a:off x="299886" y="2118360"/>
          <a:ext cx="1373809" cy="2667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a:t>Ajouter un critère</a:t>
          </a:r>
        </a:p>
      </xdr:txBody>
    </xdr:sp>
    <xdr:clientData/>
  </xdr:twoCellAnchor>
  <xdr:twoCellAnchor>
    <xdr:from>
      <xdr:col>2</xdr:col>
      <xdr:colOff>743041</xdr:colOff>
      <xdr:row>14</xdr:row>
      <xdr:rowOff>0</xdr:rowOff>
    </xdr:from>
    <xdr:to>
      <xdr:col>2</xdr:col>
      <xdr:colOff>2164080</xdr:colOff>
      <xdr:row>14</xdr:row>
      <xdr:rowOff>266700</xdr:rowOff>
    </xdr:to>
    <xdr:sp macro="[0]!DeleteCritère" textlink="">
      <xdr:nvSpPr>
        <xdr:cNvPr id="4" name="BtnDeleteProject">
          <a:extLst>
            <a:ext uri="{FF2B5EF4-FFF2-40B4-BE49-F238E27FC236}">
              <a16:creationId xmlns:a16="http://schemas.microsoft.com/office/drawing/2014/main" id="{00000000-0008-0000-0100-000004000000}"/>
            </a:ext>
          </a:extLst>
        </xdr:cNvPr>
        <xdr:cNvSpPr/>
      </xdr:nvSpPr>
      <xdr:spPr>
        <a:xfrm>
          <a:off x="1741261" y="2118360"/>
          <a:ext cx="1421039"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Supprimer un critère</a:t>
          </a:r>
        </a:p>
      </xdr:txBody>
    </xdr:sp>
    <xdr:clientData/>
  </xdr:twoCellAnchor>
  <xdr:twoCellAnchor editAs="absolute">
    <xdr:from>
      <xdr:col>2</xdr:col>
      <xdr:colOff>2626995</xdr:colOff>
      <xdr:row>5</xdr:row>
      <xdr:rowOff>57150</xdr:rowOff>
    </xdr:from>
    <xdr:to>
      <xdr:col>3</xdr:col>
      <xdr:colOff>327386</xdr:colOff>
      <xdr:row>5</xdr:row>
      <xdr:rowOff>310951</xdr:rowOff>
    </xdr:to>
    <xdr:sp macro="" textlink="">
      <xdr:nvSpPr>
        <xdr:cNvPr id="16" name="BtnGuide">
          <a:hlinkClick xmlns:r="http://schemas.openxmlformats.org/officeDocument/2006/relationships" r:id="rId1"/>
          <a:extLst>
            <a:ext uri="{FF2B5EF4-FFF2-40B4-BE49-F238E27FC236}">
              <a16:creationId xmlns:a16="http://schemas.microsoft.com/office/drawing/2014/main" id="{00000000-0008-0000-0100-000010000000}"/>
            </a:ext>
          </a:extLst>
        </xdr:cNvPr>
        <xdr:cNvSpPr/>
      </xdr:nvSpPr>
      <xdr:spPr>
        <a:xfrm>
          <a:off x="3632835" y="811530"/>
          <a:ext cx="1220831" cy="253801"/>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363748</xdr:colOff>
      <xdr:row>5</xdr:row>
      <xdr:rowOff>60349</xdr:rowOff>
    </xdr:from>
    <xdr:to>
      <xdr:col>4</xdr:col>
      <xdr:colOff>492845</xdr:colOff>
      <xdr:row>5</xdr:row>
      <xdr:rowOff>314150</xdr:rowOff>
    </xdr:to>
    <xdr:sp macro="[0]!NavBar" textlink="">
      <xdr:nvSpPr>
        <xdr:cNvPr id="17" name="BtnCriteresSelection">
          <a:extLst>
            <a:ext uri="{FF2B5EF4-FFF2-40B4-BE49-F238E27FC236}">
              <a16:creationId xmlns:a16="http://schemas.microsoft.com/office/drawing/2014/main" id="{00000000-0008-0000-0100-000011000000}"/>
            </a:ext>
          </a:extLst>
        </xdr:cNvPr>
        <xdr:cNvSpPr/>
      </xdr:nvSpPr>
      <xdr:spPr>
        <a:xfrm>
          <a:off x="4890028" y="814729"/>
          <a:ext cx="1401637" cy="253801"/>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4</xdr:col>
      <xdr:colOff>549174</xdr:colOff>
      <xdr:row>5</xdr:row>
      <xdr:rowOff>57425</xdr:rowOff>
    </xdr:from>
    <xdr:to>
      <xdr:col>5</xdr:col>
      <xdr:colOff>856533</xdr:colOff>
      <xdr:row>5</xdr:row>
      <xdr:rowOff>311226</xdr:rowOff>
    </xdr:to>
    <xdr:sp macro="[0]!NavBar" textlink="">
      <xdr:nvSpPr>
        <xdr:cNvPr id="18" name="BtnEvaluation">
          <a:extLst>
            <a:ext uri="{FF2B5EF4-FFF2-40B4-BE49-F238E27FC236}">
              <a16:creationId xmlns:a16="http://schemas.microsoft.com/office/drawing/2014/main" id="{00000000-0008-0000-0100-000012000000}"/>
            </a:ext>
          </a:extLst>
        </xdr:cNvPr>
        <xdr:cNvSpPr/>
      </xdr:nvSpPr>
      <xdr:spPr>
        <a:xfrm>
          <a:off x="6347994" y="811805"/>
          <a:ext cx="1579899" cy="253801"/>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5</xdr:col>
      <xdr:colOff>913002</xdr:colOff>
      <xdr:row>5</xdr:row>
      <xdr:rowOff>58553</xdr:rowOff>
    </xdr:from>
    <xdr:to>
      <xdr:col>6</xdr:col>
      <xdr:colOff>915855</xdr:colOff>
      <xdr:row>5</xdr:row>
      <xdr:rowOff>312354</xdr:rowOff>
    </xdr:to>
    <xdr:sp macro="[0]!NavBar" textlink="">
      <xdr:nvSpPr>
        <xdr:cNvPr id="19" name="BtnSettings">
          <a:extLst>
            <a:ext uri="{FF2B5EF4-FFF2-40B4-BE49-F238E27FC236}">
              <a16:creationId xmlns:a16="http://schemas.microsoft.com/office/drawing/2014/main" id="{00000000-0008-0000-0100-000013000000}"/>
            </a:ext>
          </a:extLst>
        </xdr:cNvPr>
        <xdr:cNvSpPr/>
      </xdr:nvSpPr>
      <xdr:spPr>
        <a:xfrm>
          <a:off x="7984362" y="812933"/>
          <a:ext cx="1275393" cy="25380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Paramétrages</a:t>
          </a:r>
        </a:p>
      </xdr:txBody>
    </xdr:sp>
    <xdr:clientData/>
  </xdr:twoCellAnchor>
  <xdr:twoCellAnchor>
    <xdr:from>
      <xdr:col>3</xdr:col>
      <xdr:colOff>220980</xdr:colOff>
      <xdr:row>14</xdr:row>
      <xdr:rowOff>63642</xdr:rowOff>
    </xdr:from>
    <xdr:to>
      <xdr:col>3</xdr:col>
      <xdr:colOff>998219</xdr:colOff>
      <xdr:row>14</xdr:row>
      <xdr:rowOff>264018</xdr:rowOff>
    </xdr:to>
    <xdr:sp macro="[0]!AddNewScore" textlink="">
      <xdr:nvSpPr>
        <xdr:cNvPr id="5" name="BtnNewProject">
          <a:extLst>
            <a:ext uri="{FF2B5EF4-FFF2-40B4-BE49-F238E27FC236}">
              <a16:creationId xmlns:a16="http://schemas.microsoft.com/office/drawing/2014/main" id="{00000000-0008-0000-0100-000005000000}"/>
            </a:ext>
          </a:extLst>
        </xdr:cNvPr>
        <xdr:cNvSpPr/>
      </xdr:nvSpPr>
      <xdr:spPr>
        <a:xfrm>
          <a:off x="4747260" y="2182002"/>
          <a:ext cx="777239" cy="200376"/>
        </a:xfrm>
        <a:prstGeom prst="roundRect">
          <a:avLst/>
        </a:prstGeom>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900"/>
            <a:t>Nouv. Score</a:t>
          </a:r>
        </a:p>
      </xdr:txBody>
    </xdr:sp>
    <xdr:clientData/>
  </xdr:twoCellAnchor>
  <xdr:twoCellAnchor>
    <xdr:from>
      <xdr:col>3</xdr:col>
      <xdr:colOff>1142013</xdr:colOff>
      <xdr:row>14</xdr:row>
      <xdr:rowOff>63642</xdr:rowOff>
    </xdr:from>
    <xdr:to>
      <xdr:col>4</xdr:col>
      <xdr:colOff>662940</xdr:colOff>
      <xdr:row>14</xdr:row>
      <xdr:rowOff>264018</xdr:rowOff>
    </xdr:to>
    <xdr:sp macro="[0]!RemoveScore" textlink="">
      <xdr:nvSpPr>
        <xdr:cNvPr id="6" name="BtnDeleteProject">
          <a:extLst>
            <a:ext uri="{FF2B5EF4-FFF2-40B4-BE49-F238E27FC236}">
              <a16:creationId xmlns:a16="http://schemas.microsoft.com/office/drawing/2014/main" id="{00000000-0008-0000-0100-000006000000}"/>
            </a:ext>
          </a:extLst>
        </xdr:cNvPr>
        <xdr:cNvSpPr/>
      </xdr:nvSpPr>
      <xdr:spPr>
        <a:xfrm>
          <a:off x="5668293" y="2182002"/>
          <a:ext cx="793467" cy="20037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900"/>
            <a:t>Supp. Score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91440</xdr:colOff>
      <xdr:row>12</xdr:row>
      <xdr:rowOff>107003</xdr:rowOff>
    </xdr:from>
    <xdr:to>
      <xdr:col>4</xdr:col>
      <xdr:colOff>713118</xdr:colOff>
      <xdr:row>13</xdr:row>
      <xdr:rowOff>165653</xdr:rowOff>
    </xdr:to>
    <xdr:sp macro="[0]!AddNewProject" textlink="">
      <xdr:nvSpPr>
        <xdr:cNvPr id="2" name="BtnNewProject">
          <a:extLst>
            <a:ext uri="{FF2B5EF4-FFF2-40B4-BE49-F238E27FC236}">
              <a16:creationId xmlns:a16="http://schemas.microsoft.com/office/drawing/2014/main" id="{00000000-0008-0000-0200-000002000000}"/>
            </a:ext>
          </a:extLst>
        </xdr:cNvPr>
        <xdr:cNvSpPr/>
      </xdr:nvSpPr>
      <xdr:spPr>
        <a:xfrm>
          <a:off x="365760" y="1844363"/>
          <a:ext cx="1284618" cy="27963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a:t>Ajouter un projet</a:t>
          </a:r>
        </a:p>
      </xdr:txBody>
    </xdr:sp>
    <xdr:clientData/>
  </xdr:twoCellAnchor>
  <xdr:twoCellAnchor editAs="oneCell">
    <xdr:from>
      <xdr:col>4</xdr:col>
      <xdr:colOff>813442</xdr:colOff>
      <xdr:row>12</xdr:row>
      <xdr:rowOff>107003</xdr:rowOff>
    </xdr:from>
    <xdr:to>
      <xdr:col>4</xdr:col>
      <xdr:colOff>2236470</xdr:colOff>
      <xdr:row>13</xdr:row>
      <xdr:rowOff>165653</xdr:rowOff>
    </xdr:to>
    <xdr:sp macro="[0]!RemoveProject" textlink="">
      <xdr:nvSpPr>
        <xdr:cNvPr id="3" name="BtnDeleteProject">
          <a:extLst>
            <a:ext uri="{FF2B5EF4-FFF2-40B4-BE49-F238E27FC236}">
              <a16:creationId xmlns:a16="http://schemas.microsoft.com/office/drawing/2014/main" id="{00000000-0008-0000-0200-000003000000}"/>
            </a:ext>
          </a:extLst>
        </xdr:cNvPr>
        <xdr:cNvSpPr/>
      </xdr:nvSpPr>
      <xdr:spPr>
        <a:xfrm>
          <a:off x="1750702" y="1844363"/>
          <a:ext cx="1423028" cy="27963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Supprimer un projet</a:t>
          </a:r>
        </a:p>
      </xdr:txBody>
    </xdr:sp>
    <xdr:clientData/>
  </xdr:twoCellAnchor>
  <xdr:twoCellAnchor editAs="absolute">
    <xdr:from>
      <xdr:col>4</xdr:col>
      <xdr:colOff>2661285</xdr:colOff>
      <xdr:row>5</xdr:row>
      <xdr:rowOff>57150</xdr:rowOff>
    </xdr:from>
    <xdr:to>
      <xdr:col>5</xdr:col>
      <xdr:colOff>997029</xdr:colOff>
      <xdr:row>5</xdr:row>
      <xdr:rowOff>322239</xdr:rowOff>
    </xdr:to>
    <xdr:sp macro="" textlink="">
      <xdr:nvSpPr>
        <xdr:cNvPr id="6" name="BtnGuide">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598545" y="811530"/>
          <a:ext cx="1223724" cy="265089"/>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27637</xdr:colOff>
      <xdr:row>5</xdr:row>
      <xdr:rowOff>60491</xdr:rowOff>
    </xdr:from>
    <xdr:to>
      <xdr:col>7</xdr:col>
      <xdr:colOff>266735</xdr:colOff>
      <xdr:row>5</xdr:row>
      <xdr:rowOff>325580</xdr:rowOff>
    </xdr:to>
    <xdr:sp macro="[0]!NavBar" textlink="">
      <xdr:nvSpPr>
        <xdr:cNvPr id="7" name="BtnCriteresSelection">
          <a:extLst>
            <a:ext uri="{FF2B5EF4-FFF2-40B4-BE49-F238E27FC236}">
              <a16:creationId xmlns:a16="http://schemas.microsoft.com/office/drawing/2014/main" id="{00000000-0008-0000-0200-000007000000}"/>
            </a:ext>
          </a:extLst>
        </xdr:cNvPr>
        <xdr:cNvSpPr/>
      </xdr:nvSpPr>
      <xdr:spPr>
        <a:xfrm>
          <a:off x="4858717" y="814871"/>
          <a:ext cx="1404958" cy="265089"/>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7</xdr:col>
      <xdr:colOff>323198</xdr:colOff>
      <xdr:row>5</xdr:row>
      <xdr:rowOff>57437</xdr:rowOff>
    </xdr:from>
    <xdr:to>
      <xdr:col>8</xdr:col>
      <xdr:colOff>740981</xdr:colOff>
      <xdr:row>5</xdr:row>
      <xdr:rowOff>322526</xdr:rowOff>
    </xdr:to>
    <xdr:sp macro="[0]!NavBar" textlink="">
      <xdr:nvSpPr>
        <xdr:cNvPr id="15" name="BtnEvaluation">
          <a:extLst>
            <a:ext uri="{FF2B5EF4-FFF2-40B4-BE49-F238E27FC236}">
              <a16:creationId xmlns:a16="http://schemas.microsoft.com/office/drawing/2014/main" id="{00000000-0008-0000-0200-00000F000000}"/>
            </a:ext>
          </a:extLst>
        </xdr:cNvPr>
        <xdr:cNvSpPr/>
      </xdr:nvSpPr>
      <xdr:spPr>
        <a:xfrm>
          <a:off x="6320138" y="811817"/>
          <a:ext cx="1583643" cy="265089"/>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8</xdr:col>
      <xdr:colOff>797584</xdr:colOff>
      <xdr:row>5</xdr:row>
      <xdr:rowOff>58615</xdr:rowOff>
    </xdr:from>
    <xdr:to>
      <xdr:col>9</xdr:col>
      <xdr:colOff>910140</xdr:colOff>
      <xdr:row>5</xdr:row>
      <xdr:rowOff>323704</xdr:rowOff>
    </xdr:to>
    <xdr:sp macro="[0]!NavBar" textlink="">
      <xdr:nvSpPr>
        <xdr:cNvPr id="16" name="BtnSettings">
          <a:extLst>
            <a:ext uri="{FF2B5EF4-FFF2-40B4-BE49-F238E27FC236}">
              <a16:creationId xmlns:a16="http://schemas.microsoft.com/office/drawing/2014/main" id="{00000000-0008-0000-0200-000010000000}"/>
            </a:ext>
          </a:extLst>
        </xdr:cNvPr>
        <xdr:cNvSpPr/>
      </xdr:nvSpPr>
      <xdr:spPr>
        <a:xfrm>
          <a:off x="7960384" y="812995"/>
          <a:ext cx="1278416" cy="265089"/>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Paramétrages</a:t>
          </a:r>
        </a:p>
      </xdr:txBody>
    </xdr:sp>
    <xdr:clientData/>
  </xdr:twoCellAnchor>
  <xdr:twoCellAnchor editAs="oneCell">
    <xdr:from>
      <xdr:col>1</xdr:col>
      <xdr:colOff>0</xdr:colOff>
      <xdr:row>34</xdr:row>
      <xdr:rowOff>17780</xdr:rowOff>
    </xdr:from>
    <xdr:to>
      <xdr:col>12</xdr:col>
      <xdr:colOff>20955</xdr:colOff>
      <xdr:row>36</xdr:row>
      <xdr:rowOff>845</xdr:rowOff>
    </xdr:to>
    <xdr:sp macro="" textlink="">
      <xdr:nvSpPr>
        <xdr:cNvPr id="10" name="ExampleShape">
          <a:extLst>
            <a:ext uri="{FF2B5EF4-FFF2-40B4-BE49-F238E27FC236}">
              <a16:creationId xmlns:a16="http://schemas.microsoft.com/office/drawing/2014/main" id="{00000000-0008-0000-0200-00000A000000}"/>
            </a:ext>
          </a:extLst>
        </xdr:cNvPr>
        <xdr:cNvSpPr/>
      </xdr:nvSpPr>
      <xdr:spPr>
        <a:xfrm>
          <a:off x="274320" y="10312400"/>
          <a:ext cx="11572875" cy="836505"/>
        </a:xfrm>
        <a:prstGeom prst="rect">
          <a:avLst/>
        </a:prstGeom>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r>
            <a:rPr lang="en-US" sz="1100" b="0">
              <a:solidFill>
                <a:schemeClr val="dk1"/>
              </a:solidFill>
              <a:effectLst/>
              <a:latin typeface="+mn-lt"/>
              <a:ea typeface="+mn-ea"/>
              <a:cs typeface="+mn-cs"/>
            </a:rPr>
            <a:t>En fonction des résultats, des décisions doivent être prises quant à la sélection de projet.
Exemple 1 : les projets dont le total des points est supérieur à 0 vont être retenus, tandis que ceux dont le total des points est inférieur à 0 vont être rejetés.
Exemple 2 : Uniquement les projets de priorité P1 seront retenus. Les P2 seront réexaminés, et les autres écartés.</a:t>
          </a:r>
          <a:endParaRPr lang="en-US">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91440</xdr:colOff>
      <xdr:row>10</xdr:row>
      <xdr:rowOff>22860</xdr:rowOff>
    </xdr:from>
    <xdr:to>
      <xdr:col>11</xdr:col>
      <xdr:colOff>215535</xdr:colOff>
      <xdr:row>10</xdr:row>
      <xdr:rowOff>144780</xdr:rowOff>
    </xdr:to>
    <xdr:pic macro="[0]!AddRow">
      <xdr:nvPicPr>
        <xdr:cNvPr id="4" name="BtnAddTablePriority" descr="Add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235440" y="1874520"/>
          <a:ext cx="124095" cy="121920"/>
        </a:xfrm>
        <a:prstGeom prst="rect">
          <a:avLst/>
        </a:prstGeom>
      </xdr:spPr>
    </xdr:pic>
    <xdr:clientData/>
  </xdr:twoCellAnchor>
  <xdr:twoCellAnchor editAs="absolute">
    <xdr:from>
      <xdr:col>11</xdr:col>
      <xdr:colOff>100333</xdr:colOff>
      <xdr:row>12</xdr:row>
      <xdr:rowOff>45720</xdr:rowOff>
    </xdr:from>
    <xdr:to>
      <xdr:col>11</xdr:col>
      <xdr:colOff>226333</xdr:colOff>
      <xdr:row>12</xdr:row>
      <xdr:rowOff>167910</xdr:rowOff>
    </xdr:to>
    <xdr:pic macro="[0]!DeleteRow">
      <xdr:nvPicPr>
        <xdr:cNvPr id="5" name="BtnDeleteTablePriority" descr="Close with solid fill">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244333" y="2080260"/>
          <a:ext cx="126000" cy="122190"/>
        </a:xfrm>
        <a:prstGeom prst="rect">
          <a:avLst/>
        </a:prstGeom>
      </xdr:spPr>
    </xdr:pic>
    <xdr:clientData/>
  </xdr:twoCellAnchor>
  <xdr:twoCellAnchor editAs="absolute">
    <xdr:from>
      <xdr:col>6</xdr:col>
      <xdr:colOff>99060</xdr:colOff>
      <xdr:row>10</xdr:row>
      <xdr:rowOff>45720</xdr:rowOff>
    </xdr:from>
    <xdr:to>
      <xdr:col>6</xdr:col>
      <xdr:colOff>225060</xdr:colOff>
      <xdr:row>10</xdr:row>
      <xdr:rowOff>167640</xdr:rowOff>
    </xdr:to>
    <xdr:pic macro="[0]!AddRow">
      <xdr:nvPicPr>
        <xdr:cNvPr id="6" name="BtnAddTableCoeffPonderation" descr="Add with solid fill">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869180" y="1897380"/>
          <a:ext cx="126000" cy="121920"/>
        </a:xfrm>
        <a:prstGeom prst="rect">
          <a:avLst/>
        </a:prstGeom>
      </xdr:spPr>
    </xdr:pic>
    <xdr:clientData/>
  </xdr:twoCellAnchor>
  <xdr:twoCellAnchor editAs="absolute">
    <xdr:from>
      <xdr:col>6</xdr:col>
      <xdr:colOff>107953</xdr:colOff>
      <xdr:row>12</xdr:row>
      <xdr:rowOff>83400</xdr:rowOff>
    </xdr:from>
    <xdr:to>
      <xdr:col>6</xdr:col>
      <xdr:colOff>235858</xdr:colOff>
      <xdr:row>13</xdr:row>
      <xdr:rowOff>30330</xdr:rowOff>
    </xdr:to>
    <xdr:pic macro="[0]!DeleteRow">
      <xdr:nvPicPr>
        <xdr:cNvPr id="7" name="BtnDeleteTableCoeffPonderation" descr="Close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878073" y="2117940"/>
          <a:ext cx="127905" cy="129810"/>
        </a:xfrm>
        <a:prstGeom prst="rect">
          <a:avLst/>
        </a:prstGeom>
      </xdr:spPr>
    </xdr:pic>
    <xdr:clientData/>
  </xdr:twoCellAnchor>
  <xdr:twoCellAnchor editAs="absolute">
    <xdr:from>
      <xdr:col>5</xdr:col>
      <xdr:colOff>495300</xdr:colOff>
      <xdr:row>5</xdr:row>
      <xdr:rowOff>60960</xdr:rowOff>
    </xdr:from>
    <xdr:to>
      <xdr:col>6</xdr:col>
      <xdr:colOff>276364</xdr:colOff>
      <xdr:row>5</xdr:row>
      <xdr:rowOff>310999</xdr:rowOff>
    </xdr:to>
    <xdr:sp macro="[0]!NavBar" textlink="">
      <xdr:nvSpPr>
        <xdr:cNvPr id="14" name="BtnGuide">
          <a:hlinkClick xmlns:r="http://schemas.openxmlformats.org/officeDocument/2006/relationships" r:id="rId5"/>
          <a:extLst>
            <a:ext uri="{FF2B5EF4-FFF2-40B4-BE49-F238E27FC236}">
              <a16:creationId xmlns:a16="http://schemas.microsoft.com/office/drawing/2014/main" id="{00000000-0008-0000-0300-00000E000000}"/>
            </a:ext>
          </a:extLst>
        </xdr:cNvPr>
        <xdr:cNvSpPr/>
      </xdr:nvSpPr>
      <xdr:spPr>
        <a:xfrm>
          <a:off x="3825240" y="815340"/>
          <a:ext cx="1221244" cy="250039"/>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312738</xdr:colOff>
      <xdr:row>5</xdr:row>
      <xdr:rowOff>64111</xdr:rowOff>
    </xdr:from>
    <xdr:to>
      <xdr:col>7</xdr:col>
      <xdr:colOff>1105249</xdr:colOff>
      <xdr:row>5</xdr:row>
      <xdr:rowOff>314150</xdr:rowOff>
    </xdr:to>
    <xdr:sp macro="[0]!NavBar" textlink="">
      <xdr:nvSpPr>
        <xdr:cNvPr id="15" name="BtnCriteresSelection">
          <a:extLst>
            <a:ext uri="{FF2B5EF4-FFF2-40B4-BE49-F238E27FC236}">
              <a16:creationId xmlns:a16="http://schemas.microsoft.com/office/drawing/2014/main" id="{00000000-0008-0000-0300-00000F000000}"/>
            </a:ext>
          </a:extLst>
        </xdr:cNvPr>
        <xdr:cNvSpPr/>
      </xdr:nvSpPr>
      <xdr:spPr>
        <a:xfrm>
          <a:off x="5082858" y="818491"/>
          <a:ext cx="1402111" cy="250039"/>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7</xdr:col>
      <xdr:colOff>1161598</xdr:colOff>
      <xdr:row>5</xdr:row>
      <xdr:rowOff>61231</xdr:rowOff>
    </xdr:from>
    <xdr:to>
      <xdr:col>9</xdr:col>
      <xdr:colOff>570332</xdr:colOff>
      <xdr:row>5</xdr:row>
      <xdr:rowOff>311270</xdr:rowOff>
    </xdr:to>
    <xdr:sp macro="[0]!NavBar" textlink="">
      <xdr:nvSpPr>
        <xdr:cNvPr id="16" name="BtnEvaluation">
          <a:extLst>
            <a:ext uri="{FF2B5EF4-FFF2-40B4-BE49-F238E27FC236}">
              <a16:creationId xmlns:a16="http://schemas.microsoft.com/office/drawing/2014/main" id="{00000000-0008-0000-0300-000010000000}"/>
            </a:ext>
          </a:extLst>
        </xdr:cNvPr>
        <xdr:cNvSpPr/>
      </xdr:nvSpPr>
      <xdr:spPr>
        <a:xfrm>
          <a:off x="6541318" y="815611"/>
          <a:ext cx="1580434" cy="250039"/>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9</xdr:col>
      <xdr:colOff>626820</xdr:colOff>
      <xdr:row>5</xdr:row>
      <xdr:rowOff>62342</xdr:rowOff>
    </xdr:from>
    <xdr:to>
      <xdr:col>11</xdr:col>
      <xdr:colOff>310065</xdr:colOff>
      <xdr:row>5</xdr:row>
      <xdr:rowOff>312381</xdr:rowOff>
    </xdr:to>
    <xdr:sp macro="[0]!NavBar" textlink="">
      <xdr:nvSpPr>
        <xdr:cNvPr id="17" name="BtnSettings">
          <a:extLst>
            <a:ext uri="{FF2B5EF4-FFF2-40B4-BE49-F238E27FC236}">
              <a16:creationId xmlns:a16="http://schemas.microsoft.com/office/drawing/2014/main" id="{00000000-0008-0000-0300-000011000000}"/>
            </a:ext>
          </a:extLst>
        </xdr:cNvPr>
        <xdr:cNvSpPr/>
      </xdr:nvSpPr>
      <xdr:spPr>
        <a:xfrm>
          <a:off x="8178240" y="816722"/>
          <a:ext cx="1275825" cy="250039"/>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Paramétrages</a:t>
          </a:r>
        </a:p>
      </xdr:txBody>
    </xdr:sp>
    <xdr:clientData/>
  </xdr:twoCellAnchor>
  <mc:AlternateContent xmlns:mc="http://schemas.openxmlformats.org/markup-compatibility/2006">
    <mc:Choice xmlns:a14="http://schemas.microsoft.com/office/drawing/2010/main" Requires="a14">
      <xdr:twoCellAnchor editAs="oneCell">
        <xdr:from>
          <xdr:col>12</xdr:col>
          <xdr:colOff>175260</xdr:colOff>
          <xdr:row>5</xdr:row>
          <xdr:rowOff>68580</xdr:rowOff>
        </xdr:from>
        <xdr:to>
          <xdr:col>13</xdr:col>
          <xdr:colOff>784860</xdr:colOff>
          <xdr:row>5</xdr:row>
          <xdr:rowOff>289560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6020D4-F4C9-4151-8F94-7D47233666AF}" name="TableCriteressSelection" displayName="TableCriteressSelection" ref="B16:I32" totalsRowShown="0" headerRowDxfId="81" dataDxfId="80">
  <tableColumns count="8">
    <tableColumn id="1" xr3:uid="{3878B137-6144-4E80-B34A-53F55D5163A6}" name="Code" dataDxfId="79"/>
    <tableColumn id="2" xr3:uid="{085813E2-4A71-4624-8062-4A60A4E2FC22}" name="Critère de catégorisation et de sélection de projets" dataDxfId="78"/>
    <tableColumn id="3" xr3:uid="{964B6C1C-EE95-4F1A-89A9-A22933764D4A}" name="-2" dataDxfId="77"/>
    <tableColumn id="4" xr3:uid="{CD64EA4E-7579-4AED-965F-0E28DFEF5090}" name="-1" dataDxfId="76"/>
    <tableColumn id="5" xr3:uid="{78DBCDA3-3D99-4E5F-8BB8-227308C7ECB9}" name="0" dataDxfId="75"/>
    <tableColumn id="6" xr3:uid="{F91D92BD-F39C-4D94-9D31-7B7BFC5E0C8A}" name="1" dataDxfId="74"/>
    <tableColumn id="7" xr3:uid="{DB3D9F21-4427-4EA1-8F63-6AF1FE0C68DA}" name="2" dataDxfId="73"/>
    <tableColumn id="8" xr3:uid="{9F709DB1-8744-4080-B1DD-57133BFF349C}" name="Coefficient de pondération" dataDxfId="72"/>
  </tableColumns>
  <tableStyleInfo name="BGDP"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E7ABF7-2FBA-4D1C-B2BD-9E73E3DED761}" name="TableEvaluation" displayName="TableEvaluation" ref="D16:N33" totalsRowCount="1" headerRowDxfId="67" dataDxfId="66" totalsRowDxfId="65">
  <tableColumns count="11">
    <tableColumn id="1" xr3:uid="{65F40BF4-F27D-44BE-860F-C49F84CDF015}" name="Code" dataDxfId="64" totalsRowDxfId="63"/>
    <tableColumn id="2" xr3:uid="{515EA250-7E2D-42D4-A0A2-CAF0B90B86B2}" name="Critère de catégorisation et de sélection de projets" totalsRowLabel="Points totaux" dataDxfId="62" totalsRowDxfId="61"/>
    <tableColumn id="28" xr3:uid="{27D5EA86-3E24-4543-90F8-057FDE7E2430}" name="Coefficient de pondération" dataDxfId="60" totalsRowDxfId="59"/>
    <tableColumn id="7" xr3:uid="{52A3D2CF-0936-4EE7-9F4F-96A4A32E9499}" name="Project 1" totalsRowFunction="custom" dataDxfId="58" totalsRowDxfId="57">
      <totalsRowFormula>SUM(SUMPRODUCT(SUMIFS(TableListCriteria[Points], TableListCriteria[Code], TableEvaluation[Code], TableListCriteria[Critere], TableEvaluation[Project 1], TableListCriteria[Critere], "&lt;&gt; """), TableEvaluation[Coefficient de pondération]))</totalsRowFormula>
    </tableColumn>
    <tableColumn id="22" xr3:uid="{669A71C0-18BF-49DC-A230-CD4D2D197358}" name="Project 2" totalsRowFunction="custom" dataDxfId="56" totalsRowDxfId="55">
      <totalsRowFormula>SUM(SUMPRODUCT(SUMIFS(TableListCriteria[Points], TableListCriteria[Code], TableEvaluation[Code], TableListCriteria[Critere], TableEvaluation[Project 2], TableListCriteria[Critere], "&lt;&gt; """), TableEvaluation[Coefficient de pondération]))</totalsRowFormula>
    </tableColumn>
    <tableColumn id="6" xr3:uid="{288888AA-0B85-4C4A-B5F2-A0E7761B74E8}" name="Project 3" totalsRowFunction="custom" dataDxfId="54" totalsRowDxfId="53">
      <totalsRowFormula>SUM(SUMPRODUCT(SUMIFS(TableListCriteria[Points], TableListCriteria[Code], TableEvaluation[Code], TableListCriteria[Critere], TableEvaluation[Project 3], TableListCriteria[Critere], "&lt;&gt; """), TableEvaluation[Coefficient de pondération]))</totalsRowFormula>
    </tableColumn>
    <tableColumn id="8" xr3:uid="{7BA34BE7-4B78-40CC-B155-D71F2D484599}" name="Project 4" totalsRowFunction="custom" dataDxfId="52" totalsRowDxfId="51">
      <totalsRowFormula>SUM(SUMPRODUCT(SUMIFS(TableListCriteria[Points], TableListCriteria[Code], TableEvaluation[Code], TableListCriteria[Critere], TableEvaluation[Project 4], TableListCriteria[Critere], "&lt;&gt; """), TableEvaluation[Coefficient de pondération]))</totalsRowFormula>
    </tableColumn>
    <tableColumn id="5" xr3:uid="{B65975F9-8ACF-49BC-A98F-B6794AD38BEB}" name="Project 5" totalsRowFunction="custom" dataDxfId="50" totalsRowDxfId="49">
      <totalsRowFormula>SUM(SUMPRODUCT(SUMIFS(TableListCriteria[Points], TableListCriteria[Code], TableEvaluation[Code], TableListCriteria[Critere], TableEvaluation[Project 5], TableListCriteria[Critere], "&lt;&gt; """), TableEvaluation[Coefficient de pondération]))</totalsRowFormula>
    </tableColumn>
    <tableColumn id="4" xr3:uid="{775D3D23-7ACE-48A9-89ED-9F762BC50914}" name="Project 6" totalsRowFunction="custom" dataDxfId="48" totalsRowDxfId="47">
      <totalsRowFormula>SUM(SUMPRODUCT(SUMIFS(TableListCriteria[Points], TableListCriteria[Code], TableEvaluation[Code], TableListCriteria[Critere], TableEvaluation[Project 6], TableListCriteria[Critere], "&lt;&gt; """), TableEvaluation[Coefficient de pondération]))</totalsRowFormula>
    </tableColumn>
    <tableColumn id="15" xr3:uid="{3BA5480B-0004-4913-AA9D-F0F281737226}" name="Project 7" totalsRowFunction="custom" dataDxfId="46" totalsRowDxfId="45">
      <totalsRowFormula>SUM(SUMPRODUCT(SUMIFS(TableListCriteria[Points], TableListCriteria[Code], TableEvaluation[Code], TableListCriteria[Critere], TableEvaluation[Project 7], TableListCriteria[Critere], "&lt;&gt; """), TableEvaluation[Coefficient de pondération]))</totalsRowFormula>
    </tableColumn>
    <tableColumn id="11" xr3:uid="{A2B7EA11-51CA-422B-BCF1-58D7F86C2D7B}" name="Project 8" totalsRowFunction="custom" dataDxfId="44" totalsRowDxfId="43">
      <totalsRowFormula>SUM(SUMPRODUCT(SUMIFS(TableListCriteria[Points], TableListCriteria[Code], TableEvaluation[Code], TableListCriteria[Critere], TableEvaluation[Project 8], TableListCriteria[Critere], "&lt;&gt; """), TableEvaluation[Coefficient de pondération]))</totalsRowFormula>
    </tableColumn>
  </tableColumns>
  <tableStyleInfo name="BGDP"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6CF7B6-981C-4F36-A811-72ABF0C53095}" name="TableCoeffPonderation" displayName="TableCoeffPonderation" ref="F12:F16" totalsRowShown="0" headerRowDxfId="42" dataDxfId="41">
  <tableColumns count="1">
    <tableColumn id="1" xr3:uid="{1F9C8170-B81F-4FCE-8397-7DBF3EC9ACCB}" name="Coefficients de pondération" dataDxfId="4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5201D9-F4A6-4E4C-A487-6422E7CB8E1D}" name="TablePriority" displayName="TablePriority" ref="I13:K16" headerRowCount="0" totalsRowShown="0" headerRowDxfId="39" dataDxfId="38">
  <tableColumns count="3">
    <tableColumn id="1" xr3:uid="{6CD0A8DB-E266-4301-B7BB-4635364FB715}" name="Min" headerRowDxfId="37" dataDxfId="36"/>
    <tableColumn id="2" xr3:uid="{6617F07F-5144-4B2C-979B-D5E3B8DACEC8}" name="Priorité" headerRowDxfId="35" dataDxfId="34"/>
    <tableColumn id="3" xr3:uid="{327EDA5D-3793-42EA-BB43-D7904A580EFD}" name="Max" headerRowDxfId="33" dataDxfId="32">
      <calculatedColumnFormula>#REF!</calculatedColumnFormula>
    </tableColumn>
  </tableColumns>
  <tableStyleInfo name="BGDP"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DA0DA1-FC8C-4DFE-A37C-B2C60598476B}" name="TabLangue" displayName="TabLangue" ref="A1:B113" totalsRowShown="0" headerRowDxfId="28" dataDxfId="27">
  <autoFilter ref="A1:B113" xr:uid="{DFDA0DA1-FC8C-4DFE-A37C-B2C60598476B}"/>
  <sortState xmlns:xlrd2="http://schemas.microsoft.com/office/spreadsheetml/2017/richdata2" ref="A2:B49">
    <sortCondition ref="A1:A49"/>
  </sortState>
  <tableColumns count="2">
    <tableColumn id="1" xr3:uid="{D06F8F3D-7CC6-4FDB-A857-3792E16CD4A3}" name="Français" dataDxfId="26"/>
    <tableColumn id="2" xr3:uid="{AA101FCB-2416-4257-8B9E-D533A0C22797}" name="Anglais" dataDxfId="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C2538A-9BFE-494A-B578-55A1254CE32C}" name="TabLang" displayName="TabLang" ref="F1:F3" totalsRowShown="0">
  <autoFilter ref="F1:F3" xr:uid="{00C2538A-9BFE-494A-B578-55A1254CE32C}"/>
  <tableColumns count="1">
    <tableColumn id="1" xr3:uid="{468BA3D8-C866-45A6-862F-F4A750A94BAE}" name="Lang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5B45320-FDED-4402-83E2-9F3DF72E5F9C}" name="TableBECriteresSelection" displayName="TableBECriteresSelection" ref="I3:Y8" totalsRowShown="0" headerRowDxfId="24" dataDxfId="23">
  <autoFilter ref="I3:Y8" xr:uid="{C5B45320-FDED-4402-83E2-9F3DF72E5F9C}"/>
  <tableColumns count="17">
    <tableColumn id="1" xr3:uid="{3D90CA92-EDCF-48CE-BCF1-A807FBF5B077}" name="Points" dataDxfId="22"/>
    <tableColumn id="544" xr3:uid="{6652077E-4558-4399-94AE-E3DC9D0A3B54}" name="C1" dataDxfId="21"/>
    <tableColumn id="562" xr3:uid="{524BB7B3-F723-4898-80EB-A0806ABE349E}" name="C2" dataDxfId="20"/>
    <tableColumn id="563" xr3:uid="{01E820F8-DA75-4F39-91FE-C29528DE3B6A}" name="C3" dataDxfId="19"/>
    <tableColumn id="564" xr3:uid="{B0885F1C-D738-4DFD-8069-69E91CC262F4}" name="C4" dataDxfId="18"/>
    <tableColumn id="565" xr3:uid="{D6650039-0B33-43C2-A227-A404F4E32BCA}" name="C5" dataDxfId="17"/>
    <tableColumn id="566" xr3:uid="{86324596-706F-4ED5-A153-B52FAD819C95}" name="C6" dataDxfId="16"/>
    <tableColumn id="567" xr3:uid="{AE546496-7013-430E-AC99-E22945224DFF}" name="C7" dataDxfId="15"/>
    <tableColumn id="568" xr3:uid="{685A870C-8475-4B47-A1F9-DC9E0D89ECF5}" name="C8" dataDxfId="14"/>
    <tableColumn id="569" xr3:uid="{039C87C6-0C83-4B36-A670-56A3A134AE47}" name="C9" dataDxfId="13"/>
    <tableColumn id="570" xr3:uid="{39BC712B-9DD5-46E8-8D72-9D079FC59009}" name="C10" dataDxfId="12"/>
    <tableColumn id="571" xr3:uid="{8BC46B73-733F-4FB0-82F7-F07E97EF2160}" name="C11" dataDxfId="11"/>
    <tableColumn id="572" xr3:uid="{322005D7-EFC4-45B2-AEA8-87468810E74A}" name="C12" dataDxfId="10"/>
    <tableColumn id="573" xr3:uid="{9284EF9B-07F2-4E0F-93DD-6814CD062BCA}" name="C13" dataDxfId="9"/>
    <tableColumn id="574" xr3:uid="{E6CC2477-718C-41E9-A39A-6C561037833F}" name="C14" dataDxfId="8"/>
    <tableColumn id="575" xr3:uid="{F01EDD25-7C2D-40F3-8D18-FCF01EE5C32A}" name="C15" dataDxfId="7"/>
    <tableColumn id="576" xr3:uid="{1445C745-5390-42D1-AC3B-FB46907C18AA}" name="C16" dataDxfId="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B4E6D0-63AD-42D2-94ED-538F278E8705}" name="TableListCriteria" displayName="TableListCriteria" ref="C3:E122" totalsRowShown="0" headerRowDxfId="5" dataDxfId="4" tableBorderDxfId="3">
  <autoFilter ref="C3:E122" xr:uid="{FCB4E6D0-63AD-42D2-94ED-538F278E8705}"/>
  <tableColumns count="3">
    <tableColumn id="1" xr3:uid="{744CF595-38F0-49BB-AC31-E208D702B94D}" name="Code" dataDxfId="2"/>
    <tableColumn id="2" xr3:uid="{560F0FC8-1B19-4BBF-8ABC-58B282512354}" name="Points" dataDxfId="1"/>
    <tableColumn id="3" xr3:uid="{64571521-DB83-4CA4-86F6-2203B513DD5D}" name="Criter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D045C-7B68-49AB-A342-30A35DB5995B}">
  <sheetPr codeName="ShGuide">
    <tabColor theme="5" tint="0.39997558519241921"/>
  </sheetPr>
  <dimension ref="B1:S275"/>
  <sheetViews>
    <sheetView showGridLines="0" workbookViewId="0">
      <selection activeCell="D6" sqref="D6"/>
    </sheetView>
  </sheetViews>
  <sheetFormatPr defaultColWidth="8.88671875" defaultRowHeight="14.4" x14ac:dyDescent="0.3"/>
  <cols>
    <col min="1" max="1" width="4.33203125" customWidth="1"/>
    <col min="2" max="2" width="2.44140625" hidden="1" customWidth="1"/>
    <col min="3" max="3" width="10.33203125" customWidth="1"/>
    <col min="4" max="4" width="51.33203125" customWidth="1"/>
    <col min="5" max="9" width="18.5546875" customWidth="1"/>
    <col min="10" max="10" width="15.88671875" customWidth="1"/>
    <col min="11" max="11" width="10.88671875" customWidth="1"/>
    <col min="12" max="12" width="11.109375" customWidth="1"/>
    <col min="13" max="13" width="7.88671875" customWidth="1"/>
  </cols>
  <sheetData>
    <row r="1" spans="3:14" ht="19.95" customHeight="1" x14ac:dyDescent="0.3">
      <c r="G1" s="90" t="s">
        <v>127</v>
      </c>
      <c r="H1" s="90"/>
      <c r="I1" s="91">
        <v>44893</v>
      </c>
      <c r="J1" s="91"/>
    </row>
    <row r="2" spans="3:14" ht="14.4" hidden="1" customHeight="1" x14ac:dyDescent="0.3">
      <c r="G2" s="20"/>
      <c r="H2" s="20"/>
      <c r="I2" s="21"/>
      <c r="J2" s="22"/>
    </row>
    <row r="3" spans="3:14" ht="19.95" customHeight="1" x14ac:dyDescent="0.3">
      <c r="G3" s="90" t="s">
        <v>128</v>
      </c>
      <c r="H3" s="90"/>
      <c r="I3" s="91"/>
      <c r="J3" s="91"/>
    </row>
    <row r="4" spans="3:14" ht="14.4" hidden="1" customHeight="1" x14ac:dyDescent="0.3">
      <c r="G4" s="20"/>
      <c r="H4" s="20"/>
      <c r="I4" s="21"/>
      <c r="J4" s="23"/>
    </row>
    <row r="5" spans="3:14" ht="19.95" customHeight="1" thickBot="1" x14ac:dyDescent="0.35">
      <c r="G5" s="92" t="s">
        <v>129</v>
      </c>
      <c r="H5" s="92"/>
      <c r="I5" s="93" t="s">
        <v>130</v>
      </c>
      <c r="J5" s="93"/>
    </row>
    <row r="6" spans="3:14" ht="28.2" customHeight="1" thickTop="1" thickBot="1" x14ac:dyDescent="0.35">
      <c r="C6" s="19"/>
      <c r="D6" s="33" t="s">
        <v>204</v>
      </c>
      <c r="E6" s="19"/>
      <c r="F6" s="19"/>
      <c r="G6" s="19"/>
      <c r="H6" s="19"/>
      <c r="I6" s="19"/>
      <c r="J6" s="19"/>
    </row>
    <row r="7" spans="3:14" ht="15" thickTop="1" x14ac:dyDescent="0.3">
      <c r="H7" s="28"/>
      <c r="I7" s="28"/>
      <c r="J7" s="29"/>
    </row>
    <row r="8" spans="3:14" ht="25.8" hidden="1" x14ac:dyDescent="0.3">
      <c r="E8" s="26"/>
      <c r="F8" s="26"/>
      <c r="G8" s="26"/>
      <c r="H8" s="32"/>
      <c r="I8" s="32"/>
      <c r="J8" s="32"/>
      <c r="K8" s="26"/>
      <c r="L8" s="26"/>
      <c r="M8" s="26"/>
      <c r="N8" s="26"/>
    </row>
    <row r="9" spans="3:14" ht="25.95" hidden="1" customHeight="1" x14ac:dyDescent="0.3">
      <c r="G9" s="27"/>
      <c r="H9" s="30"/>
      <c r="I9" s="31"/>
      <c r="J9" s="31"/>
      <c r="K9" s="26"/>
      <c r="L9" s="26"/>
      <c r="M9" s="26"/>
      <c r="N9" s="26"/>
    </row>
    <row r="10" spans="3:14" ht="9.6" customHeight="1" x14ac:dyDescent="0.3">
      <c r="J10" s="29"/>
      <c r="K10" s="26"/>
      <c r="L10" s="26"/>
      <c r="M10" s="26"/>
      <c r="N10" s="26"/>
    </row>
    <row r="11" spans="3:14" ht="9.6" customHeight="1" x14ac:dyDescent="0.3">
      <c r="J11" s="29"/>
      <c r="K11" s="26"/>
      <c r="L11" s="26"/>
      <c r="M11" s="26"/>
      <c r="N11" s="26"/>
    </row>
    <row r="12" spans="3:14" ht="9.6" customHeight="1" x14ac:dyDescent="0.3">
      <c r="J12" s="29"/>
      <c r="K12" s="26"/>
      <c r="L12" s="26"/>
      <c r="M12" s="26"/>
      <c r="N12" s="26"/>
    </row>
    <row r="13" spans="3:14" ht="18" x14ac:dyDescent="0.3">
      <c r="C13" s="40" t="s">
        <v>135</v>
      </c>
    </row>
    <row r="14" spans="3:14" ht="15.6" x14ac:dyDescent="0.3">
      <c r="C14" s="41" t="s">
        <v>136</v>
      </c>
    </row>
    <row r="15" spans="3:14" x14ac:dyDescent="0.3">
      <c r="C15" s="42"/>
    </row>
    <row r="16" spans="3:14" x14ac:dyDescent="0.3">
      <c r="C16" s="42"/>
    </row>
    <row r="17" spans="3:19" x14ac:dyDescent="0.3">
      <c r="C17" s="42"/>
    </row>
    <row r="18" spans="3:19" x14ac:dyDescent="0.3">
      <c r="C18" s="42"/>
    </row>
    <row r="19" spans="3:19" x14ac:dyDescent="0.3">
      <c r="C19" s="42"/>
    </row>
    <row r="24" spans="3:19" ht="18" x14ac:dyDescent="0.35">
      <c r="C24" s="43" t="s">
        <v>137</v>
      </c>
      <c r="D24" s="44"/>
      <c r="E24" s="44"/>
      <c r="F24" s="44"/>
      <c r="G24" s="44"/>
      <c r="H24" s="44"/>
      <c r="I24" s="44"/>
      <c r="J24" s="44"/>
      <c r="K24" s="44"/>
      <c r="L24" s="44"/>
    </row>
    <row r="25" spans="3:19" ht="33" customHeight="1" x14ac:dyDescent="0.3">
      <c r="C25" s="94" t="s">
        <v>138</v>
      </c>
      <c r="D25" s="94"/>
      <c r="E25" s="94"/>
      <c r="F25" s="94"/>
      <c r="G25" s="94"/>
      <c r="H25" s="94"/>
      <c r="I25" s="94"/>
      <c r="J25" s="94"/>
      <c r="K25" s="94"/>
      <c r="L25" s="94"/>
    </row>
    <row r="32" spans="3:19" ht="21" x14ac:dyDescent="0.3">
      <c r="C32" s="45" t="s">
        <v>139</v>
      </c>
      <c r="D32" s="46"/>
      <c r="E32" s="46"/>
      <c r="F32" s="46"/>
      <c r="G32" s="46"/>
      <c r="H32" s="46"/>
      <c r="I32" s="46"/>
      <c r="J32" s="46"/>
      <c r="K32" s="46"/>
      <c r="L32" s="46"/>
      <c r="M32" s="46"/>
      <c r="N32" s="46"/>
      <c r="O32" s="46"/>
      <c r="P32" s="47"/>
      <c r="Q32" s="47"/>
      <c r="R32" s="47"/>
      <c r="S32" s="47"/>
    </row>
    <row r="33" spans="3:15" ht="18" x14ac:dyDescent="0.3">
      <c r="C33" s="48" t="s">
        <v>140</v>
      </c>
      <c r="D33" s="46"/>
      <c r="E33" s="46"/>
      <c r="F33" s="46"/>
      <c r="G33" s="46"/>
      <c r="H33" s="46"/>
      <c r="I33" s="46"/>
      <c r="J33" s="46"/>
      <c r="K33" s="46"/>
      <c r="L33" s="46"/>
      <c r="M33" s="46"/>
      <c r="N33" s="46"/>
      <c r="O33" s="46"/>
    </row>
    <row r="34" spans="3:15" ht="15.6" x14ac:dyDescent="0.3">
      <c r="C34" s="95" t="s">
        <v>141</v>
      </c>
      <c r="D34" s="95"/>
      <c r="E34" s="95"/>
      <c r="F34" s="95"/>
      <c r="G34" s="95"/>
      <c r="H34" s="95"/>
      <c r="I34" s="95"/>
      <c r="J34" s="95"/>
      <c r="K34" s="95"/>
      <c r="L34" s="95"/>
      <c r="M34" s="95"/>
      <c r="N34" s="95"/>
      <c r="O34" s="95"/>
    </row>
    <row r="35" spans="3:15" ht="15.6" x14ac:dyDescent="0.3">
      <c r="C35" s="95" t="s">
        <v>142</v>
      </c>
      <c r="D35" s="95"/>
      <c r="E35" s="95"/>
      <c r="F35" s="95"/>
      <c r="G35" s="95"/>
      <c r="H35" s="95"/>
      <c r="I35" s="95"/>
      <c r="J35" s="95"/>
      <c r="K35" s="95"/>
      <c r="L35" s="95"/>
      <c r="M35" s="95"/>
      <c r="N35" s="95"/>
      <c r="O35" s="95"/>
    </row>
    <row r="36" spans="3:15" ht="15.6" x14ac:dyDescent="0.3">
      <c r="C36" s="50"/>
      <c r="D36" s="49"/>
      <c r="E36" s="49"/>
      <c r="F36" s="49"/>
      <c r="G36" s="49"/>
      <c r="H36" s="49"/>
      <c r="I36" s="49"/>
      <c r="J36" s="49"/>
      <c r="K36" s="49"/>
      <c r="L36" s="49"/>
      <c r="M36" s="49"/>
      <c r="N36" s="49"/>
      <c r="O36" s="49"/>
    </row>
    <row r="37" spans="3:15" ht="15.6" x14ac:dyDescent="0.3">
      <c r="C37" s="50"/>
      <c r="D37" s="49"/>
      <c r="E37" s="49"/>
      <c r="F37" s="49"/>
      <c r="G37" s="49"/>
      <c r="H37" s="49"/>
      <c r="I37" s="49"/>
      <c r="J37" s="49"/>
      <c r="K37" s="49"/>
      <c r="L37" s="49"/>
      <c r="M37" s="49"/>
      <c r="N37" s="49"/>
      <c r="O37" s="49"/>
    </row>
    <row r="38" spans="3:15" ht="15.6" x14ac:dyDescent="0.3">
      <c r="C38" s="50"/>
      <c r="D38" s="49"/>
      <c r="E38" s="49"/>
      <c r="F38" s="49"/>
      <c r="G38" s="49"/>
      <c r="H38" s="49"/>
      <c r="I38" s="49"/>
      <c r="J38" s="49"/>
      <c r="K38" s="49"/>
      <c r="L38" s="49"/>
      <c r="M38" s="49"/>
      <c r="N38" s="49"/>
      <c r="O38" s="49"/>
    </row>
    <row r="39" spans="3:15" ht="15.6" x14ac:dyDescent="0.3">
      <c r="C39" s="50"/>
      <c r="D39" s="49"/>
      <c r="E39" s="49"/>
      <c r="F39" s="49"/>
      <c r="G39" s="49"/>
      <c r="H39" s="49"/>
      <c r="I39" s="49"/>
      <c r="J39" s="49"/>
      <c r="K39" s="49"/>
      <c r="L39" s="49"/>
      <c r="M39" s="49"/>
      <c r="N39" s="49"/>
      <c r="O39" s="49"/>
    </row>
    <row r="40" spans="3:15" ht="15.6" x14ac:dyDescent="0.3">
      <c r="C40" s="50"/>
      <c r="D40" s="49"/>
      <c r="E40" s="49"/>
      <c r="F40" s="49"/>
      <c r="G40" s="49"/>
      <c r="H40" s="49"/>
      <c r="I40" s="49"/>
      <c r="J40" s="49"/>
      <c r="K40" s="49"/>
      <c r="L40" s="49"/>
      <c r="M40" s="49"/>
      <c r="N40" s="49"/>
      <c r="O40" s="49"/>
    </row>
    <row r="41" spans="3:15" ht="15.6" x14ac:dyDescent="0.3">
      <c r="C41" s="50"/>
      <c r="D41" s="49"/>
      <c r="E41" s="49"/>
      <c r="F41" s="49"/>
      <c r="G41" s="49"/>
      <c r="H41" s="49"/>
      <c r="I41" s="49"/>
      <c r="J41" s="49"/>
      <c r="K41" s="49"/>
      <c r="L41" s="49"/>
      <c r="M41" s="49"/>
      <c r="N41" s="49"/>
      <c r="O41" s="49"/>
    </row>
    <row r="42" spans="3:15" ht="15.6" x14ac:dyDescent="0.3">
      <c r="C42" s="50"/>
      <c r="D42" s="49"/>
      <c r="E42" s="49"/>
      <c r="F42" s="49"/>
      <c r="G42" s="49"/>
      <c r="H42" s="49"/>
      <c r="I42" s="49"/>
      <c r="J42" s="49"/>
      <c r="K42" s="49"/>
      <c r="L42" s="49"/>
      <c r="M42" s="49"/>
      <c r="N42" s="49"/>
      <c r="O42" s="49"/>
    </row>
    <row r="43" spans="3:15" ht="15.6" x14ac:dyDescent="0.3">
      <c r="C43" s="50"/>
      <c r="D43" s="49"/>
      <c r="E43" s="49"/>
      <c r="F43" s="49"/>
      <c r="G43" s="49"/>
      <c r="H43" s="49"/>
      <c r="I43" s="49"/>
      <c r="J43" s="49"/>
      <c r="K43" s="49"/>
      <c r="L43" s="49"/>
      <c r="M43" s="49"/>
      <c r="N43" s="49"/>
      <c r="O43" s="49"/>
    </row>
    <row r="44" spans="3:15" ht="15.6" x14ac:dyDescent="0.3">
      <c r="C44" s="50"/>
      <c r="D44" s="49"/>
      <c r="E44" s="49"/>
      <c r="F44" s="49"/>
      <c r="G44" s="49"/>
      <c r="H44" s="49"/>
      <c r="I44" s="49"/>
      <c r="J44" s="49"/>
      <c r="K44" s="49"/>
      <c r="L44" s="49"/>
      <c r="M44" s="49"/>
      <c r="N44" s="49"/>
      <c r="O44" s="49"/>
    </row>
    <row r="45" spans="3:15" ht="15.6" x14ac:dyDescent="0.3">
      <c r="C45" s="50"/>
      <c r="D45" s="49"/>
      <c r="E45" s="49"/>
      <c r="F45" s="49"/>
      <c r="G45" s="49"/>
      <c r="H45" s="49"/>
      <c r="I45" s="49"/>
      <c r="J45" s="49"/>
      <c r="K45" s="49"/>
      <c r="L45" s="49"/>
      <c r="M45" s="49"/>
      <c r="N45" s="49"/>
      <c r="O45" s="49"/>
    </row>
    <row r="46" spans="3:15" ht="15.6" x14ac:dyDescent="0.3">
      <c r="C46" s="50"/>
      <c r="D46" s="49"/>
      <c r="E46" s="49"/>
      <c r="F46" s="49"/>
      <c r="G46" s="49"/>
      <c r="H46" s="49"/>
      <c r="I46" s="49"/>
      <c r="J46" s="49"/>
      <c r="K46" s="49"/>
      <c r="L46" s="49"/>
      <c r="M46" s="49"/>
      <c r="N46" s="49"/>
      <c r="O46" s="49"/>
    </row>
    <row r="47" spans="3:15" ht="15.6" x14ac:dyDescent="0.3">
      <c r="C47" s="50"/>
      <c r="D47" s="49"/>
      <c r="E47" s="49"/>
      <c r="F47" s="49"/>
      <c r="G47" s="49"/>
      <c r="H47" s="49"/>
      <c r="I47" s="49"/>
      <c r="J47" s="49"/>
      <c r="K47" s="49"/>
      <c r="L47" s="49"/>
      <c r="M47" s="49"/>
      <c r="N47" s="49"/>
      <c r="O47" s="49"/>
    </row>
    <row r="48" spans="3:15" ht="15.6" x14ac:dyDescent="0.3">
      <c r="C48" s="50" t="s">
        <v>143</v>
      </c>
      <c r="D48" s="49"/>
      <c r="E48" s="49"/>
      <c r="F48" s="49"/>
      <c r="G48" s="49"/>
      <c r="H48" s="49"/>
      <c r="I48" s="49"/>
      <c r="J48" s="49"/>
      <c r="K48" s="49"/>
      <c r="L48" s="49"/>
      <c r="M48" s="49"/>
      <c r="N48" s="49"/>
      <c r="O48" s="49"/>
    </row>
    <row r="49" spans="3:15" ht="15.6" x14ac:dyDescent="0.3">
      <c r="C49" s="50" t="s">
        <v>144</v>
      </c>
      <c r="D49" s="49"/>
      <c r="E49" s="49"/>
      <c r="F49" s="49"/>
      <c r="G49" s="49"/>
      <c r="H49" s="49"/>
      <c r="I49" s="49"/>
      <c r="J49" s="49"/>
      <c r="K49" s="49"/>
      <c r="L49" s="49"/>
      <c r="M49" s="49"/>
      <c r="N49" s="49"/>
      <c r="O49" s="49"/>
    </row>
    <row r="50" spans="3:15" ht="15.6" x14ac:dyDescent="0.3">
      <c r="C50" s="50"/>
      <c r="D50" s="49"/>
      <c r="E50" s="49"/>
      <c r="F50" s="49"/>
      <c r="G50" s="49"/>
      <c r="H50" s="49"/>
      <c r="I50" s="49"/>
      <c r="J50" s="49"/>
      <c r="K50" s="49"/>
      <c r="L50" s="49"/>
      <c r="M50" s="49"/>
      <c r="N50" s="49"/>
      <c r="O50" s="49"/>
    </row>
    <row r="51" spans="3:15" ht="15.6" x14ac:dyDescent="0.3">
      <c r="C51" s="50"/>
      <c r="D51" s="49"/>
      <c r="E51" s="49"/>
      <c r="F51" s="49"/>
      <c r="G51" s="49"/>
      <c r="H51" s="49"/>
      <c r="I51" s="49"/>
      <c r="J51" s="49"/>
      <c r="K51" s="49"/>
      <c r="L51" s="49"/>
      <c r="M51" s="49"/>
      <c r="N51" s="49"/>
      <c r="O51" s="49"/>
    </row>
    <row r="52" spans="3:15" ht="15.6" x14ac:dyDescent="0.3">
      <c r="C52" s="50"/>
      <c r="D52" s="49"/>
      <c r="E52" s="49"/>
      <c r="F52" s="49"/>
      <c r="G52" s="49"/>
      <c r="H52" s="49"/>
      <c r="I52" s="49"/>
      <c r="J52" s="49"/>
      <c r="K52" s="49"/>
      <c r="L52" s="49"/>
      <c r="M52" s="49"/>
      <c r="N52" s="49"/>
      <c r="O52" s="49"/>
    </row>
    <row r="53" spans="3:15" ht="15.6" x14ac:dyDescent="0.3">
      <c r="C53" s="50"/>
      <c r="D53" s="49"/>
      <c r="E53" s="49"/>
      <c r="F53" s="49"/>
      <c r="G53" s="49"/>
      <c r="H53" s="49"/>
      <c r="I53" s="49"/>
      <c r="J53" s="49"/>
      <c r="K53" s="49"/>
      <c r="L53" s="49"/>
      <c r="M53" s="49"/>
      <c r="N53" s="49"/>
      <c r="O53" s="49"/>
    </row>
    <row r="54" spans="3:15" ht="15.6" x14ac:dyDescent="0.3">
      <c r="C54" s="50"/>
      <c r="D54" s="49"/>
      <c r="E54" s="49"/>
      <c r="F54" s="49"/>
      <c r="G54" s="49"/>
      <c r="H54" s="49"/>
      <c r="I54" s="49"/>
      <c r="J54" s="49"/>
      <c r="K54" s="49"/>
      <c r="L54" s="49"/>
      <c r="M54" s="49"/>
      <c r="N54" s="49"/>
      <c r="O54" s="49"/>
    </row>
    <row r="55" spans="3:15" ht="15.6" x14ac:dyDescent="0.3">
      <c r="C55" s="50"/>
      <c r="D55" s="49"/>
      <c r="E55" s="49"/>
      <c r="F55" s="49"/>
      <c r="G55" s="49"/>
      <c r="H55" s="49"/>
      <c r="I55" s="49"/>
      <c r="J55" s="49"/>
      <c r="K55" s="49"/>
      <c r="L55" s="49"/>
      <c r="M55" s="49"/>
      <c r="N55" s="49"/>
      <c r="O55" s="49"/>
    </row>
    <row r="56" spans="3:15" ht="15.6" x14ac:dyDescent="0.3">
      <c r="C56" s="50"/>
      <c r="D56" s="49"/>
      <c r="E56" s="49"/>
      <c r="F56" s="49"/>
      <c r="G56" s="49"/>
      <c r="H56" s="49"/>
      <c r="I56" s="49"/>
      <c r="J56" s="49"/>
      <c r="K56" s="49"/>
      <c r="L56" s="49"/>
      <c r="M56" s="49"/>
      <c r="N56" s="49"/>
      <c r="O56" s="49"/>
    </row>
    <row r="57" spans="3:15" ht="15.6" x14ac:dyDescent="0.3">
      <c r="C57" s="50"/>
      <c r="D57" s="49"/>
      <c r="E57" s="49"/>
      <c r="F57" s="49"/>
      <c r="G57" s="49"/>
      <c r="H57" s="49"/>
      <c r="I57" s="49"/>
      <c r="J57" s="49"/>
      <c r="K57" s="49"/>
      <c r="L57" s="49"/>
      <c r="M57" s="49"/>
      <c r="N57" s="49"/>
      <c r="O57" s="49"/>
    </row>
    <row r="58" spans="3:15" ht="15.6" x14ac:dyDescent="0.3">
      <c r="C58" s="50"/>
      <c r="D58" s="49"/>
      <c r="E58" s="49"/>
      <c r="F58" s="49"/>
      <c r="G58" s="49"/>
      <c r="H58" s="49"/>
      <c r="I58" s="49"/>
      <c r="J58" s="49"/>
      <c r="K58" s="49"/>
      <c r="L58" s="49"/>
      <c r="M58" s="49"/>
      <c r="N58" s="49"/>
      <c r="O58" s="49"/>
    </row>
    <row r="59" spans="3:15" ht="15.6" x14ac:dyDescent="0.3">
      <c r="C59" s="50"/>
      <c r="D59" s="49"/>
      <c r="E59" s="49"/>
      <c r="F59" s="49"/>
      <c r="G59" s="49"/>
      <c r="H59" s="49"/>
      <c r="I59" s="49"/>
      <c r="J59" s="49"/>
      <c r="K59" s="49"/>
      <c r="L59" s="49"/>
      <c r="M59" s="49"/>
      <c r="N59" s="49"/>
      <c r="O59" s="49"/>
    </row>
    <row r="60" spans="3:15" ht="15.6" x14ac:dyDescent="0.3">
      <c r="C60" s="50"/>
      <c r="D60" s="49"/>
      <c r="E60" s="49"/>
      <c r="F60" s="49"/>
      <c r="G60" s="49"/>
      <c r="H60" s="49"/>
      <c r="I60" s="49"/>
      <c r="J60" s="49"/>
      <c r="K60" s="49"/>
      <c r="L60" s="49"/>
      <c r="M60" s="49"/>
      <c r="N60" s="49"/>
      <c r="O60" s="49"/>
    </row>
    <row r="61" spans="3:15" ht="15.6" x14ac:dyDescent="0.3">
      <c r="C61" s="50" t="s">
        <v>145</v>
      </c>
      <c r="D61" s="49"/>
      <c r="E61" s="49"/>
      <c r="F61" s="49"/>
      <c r="G61" s="49"/>
      <c r="H61" s="49"/>
      <c r="I61" s="49"/>
      <c r="J61" s="49"/>
      <c r="K61" s="49"/>
      <c r="L61" s="49"/>
      <c r="M61" s="49"/>
      <c r="N61" s="49"/>
      <c r="O61" s="49"/>
    </row>
    <row r="62" spans="3:15" ht="15.6" x14ac:dyDescent="0.3">
      <c r="C62" s="50"/>
      <c r="D62" s="49"/>
      <c r="E62" s="49"/>
      <c r="F62" s="49"/>
      <c r="G62" s="49"/>
      <c r="H62" s="49"/>
      <c r="I62" s="49"/>
      <c r="J62" s="49"/>
      <c r="K62" s="49"/>
      <c r="L62" s="49"/>
      <c r="M62" s="49"/>
      <c r="N62" s="49"/>
      <c r="O62" s="49"/>
    </row>
    <row r="63" spans="3:15" ht="15.6" x14ac:dyDescent="0.3">
      <c r="C63" s="50"/>
      <c r="D63" s="49"/>
      <c r="E63" s="49"/>
      <c r="F63" s="49"/>
      <c r="G63" s="49"/>
      <c r="H63" s="49"/>
      <c r="I63" s="49"/>
      <c r="J63" s="49"/>
      <c r="K63" s="49"/>
      <c r="L63" s="49"/>
      <c r="M63" s="49"/>
      <c r="N63" s="49"/>
      <c r="O63" s="49"/>
    </row>
    <row r="64" spans="3:15" ht="15.6" x14ac:dyDescent="0.3">
      <c r="C64" s="50"/>
      <c r="D64" s="49"/>
      <c r="E64" s="49"/>
      <c r="F64" s="49"/>
      <c r="G64" s="49"/>
      <c r="H64" s="49"/>
      <c r="I64" s="49"/>
      <c r="J64" s="49"/>
      <c r="K64" s="49"/>
      <c r="L64" s="49"/>
      <c r="M64" s="49"/>
      <c r="N64" s="49"/>
      <c r="O64" s="49"/>
    </row>
    <row r="65" spans="3:15" ht="15.6" x14ac:dyDescent="0.3">
      <c r="C65" s="50"/>
      <c r="D65" s="49"/>
      <c r="E65" s="49"/>
      <c r="F65" s="49"/>
      <c r="G65" s="49"/>
      <c r="H65" s="49"/>
      <c r="I65" s="49"/>
      <c r="J65" s="49"/>
      <c r="K65" s="49"/>
      <c r="L65" s="49"/>
      <c r="M65" s="49"/>
      <c r="N65" s="49"/>
      <c r="O65" s="49"/>
    </row>
    <row r="66" spans="3:15" ht="15.6" x14ac:dyDescent="0.3">
      <c r="C66" s="50"/>
      <c r="D66" s="49"/>
      <c r="E66" s="49"/>
      <c r="F66" s="49"/>
      <c r="G66" s="49"/>
      <c r="H66" s="49"/>
      <c r="I66" s="49"/>
      <c r="J66" s="49"/>
      <c r="K66" s="49"/>
      <c r="L66" s="49"/>
      <c r="M66" s="49"/>
      <c r="N66" s="49"/>
      <c r="O66" s="49"/>
    </row>
    <row r="67" spans="3:15" ht="15.6" x14ac:dyDescent="0.3">
      <c r="C67" s="50"/>
      <c r="D67" s="49"/>
      <c r="E67" s="49"/>
      <c r="F67" s="49"/>
      <c r="G67" s="49"/>
      <c r="H67" s="49"/>
      <c r="I67" s="49"/>
      <c r="J67" s="49"/>
      <c r="K67" s="49"/>
      <c r="L67" s="49"/>
      <c r="M67" s="49"/>
      <c r="N67" s="49"/>
      <c r="O67" s="49"/>
    </row>
    <row r="68" spans="3:15" ht="15.6" x14ac:dyDescent="0.3">
      <c r="C68" s="50"/>
      <c r="D68" s="49"/>
      <c r="E68" s="49"/>
      <c r="F68" s="49"/>
      <c r="G68" s="49"/>
      <c r="H68" s="49"/>
      <c r="I68" s="49"/>
      <c r="J68" s="49"/>
      <c r="K68" s="49"/>
      <c r="L68" s="49"/>
      <c r="M68" s="49"/>
      <c r="N68" s="49"/>
      <c r="O68" s="49"/>
    </row>
    <row r="69" spans="3:15" ht="15.6" x14ac:dyDescent="0.3">
      <c r="C69" s="50"/>
      <c r="D69" s="49"/>
      <c r="E69" s="49"/>
      <c r="F69" s="49"/>
      <c r="G69" s="49"/>
      <c r="H69" s="49"/>
      <c r="I69" s="49"/>
      <c r="J69" s="49"/>
      <c r="K69" s="49"/>
      <c r="L69" s="49"/>
      <c r="M69" s="49"/>
      <c r="N69" s="49"/>
      <c r="O69" s="49"/>
    </row>
    <row r="70" spans="3:15" ht="15.6" x14ac:dyDescent="0.3">
      <c r="C70" s="50"/>
      <c r="D70" s="49"/>
      <c r="E70" s="49"/>
      <c r="F70" s="49"/>
      <c r="G70" s="49"/>
      <c r="H70" s="49"/>
      <c r="I70" s="49"/>
      <c r="J70" s="49"/>
      <c r="K70" s="49"/>
      <c r="L70" s="49"/>
      <c r="M70" s="49"/>
      <c r="N70" s="49"/>
      <c r="O70" s="49"/>
    </row>
    <row r="71" spans="3:15" ht="15.6" x14ac:dyDescent="0.3">
      <c r="C71" s="50"/>
      <c r="D71" s="49"/>
      <c r="E71" s="49"/>
      <c r="F71" s="49"/>
      <c r="G71" s="49"/>
      <c r="H71" s="49"/>
      <c r="I71" s="49"/>
      <c r="J71" s="49"/>
      <c r="K71" s="49"/>
      <c r="L71" s="49"/>
      <c r="M71" s="49"/>
      <c r="N71" s="49"/>
      <c r="O71" s="49"/>
    </row>
    <row r="72" spans="3:15" ht="15.6" x14ac:dyDescent="0.3">
      <c r="C72" s="50"/>
      <c r="D72" s="49"/>
      <c r="E72" s="49"/>
      <c r="F72" s="49"/>
      <c r="G72" s="49"/>
      <c r="H72" s="49"/>
      <c r="I72" s="49"/>
      <c r="J72" s="49"/>
      <c r="K72" s="49"/>
      <c r="L72" s="49"/>
      <c r="M72" s="49"/>
      <c r="N72" s="49"/>
      <c r="O72" s="49"/>
    </row>
    <row r="73" spans="3:15" ht="15.6" x14ac:dyDescent="0.3">
      <c r="C73" s="50"/>
      <c r="D73" s="49"/>
      <c r="E73" s="49"/>
      <c r="F73" s="49"/>
      <c r="G73" s="49"/>
      <c r="H73" s="49"/>
      <c r="I73" s="49"/>
      <c r="J73" s="49"/>
      <c r="K73" s="49"/>
      <c r="L73" s="49"/>
      <c r="M73" s="49"/>
      <c r="N73" s="49"/>
      <c r="O73" s="49"/>
    </row>
    <row r="74" spans="3:15" ht="15.6" x14ac:dyDescent="0.3">
      <c r="C74" s="50"/>
      <c r="D74" s="49"/>
      <c r="E74" s="49"/>
      <c r="F74" s="49"/>
      <c r="G74" s="49"/>
      <c r="H74" s="49"/>
      <c r="I74" s="49"/>
      <c r="J74" s="49"/>
      <c r="K74" s="49"/>
      <c r="L74" s="49"/>
      <c r="M74" s="49"/>
      <c r="N74" s="49"/>
      <c r="O74" s="49"/>
    </row>
    <row r="75" spans="3:15" ht="15.6" x14ac:dyDescent="0.3">
      <c r="C75" s="50"/>
      <c r="D75" s="49"/>
      <c r="E75" s="49"/>
      <c r="F75" s="49"/>
      <c r="G75" s="49"/>
      <c r="H75" s="49"/>
      <c r="I75" s="49"/>
      <c r="J75" s="49"/>
      <c r="K75" s="49"/>
      <c r="L75" s="49"/>
      <c r="M75" s="49"/>
      <c r="N75" s="49"/>
      <c r="O75" s="49"/>
    </row>
    <row r="76" spans="3:15" ht="15.6" x14ac:dyDescent="0.3">
      <c r="C76" s="50"/>
      <c r="D76" s="49"/>
      <c r="E76" s="49"/>
      <c r="F76" s="49"/>
      <c r="G76" s="49"/>
      <c r="H76" s="49"/>
      <c r="I76" s="49"/>
      <c r="J76" s="49"/>
      <c r="K76" s="49"/>
      <c r="L76" s="49"/>
      <c r="M76" s="49"/>
      <c r="N76" s="49"/>
      <c r="O76" s="49"/>
    </row>
    <row r="77" spans="3:15" ht="15.6" x14ac:dyDescent="0.3">
      <c r="C77" s="50"/>
      <c r="D77" s="49"/>
      <c r="E77" s="49"/>
      <c r="F77" s="49"/>
      <c r="G77" s="49"/>
      <c r="H77" s="49"/>
      <c r="I77" s="49"/>
      <c r="J77" s="49"/>
      <c r="K77" s="49"/>
      <c r="L77" s="49"/>
      <c r="M77" s="49"/>
      <c r="N77" s="49"/>
      <c r="O77" s="49"/>
    </row>
    <row r="78" spans="3:15" ht="15.6" x14ac:dyDescent="0.3">
      <c r="C78" s="50"/>
      <c r="D78" s="49"/>
      <c r="E78" s="49"/>
      <c r="F78" s="49"/>
      <c r="G78" s="49"/>
      <c r="H78" s="49"/>
      <c r="I78" s="49"/>
      <c r="J78" s="49"/>
      <c r="K78" s="49"/>
      <c r="L78" s="49"/>
      <c r="M78" s="49"/>
      <c r="N78" s="49"/>
      <c r="O78" s="49"/>
    </row>
    <row r="79" spans="3:15" ht="15.6" x14ac:dyDescent="0.3">
      <c r="C79" s="50"/>
      <c r="D79" s="49"/>
      <c r="E79" s="49"/>
      <c r="F79" s="49"/>
      <c r="G79" s="49"/>
      <c r="H79" s="49"/>
      <c r="I79" s="49"/>
      <c r="J79" s="49"/>
      <c r="K79" s="49"/>
      <c r="L79" s="49"/>
      <c r="M79" s="49"/>
      <c r="N79" s="49"/>
      <c r="O79" s="49"/>
    </row>
    <row r="80" spans="3:15" ht="15.6" x14ac:dyDescent="0.3">
      <c r="C80" s="50"/>
      <c r="D80" s="49"/>
      <c r="E80" s="49"/>
      <c r="F80" s="49"/>
      <c r="G80" s="49"/>
      <c r="H80" s="49"/>
      <c r="I80" s="49"/>
      <c r="J80" s="49"/>
      <c r="K80" s="49"/>
      <c r="L80" s="49"/>
      <c r="M80" s="49"/>
      <c r="N80" s="49"/>
      <c r="O80" s="49"/>
    </row>
    <row r="81" spans="3:15" ht="15.6" x14ac:dyDescent="0.3">
      <c r="C81" s="50"/>
      <c r="D81" s="49"/>
      <c r="E81" s="49"/>
      <c r="F81" s="49"/>
      <c r="G81" s="49"/>
      <c r="H81" s="49"/>
      <c r="I81" s="49"/>
      <c r="J81" s="49"/>
      <c r="K81" s="49"/>
      <c r="L81" s="49"/>
      <c r="M81" s="49"/>
      <c r="N81" s="49"/>
      <c r="O81" s="49"/>
    </row>
    <row r="82" spans="3:15" ht="15.6" x14ac:dyDescent="0.3">
      <c r="C82" s="50"/>
      <c r="D82" s="49"/>
      <c r="E82" s="49"/>
      <c r="F82" s="49"/>
      <c r="G82" s="49"/>
      <c r="H82" s="49"/>
      <c r="I82" s="49"/>
      <c r="J82" s="49"/>
      <c r="K82" s="49"/>
      <c r="L82" s="49"/>
      <c r="M82" s="49"/>
      <c r="N82" s="49"/>
      <c r="O82" s="49"/>
    </row>
    <row r="83" spans="3:15" ht="15.6" x14ac:dyDescent="0.3">
      <c r="C83" s="50"/>
      <c r="D83" s="49"/>
      <c r="E83" s="49"/>
      <c r="F83" s="49"/>
      <c r="G83" s="49"/>
      <c r="H83" s="49"/>
      <c r="I83" s="49"/>
      <c r="J83" s="49"/>
      <c r="K83" s="49"/>
      <c r="L83" s="49"/>
      <c r="M83" s="49"/>
      <c r="N83" s="49"/>
      <c r="O83" s="49"/>
    </row>
    <row r="84" spans="3:15" ht="15.6" x14ac:dyDescent="0.3">
      <c r="C84" s="50"/>
      <c r="D84" s="49"/>
      <c r="E84" s="49"/>
      <c r="F84" s="49"/>
      <c r="G84" s="49"/>
      <c r="H84" s="49"/>
      <c r="I84" s="49"/>
      <c r="J84" s="49"/>
      <c r="K84" s="49"/>
      <c r="L84" s="49"/>
      <c r="M84" s="49"/>
      <c r="N84" s="49"/>
      <c r="O84" s="49"/>
    </row>
    <row r="85" spans="3:15" ht="15.6" x14ac:dyDescent="0.3">
      <c r="C85" s="50" t="s">
        <v>146</v>
      </c>
      <c r="D85" s="49"/>
      <c r="E85" s="49"/>
      <c r="F85" s="49"/>
      <c r="G85" s="49"/>
      <c r="H85" s="49"/>
      <c r="I85" s="49"/>
      <c r="J85" s="49"/>
      <c r="K85" s="49"/>
      <c r="L85" s="49"/>
      <c r="M85" s="49"/>
      <c r="N85" s="49"/>
      <c r="O85" s="49"/>
    </row>
    <row r="86" spans="3:15" ht="15.6" x14ac:dyDescent="0.3">
      <c r="C86" s="50"/>
      <c r="D86" s="49"/>
      <c r="E86" s="49"/>
      <c r="F86" s="49"/>
      <c r="G86" s="49"/>
      <c r="H86" s="49"/>
      <c r="I86" s="49"/>
      <c r="J86" s="49"/>
      <c r="K86" s="49"/>
      <c r="L86" s="49"/>
      <c r="M86" s="49"/>
      <c r="N86" s="49"/>
      <c r="O86" s="49"/>
    </row>
    <row r="87" spans="3:15" ht="15.6" x14ac:dyDescent="0.3">
      <c r="C87" s="51" t="s">
        <v>147</v>
      </c>
      <c r="D87" s="49"/>
      <c r="E87" s="49"/>
      <c r="F87" s="49"/>
      <c r="G87" s="49"/>
      <c r="H87" s="49"/>
      <c r="I87" s="49"/>
      <c r="J87" s="49"/>
      <c r="K87" s="49"/>
      <c r="L87" s="49"/>
      <c r="M87" s="49"/>
      <c r="N87" s="49"/>
      <c r="O87" s="49"/>
    </row>
    <row r="88" spans="3:15" ht="15.6" x14ac:dyDescent="0.3">
      <c r="C88" s="50" t="s">
        <v>148</v>
      </c>
      <c r="D88" s="49"/>
      <c r="E88" s="49"/>
      <c r="F88" s="49"/>
      <c r="G88" s="49"/>
      <c r="H88" s="49"/>
      <c r="I88" s="49"/>
      <c r="J88" s="49"/>
      <c r="K88" s="49"/>
      <c r="L88" s="49"/>
      <c r="M88" s="49"/>
      <c r="N88" s="49"/>
      <c r="O88" s="49"/>
    </row>
    <row r="89" spans="3:15" ht="15.6" x14ac:dyDescent="0.3">
      <c r="C89" s="50"/>
      <c r="D89" s="49"/>
      <c r="E89" s="49"/>
      <c r="F89" s="49"/>
      <c r="G89" s="49"/>
      <c r="H89" s="49"/>
      <c r="I89" s="49"/>
      <c r="J89" s="49"/>
      <c r="K89" s="49"/>
      <c r="L89" s="49"/>
      <c r="M89" s="49"/>
      <c r="N89" s="49"/>
      <c r="O89" s="49"/>
    </row>
    <row r="90" spans="3:15" ht="15.6" x14ac:dyDescent="0.3">
      <c r="C90" s="50"/>
      <c r="D90" s="49"/>
      <c r="E90" s="49"/>
      <c r="F90" s="49"/>
      <c r="G90" s="49"/>
      <c r="H90" s="49"/>
      <c r="I90" s="49"/>
      <c r="J90" s="49"/>
      <c r="K90" s="49"/>
      <c r="L90" s="49"/>
      <c r="M90" s="49"/>
      <c r="N90" s="49"/>
      <c r="O90" s="49"/>
    </row>
    <row r="91" spans="3:15" ht="15.6" x14ac:dyDescent="0.3">
      <c r="C91" s="50"/>
      <c r="D91" s="49"/>
      <c r="E91" s="49"/>
      <c r="F91" s="49"/>
      <c r="G91" s="49"/>
      <c r="H91" s="49"/>
      <c r="I91" s="49"/>
      <c r="J91" s="49"/>
      <c r="K91" s="49"/>
      <c r="L91" s="49"/>
      <c r="M91" s="49"/>
      <c r="N91" s="49"/>
      <c r="O91" s="49"/>
    </row>
    <row r="92" spans="3:15" ht="15.6" x14ac:dyDescent="0.3">
      <c r="C92" s="50"/>
      <c r="D92" s="49"/>
      <c r="E92" s="49"/>
      <c r="F92" s="49"/>
      <c r="G92" s="49"/>
      <c r="H92" s="49"/>
      <c r="I92" s="49"/>
      <c r="J92" s="49"/>
      <c r="K92" s="49"/>
      <c r="L92" s="49"/>
      <c r="M92" s="49"/>
      <c r="N92" s="49"/>
      <c r="O92" s="49"/>
    </row>
    <row r="93" spans="3:15" ht="15.6" x14ac:dyDescent="0.3">
      <c r="C93" s="50"/>
      <c r="D93" s="49"/>
      <c r="E93" s="49"/>
      <c r="F93" s="49"/>
      <c r="G93" s="49"/>
      <c r="H93" s="49"/>
      <c r="I93" s="49"/>
      <c r="J93" s="49"/>
      <c r="K93" s="49"/>
      <c r="L93" s="49"/>
      <c r="M93" s="49"/>
      <c r="N93" s="49"/>
      <c r="O93" s="49"/>
    </row>
    <row r="94" spans="3:15" ht="15.6" x14ac:dyDescent="0.3">
      <c r="C94" s="50"/>
      <c r="D94" s="49"/>
      <c r="E94" s="49"/>
      <c r="F94" s="49"/>
      <c r="G94" s="49"/>
      <c r="H94" s="49"/>
      <c r="I94" s="49"/>
      <c r="J94" s="49"/>
      <c r="K94" s="49"/>
      <c r="L94" s="49"/>
      <c r="M94" s="49"/>
      <c r="N94" s="49"/>
      <c r="O94" s="49"/>
    </row>
    <row r="95" spans="3:15" ht="15.6" x14ac:dyDescent="0.3">
      <c r="C95" s="50"/>
      <c r="D95" s="49"/>
      <c r="E95" s="49"/>
      <c r="F95" s="49"/>
      <c r="G95" s="49"/>
      <c r="H95" s="49"/>
      <c r="I95" s="49"/>
      <c r="J95" s="49"/>
      <c r="K95" s="49"/>
      <c r="L95" s="49"/>
      <c r="M95" s="49"/>
      <c r="N95" s="49"/>
      <c r="O95" s="49"/>
    </row>
    <row r="96" spans="3:15" ht="15.6" x14ac:dyDescent="0.3">
      <c r="C96" s="50"/>
      <c r="D96" s="49"/>
      <c r="E96" s="49"/>
      <c r="F96" s="49"/>
      <c r="G96" s="49"/>
      <c r="H96" s="49"/>
      <c r="I96" s="49"/>
      <c r="J96" s="49"/>
      <c r="K96" s="49"/>
      <c r="L96" s="49"/>
      <c r="M96" s="49"/>
      <c r="N96" s="49"/>
      <c r="O96" s="49"/>
    </row>
    <row r="97" spans="3:15" ht="15.6" x14ac:dyDescent="0.3">
      <c r="C97" s="50"/>
      <c r="D97" s="49"/>
      <c r="E97" s="49"/>
      <c r="F97" s="49"/>
      <c r="G97" s="49"/>
      <c r="H97" s="49"/>
      <c r="I97" s="49"/>
      <c r="J97" s="49"/>
      <c r="K97" s="49"/>
      <c r="L97" s="49"/>
      <c r="M97" s="49"/>
      <c r="N97" s="49"/>
      <c r="O97" s="49"/>
    </row>
    <row r="98" spans="3:15" ht="15.6" x14ac:dyDescent="0.3">
      <c r="C98" s="50"/>
      <c r="D98" s="49"/>
      <c r="E98" s="49"/>
      <c r="F98" s="49"/>
      <c r="G98" s="49"/>
      <c r="H98" s="49"/>
      <c r="I98" s="49"/>
      <c r="J98" s="49"/>
      <c r="K98" s="49"/>
      <c r="L98" s="49"/>
      <c r="M98" s="49"/>
      <c r="N98" s="49"/>
      <c r="O98" s="49"/>
    </row>
    <row r="99" spans="3:15" ht="15.6" x14ac:dyDescent="0.3">
      <c r="C99" s="50"/>
      <c r="D99" s="49"/>
      <c r="E99" s="49"/>
      <c r="F99" s="49"/>
      <c r="G99" s="49"/>
      <c r="H99" s="49"/>
      <c r="I99" s="49"/>
      <c r="J99" s="49"/>
      <c r="K99" s="49"/>
      <c r="L99" s="49"/>
      <c r="M99" s="49"/>
      <c r="N99" s="49"/>
      <c r="O99" s="49"/>
    </row>
    <row r="100" spans="3:15" ht="15.6" x14ac:dyDescent="0.3">
      <c r="C100" s="50"/>
      <c r="D100" s="49"/>
      <c r="E100" s="49"/>
      <c r="F100" s="49"/>
      <c r="G100" s="49"/>
      <c r="H100" s="49"/>
      <c r="I100" s="49"/>
      <c r="J100" s="49"/>
      <c r="K100" s="49"/>
      <c r="L100" s="49"/>
      <c r="M100" s="49"/>
      <c r="N100" s="49"/>
      <c r="O100" s="49"/>
    </row>
    <row r="101" spans="3:15" ht="15.6" x14ac:dyDescent="0.3">
      <c r="C101" s="50" t="s">
        <v>192</v>
      </c>
      <c r="D101" s="49"/>
      <c r="E101" s="49"/>
      <c r="F101" s="49"/>
      <c r="G101" s="49"/>
      <c r="H101" s="49"/>
      <c r="I101" s="49"/>
      <c r="J101" s="49"/>
      <c r="K101" s="49"/>
      <c r="L101" s="49"/>
      <c r="M101" s="49"/>
      <c r="N101" s="49"/>
      <c r="O101" s="49"/>
    </row>
    <row r="102" spans="3:15" ht="15.6" x14ac:dyDescent="0.3">
      <c r="C102" s="95" t="s">
        <v>149</v>
      </c>
      <c r="D102" s="95"/>
      <c r="E102" s="95"/>
      <c r="F102" s="95"/>
      <c r="G102" s="95"/>
      <c r="H102" s="95"/>
      <c r="I102" s="95"/>
      <c r="J102" s="95"/>
      <c r="K102" s="95"/>
      <c r="L102" s="95"/>
      <c r="M102" s="95"/>
      <c r="N102" s="49"/>
      <c r="O102" s="49"/>
    </row>
    <row r="103" spans="3:15" ht="34.950000000000003" customHeight="1" x14ac:dyDescent="0.3">
      <c r="C103" s="95" t="s">
        <v>150</v>
      </c>
      <c r="D103" s="95"/>
      <c r="E103" s="95"/>
      <c r="F103" s="95"/>
      <c r="G103" s="95"/>
      <c r="H103" s="95"/>
      <c r="I103" s="95"/>
      <c r="J103" s="95"/>
      <c r="K103" s="95"/>
      <c r="L103" s="95"/>
      <c r="M103" s="95"/>
      <c r="N103" s="49"/>
      <c r="O103" s="49"/>
    </row>
    <row r="104" spans="3:15" ht="15.6" x14ac:dyDescent="0.3">
      <c r="C104" s="50" t="s">
        <v>151</v>
      </c>
      <c r="D104" s="49"/>
      <c r="E104" s="49"/>
      <c r="F104" s="49"/>
      <c r="G104" s="49"/>
      <c r="H104" s="49"/>
      <c r="I104" s="49"/>
      <c r="J104" s="49"/>
      <c r="K104" s="49"/>
      <c r="L104" s="49"/>
      <c r="M104" s="49"/>
      <c r="N104" s="49"/>
      <c r="O104" s="49"/>
    </row>
    <row r="105" spans="3:15" ht="15.6" x14ac:dyDescent="0.3">
      <c r="C105" s="50" t="s">
        <v>152</v>
      </c>
      <c r="D105" s="49"/>
      <c r="E105" s="49"/>
      <c r="F105" s="49"/>
      <c r="G105" s="49"/>
      <c r="H105" s="49"/>
      <c r="I105" s="49"/>
      <c r="J105" s="49"/>
      <c r="K105" s="49"/>
      <c r="L105" s="49"/>
      <c r="M105" s="49"/>
      <c r="N105" s="49"/>
      <c r="O105" s="49"/>
    </row>
    <row r="106" spans="3:15" ht="15.6" x14ac:dyDescent="0.3">
      <c r="C106" s="50"/>
      <c r="D106" s="49"/>
      <c r="E106" s="49"/>
      <c r="F106" s="49"/>
      <c r="G106" s="49"/>
      <c r="H106" s="49"/>
      <c r="I106" s="49"/>
      <c r="J106" s="49"/>
      <c r="K106" s="49"/>
      <c r="L106" s="49"/>
      <c r="M106" s="49"/>
      <c r="N106" s="49"/>
      <c r="O106" s="49"/>
    </row>
    <row r="107" spans="3:15" ht="15.6" x14ac:dyDescent="0.3">
      <c r="C107" s="50"/>
      <c r="D107" s="49"/>
      <c r="E107" s="49"/>
      <c r="F107" s="49"/>
      <c r="G107" s="49"/>
      <c r="H107" s="49"/>
      <c r="I107" s="49"/>
      <c r="J107" s="49"/>
      <c r="K107" s="49"/>
      <c r="L107" s="49"/>
      <c r="M107" s="49"/>
      <c r="N107" s="49"/>
      <c r="O107" s="49"/>
    </row>
    <row r="108" spans="3:15" ht="15.6" x14ac:dyDescent="0.3">
      <c r="C108" s="50"/>
      <c r="D108" s="49"/>
      <c r="E108" s="49"/>
      <c r="F108" s="49"/>
      <c r="G108" s="49"/>
      <c r="H108" s="49"/>
      <c r="I108" s="49"/>
      <c r="J108" s="49"/>
      <c r="K108" s="49"/>
      <c r="L108" s="49"/>
      <c r="M108" s="49"/>
      <c r="N108" s="49"/>
      <c r="O108" s="49"/>
    </row>
    <row r="109" spans="3:15" ht="15.6" x14ac:dyDescent="0.3">
      <c r="C109" s="50"/>
      <c r="D109" s="49"/>
      <c r="E109" s="49"/>
      <c r="F109" s="49"/>
      <c r="G109" s="49"/>
      <c r="H109" s="49"/>
      <c r="I109" s="49"/>
      <c r="J109" s="49"/>
      <c r="K109" s="49"/>
      <c r="L109" s="49"/>
      <c r="M109" s="49"/>
      <c r="N109" s="49"/>
      <c r="O109" s="49"/>
    </row>
    <row r="110" spans="3:15" ht="15.6" x14ac:dyDescent="0.3">
      <c r="C110" s="50"/>
      <c r="D110" s="49"/>
      <c r="E110" s="49"/>
      <c r="F110" s="49"/>
      <c r="G110" s="49"/>
      <c r="H110" s="49"/>
      <c r="I110" s="49"/>
      <c r="J110" s="49"/>
      <c r="K110" s="49"/>
      <c r="L110" s="49"/>
      <c r="M110" s="49"/>
      <c r="N110" s="49"/>
      <c r="O110" s="49"/>
    </row>
    <row r="111" spans="3:15" ht="15.6" x14ac:dyDescent="0.3">
      <c r="C111" s="50"/>
      <c r="D111" s="49"/>
      <c r="E111" s="49"/>
      <c r="F111" s="49"/>
      <c r="G111" s="49"/>
      <c r="H111" s="49"/>
      <c r="I111" s="49"/>
      <c r="J111" s="49"/>
      <c r="K111" s="49"/>
      <c r="L111" s="49"/>
      <c r="M111" s="49"/>
      <c r="N111" s="49"/>
      <c r="O111" s="49"/>
    </row>
    <row r="112" spans="3:15" ht="15.6" x14ac:dyDescent="0.3">
      <c r="C112" s="50"/>
      <c r="D112" s="49"/>
      <c r="E112" s="49"/>
      <c r="F112" s="49"/>
      <c r="G112" s="49"/>
      <c r="H112" s="49"/>
      <c r="I112" s="49"/>
      <c r="J112" s="49"/>
      <c r="K112" s="49"/>
      <c r="L112" s="49"/>
      <c r="M112" s="49"/>
      <c r="N112" s="49"/>
      <c r="O112" s="49"/>
    </row>
    <row r="113" spans="3:15" ht="15.6" x14ac:dyDescent="0.3">
      <c r="C113" s="50"/>
      <c r="D113" s="49"/>
      <c r="E113" s="49"/>
      <c r="F113" s="49"/>
      <c r="G113" s="49"/>
      <c r="H113" s="49"/>
      <c r="I113" s="49"/>
      <c r="J113" s="49"/>
      <c r="K113" s="49"/>
      <c r="L113" s="49"/>
      <c r="M113" s="49"/>
      <c r="N113" s="49"/>
      <c r="O113" s="49"/>
    </row>
    <row r="114" spans="3:15" ht="15.6" x14ac:dyDescent="0.3">
      <c r="C114" s="50"/>
      <c r="D114" s="49"/>
      <c r="E114" s="49"/>
      <c r="F114" s="49"/>
      <c r="G114" s="49"/>
      <c r="H114" s="49"/>
      <c r="I114" s="49"/>
      <c r="J114" s="49"/>
      <c r="K114" s="49"/>
      <c r="L114" s="49"/>
      <c r="M114" s="49"/>
      <c r="N114" s="49"/>
      <c r="O114" s="49"/>
    </row>
    <row r="115" spans="3:15" ht="15.6" x14ac:dyDescent="0.3">
      <c r="C115" s="50"/>
      <c r="D115" s="49"/>
      <c r="E115" s="49"/>
      <c r="F115" s="49"/>
      <c r="G115" s="49"/>
      <c r="H115" s="49"/>
      <c r="I115" s="49"/>
      <c r="J115" s="49"/>
      <c r="K115" s="49"/>
      <c r="L115" s="49"/>
      <c r="M115" s="49"/>
      <c r="N115" s="49"/>
      <c r="O115" s="49"/>
    </row>
    <row r="116" spans="3:15" ht="15.6" x14ac:dyDescent="0.3">
      <c r="C116" s="50"/>
      <c r="D116" s="49"/>
      <c r="E116" s="49"/>
      <c r="F116" s="49"/>
      <c r="G116" s="49"/>
      <c r="H116" s="49"/>
      <c r="I116" s="49"/>
      <c r="J116" s="49"/>
      <c r="K116" s="49"/>
      <c r="L116" s="49"/>
      <c r="M116" s="49"/>
      <c r="N116" s="49"/>
      <c r="O116" s="49"/>
    </row>
    <row r="117" spans="3:15" ht="15.6" x14ac:dyDescent="0.3">
      <c r="C117" s="50"/>
      <c r="D117" s="49"/>
      <c r="E117" s="49"/>
      <c r="F117" s="49"/>
      <c r="G117" s="49"/>
      <c r="H117" s="49"/>
      <c r="I117" s="49"/>
      <c r="J117" s="49"/>
      <c r="K117" s="49"/>
      <c r="L117" s="49"/>
      <c r="M117" s="49"/>
      <c r="N117" s="49"/>
      <c r="O117" s="49"/>
    </row>
    <row r="118" spans="3:15" ht="15.6" x14ac:dyDescent="0.3">
      <c r="C118" s="50"/>
      <c r="D118" s="49"/>
      <c r="E118" s="49"/>
      <c r="F118" s="49"/>
      <c r="G118" s="49"/>
      <c r="H118" s="49"/>
      <c r="I118" s="49"/>
      <c r="J118" s="49"/>
      <c r="K118" s="49"/>
      <c r="L118" s="49"/>
      <c r="M118" s="49"/>
      <c r="N118" s="49"/>
      <c r="O118" s="49"/>
    </row>
    <row r="119" spans="3:15" ht="15.6" x14ac:dyDescent="0.3">
      <c r="C119" s="50"/>
      <c r="D119" s="49"/>
      <c r="E119" s="49"/>
      <c r="F119" s="49"/>
      <c r="G119" s="49"/>
      <c r="H119" s="49"/>
      <c r="I119" s="49"/>
      <c r="J119" s="49"/>
      <c r="K119" s="49"/>
      <c r="L119" s="49"/>
      <c r="M119" s="49"/>
      <c r="N119" s="49"/>
      <c r="O119" s="49"/>
    </row>
    <row r="120" spans="3:15" ht="15.6" x14ac:dyDescent="0.3">
      <c r="C120" s="50"/>
      <c r="D120" s="49"/>
      <c r="E120" s="49"/>
      <c r="F120" s="49"/>
      <c r="G120" s="49"/>
      <c r="H120" s="49"/>
      <c r="I120" s="49"/>
      <c r="J120" s="49"/>
      <c r="K120" s="49"/>
      <c r="L120" s="49"/>
      <c r="M120" s="49"/>
      <c r="N120" s="49"/>
      <c r="O120" s="49"/>
    </row>
    <row r="121" spans="3:15" ht="15.6" x14ac:dyDescent="0.3">
      <c r="C121" s="50"/>
      <c r="D121" s="49"/>
      <c r="E121" s="49"/>
      <c r="F121" s="49"/>
      <c r="G121" s="49"/>
      <c r="H121" s="49"/>
      <c r="I121" s="49"/>
      <c r="J121" s="49"/>
      <c r="K121" s="49"/>
      <c r="L121" s="49"/>
      <c r="M121" s="49"/>
      <c r="N121" s="49"/>
      <c r="O121" s="49"/>
    </row>
    <row r="122" spans="3:15" ht="15.6" x14ac:dyDescent="0.3">
      <c r="C122" s="50"/>
      <c r="D122" s="49"/>
      <c r="E122" s="49"/>
      <c r="F122" s="49"/>
      <c r="G122" s="49"/>
      <c r="H122" s="49"/>
      <c r="I122" s="49"/>
      <c r="J122" s="49"/>
      <c r="K122" s="49"/>
      <c r="L122" s="49"/>
      <c r="M122" s="49"/>
      <c r="N122" s="49"/>
      <c r="O122" s="49"/>
    </row>
    <row r="123" spans="3:15" ht="15.6" x14ac:dyDescent="0.3">
      <c r="C123" s="50"/>
      <c r="D123" s="49"/>
      <c r="E123" s="49"/>
      <c r="F123" s="49"/>
      <c r="G123" s="49"/>
      <c r="H123" s="49"/>
      <c r="I123" s="49"/>
      <c r="J123" s="49"/>
      <c r="K123" s="49"/>
      <c r="L123" s="49"/>
      <c r="M123" s="49"/>
      <c r="N123" s="49"/>
      <c r="O123" s="49"/>
    </row>
    <row r="124" spans="3:15" ht="15.6" x14ac:dyDescent="0.3">
      <c r="C124" s="50"/>
      <c r="D124" s="49"/>
      <c r="E124" s="49"/>
      <c r="F124" s="49"/>
      <c r="G124" s="49"/>
      <c r="H124" s="49"/>
      <c r="I124" s="49"/>
      <c r="J124" s="49"/>
      <c r="K124" s="49"/>
      <c r="L124" s="49"/>
      <c r="M124" s="49"/>
      <c r="N124" s="49"/>
      <c r="O124" s="49"/>
    </row>
    <row r="125" spans="3:15" ht="15.6" x14ac:dyDescent="0.3">
      <c r="C125" s="50"/>
      <c r="D125" s="49"/>
      <c r="E125" s="49"/>
      <c r="F125" s="49"/>
      <c r="G125" s="49"/>
      <c r="H125" s="49"/>
      <c r="I125" s="49"/>
      <c r="J125" s="49"/>
      <c r="K125" s="49"/>
      <c r="L125" s="49"/>
      <c r="M125" s="49"/>
      <c r="N125" s="49"/>
      <c r="O125" s="49"/>
    </row>
    <row r="126" spans="3:15" ht="15.6" x14ac:dyDescent="0.3">
      <c r="C126" s="50" t="s">
        <v>178</v>
      </c>
      <c r="D126" s="49"/>
      <c r="E126" s="49"/>
      <c r="F126" s="49"/>
      <c r="G126" s="49"/>
      <c r="H126" s="49"/>
      <c r="I126" s="49"/>
      <c r="J126" s="49"/>
      <c r="K126" s="49"/>
      <c r="L126" s="49"/>
      <c r="M126" s="49"/>
      <c r="N126" s="49"/>
      <c r="O126" s="49"/>
    </row>
    <row r="127" spans="3:15" ht="15.6" x14ac:dyDescent="0.3">
      <c r="C127" s="50"/>
      <c r="D127" s="49"/>
      <c r="E127" s="49"/>
      <c r="F127" s="49"/>
      <c r="G127" s="49"/>
      <c r="H127" s="49"/>
      <c r="I127" s="49"/>
      <c r="J127" s="49"/>
      <c r="K127" s="49"/>
      <c r="L127" s="49"/>
      <c r="M127" s="49"/>
      <c r="N127" s="49"/>
      <c r="O127" s="49"/>
    </row>
    <row r="128" spans="3:15" ht="15.6" x14ac:dyDescent="0.3">
      <c r="C128" s="50" t="s">
        <v>153</v>
      </c>
      <c r="D128" s="49"/>
      <c r="E128" s="49"/>
      <c r="F128" s="49"/>
      <c r="G128" s="49"/>
      <c r="H128" s="49"/>
      <c r="I128" s="49"/>
      <c r="J128" s="49"/>
      <c r="K128" s="49"/>
      <c r="L128" s="49"/>
      <c r="M128" s="49"/>
      <c r="N128" s="49"/>
      <c r="O128" s="49"/>
    </row>
    <row r="129" spans="3:15" ht="15.6" x14ac:dyDescent="0.3">
      <c r="C129" s="50" t="s">
        <v>154</v>
      </c>
      <c r="D129" s="49"/>
      <c r="E129" s="49"/>
      <c r="F129" s="49"/>
      <c r="G129" s="49"/>
      <c r="H129" s="49"/>
      <c r="I129" s="49"/>
      <c r="J129" s="49"/>
      <c r="K129" s="49"/>
      <c r="L129" s="49"/>
      <c r="M129" s="49"/>
      <c r="N129" s="49"/>
      <c r="O129" s="49"/>
    </row>
    <row r="130" spans="3:15" ht="15.6" x14ac:dyDescent="0.3">
      <c r="C130" s="50"/>
      <c r="D130" s="49"/>
      <c r="E130" s="49"/>
      <c r="F130" s="49"/>
      <c r="G130" s="49"/>
      <c r="H130" s="49"/>
      <c r="I130" s="49"/>
      <c r="J130" s="49"/>
      <c r="K130" s="49"/>
      <c r="L130" s="49"/>
      <c r="M130" s="49"/>
      <c r="N130" s="49"/>
      <c r="O130" s="49"/>
    </row>
    <row r="131" spans="3:15" ht="15.6" x14ac:dyDescent="0.3">
      <c r="C131" s="50"/>
      <c r="D131" s="49"/>
      <c r="E131" s="49"/>
      <c r="F131" s="49"/>
      <c r="G131" s="49"/>
      <c r="H131" s="49"/>
      <c r="I131" s="49"/>
      <c r="J131" s="49"/>
      <c r="K131" s="49"/>
      <c r="L131" s="49"/>
      <c r="M131" s="49"/>
      <c r="N131" s="49"/>
      <c r="O131" s="49"/>
    </row>
    <row r="132" spans="3:15" ht="15.6" x14ac:dyDescent="0.3">
      <c r="C132" s="50"/>
      <c r="D132" s="49"/>
      <c r="E132" s="49"/>
      <c r="F132" s="49"/>
      <c r="G132" s="49"/>
      <c r="H132" s="49"/>
      <c r="I132" s="49"/>
      <c r="J132" s="49"/>
      <c r="K132" s="49"/>
      <c r="L132" s="49"/>
      <c r="M132" s="49"/>
      <c r="N132" s="49"/>
      <c r="O132" s="49"/>
    </row>
    <row r="133" spans="3:15" ht="15.6" x14ac:dyDescent="0.3">
      <c r="C133" s="50"/>
      <c r="D133" s="49"/>
      <c r="E133" s="49"/>
      <c r="F133" s="49"/>
      <c r="G133" s="49"/>
      <c r="H133" s="49"/>
      <c r="I133" s="49"/>
      <c r="J133" s="49"/>
      <c r="K133" s="49"/>
      <c r="L133" s="49"/>
      <c r="M133" s="49"/>
      <c r="N133" s="49"/>
      <c r="O133" s="49"/>
    </row>
    <row r="134" spans="3:15" ht="15.6" x14ac:dyDescent="0.3">
      <c r="C134" s="50"/>
      <c r="D134" s="49"/>
      <c r="E134" s="49"/>
      <c r="F134" s="49"/>
      <c r="G134" s="49"/>
      <c r="H134" s="49"/>
      <c r="I134" s="49"/>
      <c r="J134" s="49"/>
      <c r="K134" s="49"/>
      <c r="L134" s="49"/>
      <c r="M134" s="49"/>
      <c r="N134" s="49"/>
      <c r="O134" s="49"/>
    </row>
    <row r="135" spans="3:15" ht="15.6" x14ac:dyDescent="0.3">
      <c r="C135" s="50"/>
      <c r="D135" s="49"/>
      <c r="E135" s="49"/>
      <c r="F135" s="49"/>
      <c r="G135" s="49"/>
      <c r="H135" s="49"/>
      <c r="I135" s="49"/>
      <c r="J135" s="49"/>
      <c r="K135" s="49"/>
      <c r="L135" s="49"/>
      <c r="M135" s="49"/>
      <c r="N135" s="49"/>
      <c r="O135" s="49"/>
    </row>
    <row r="136" spans="3:15" ht="15.6" x14ac:dyDescent="0.3">
      <c r="C136" s="50"/>
      <c r="D136" s="49"/>
      <c r="E136" s="49"/>
      <c r="F136" s="49"/>
      <c r="G136" s="49"/>
      <c r="H136" s="49"/>
      <c r="I136" s="49"/>
      <c r="J136" s="49"/>
      <c r="K136" s="49"/>
      <c r="L136" s="49"/>
      <c r="M136" s="49"/>
      <c r="N136" s="49"/>
      <c r="O136" s="49"/>
    </row>
    <row r="137" spans="3:15" ht="15.6" x14ac:dyDescent="0.3">
      <c r="C137" s="50"/>
      <c r="D137" s="49"/>
      <c r="E137" s="49"/>
      <c r="F137" s="49"/>
      <c r="G137" s="49"/>
      <c r="H137" s="49"/>
      <c r="I137" s="49"/>
      <c r="J137" s="49"/>
      <c r="K137" s="49"/>
      <c r="L137" s="49"/>
      <c r="M137" s="49"/>
      <c r="N137" s="49"/>
      <c r="O137" s="49"/>
    </row>
    <row r="138" spans="3:15" ht="15.6" x14ac:dyDescent="0.3">
      <c r="C138" s="50"/>
      <c r="D138" s="49"/>
      <c r="E138" s="49"/>
      <c r="F138" s="49"/>
      <c r="G138" s="49"/>
      <c r="H138" s="49"/>
      <c r="I138" s="49"/>
      <c r="J138" s="49"/>
      <c r="K138" s="49"/>
      <c r="L138" s="49"/>
      <c r="M138" s="49"/>
      <c r="N138" s="49"/>
      <c r="O138" s="49"/>
    </row>
    <row r="139" spans="3:15" ht="15.6" x14ac:dyDescent="0.3">
      <c r="C139" s="50"/>
      <c r="D139" s="49"/>
      <c r="E139" s="49"/>
      <c r="F139" s="49"/>
      <c r="G139" s="49"/>
      <c r="H139" s="49"/>
      <c r="I139" s="49"/>
      <c r="J139" s="49"/>
      <c r="K139" s="49"/>
      <c r="L139" s="49"/>
      <c r="M139" s="49"/>
      <c r="N139" s="49"/>
      <c r="O139" s="49"/>
    </row>
    <row r="140" spans="3:15" ht="15.6" x14ac:dyDescent="0.3">
      <c r="C140" s="50" t="s">
        <v>155</v>
      </c>
      <c r="D140" s="49"/>
      <c r="E140" s="49"/>
      <c r="F140" s="49"/>
      <c r="G140" s="49"/>
      <c r="H140" s="49"/>
      <c r="I140" s="49"/>
      <c r="J140" s="49"/>
      <c r="K140" s="49"/>
      <c r="L140" s="49"/>
      <c r="M140" s="49"/>
      <c r="N140" s="49"/>
      <c r="O140" s="49"/>
    </row>
    <row r="141" spans="3:15" ht="15.6" x14ac:dyDescent="0.3">
      <c r="C141" s="50"/>
      <c r="D141" s="49"/>
      <c r="E141" s="49"/>
      <c r="F141" s="49"/>
      <c r="G141" s="49"/>
      <c r="H141" s="49"/>
      <c r="I141" s="49"/>
      <c r="J141" s="49"/>
      <c r="K141" s="49"/>
      <c r="L141" s="49"/>
      <c r="M141" s="49"/>
      <c r="N141" s="49"/>
      <c r="O141" s="49"/>
    </row>
    <row r="142" spans="3:15" ht="15.6" x14ac:dyDescent="0.3">
      <c r="C142" s="50"/>
      <c r="D142" s="49"/>
      <c r="E142" s="49"/>
      <c r="F142" s="49"/>
      <c r="G142" s="49"/>
      <c r="H142" s="49"/>
      <c r="I142" s="49"/>
      <c r="J142" s="49"/>
      <c r="K142" s="49"/>
      <c r="L142" s="49"/>
      <c r="M142" s="49"/>
      <c r="N142" s="49"/>
      <c r="O142" s="49"/>
    </row>
    <row r="143" spans="3:15" ht="15.6" x14ac:dyDescent="0.3">
      <c r="C143" s="50"/>
      <c r="D143" s="49"/>
      <c r="E143" s="49"/>
      <c r="F143" s="49"/>
      <c r="G143" s="49"/>
      <c r="H143" s="49"/>
      <c r="I143" s="49"/>
      <c r="J143" s="49"/>
      <c r="K143" s="49"/>
      <c r="L143" s="49"/>
      <c r="M143" s="49"/>
      <c r="N143" s="49"/>
      <c r="O143" s="49"/>
    </row>
    <row r="144" spans="3:15" ht="15.6" x14ac:dyDescent="0.3">
      <c r="C144" s="50"/>
      <c r="D144" s="49"/>
      <c r="E144" s="49"/>
      <c r="F144" s="49"/>
      <c r="G144" s="49"/>
      <c r="H144" s="49"/>
      <c r="I144" s="49"/>
      <c r="J144" s="49"/>
      <c r="K144" s="49"/>
      <c r="L144" s="49"/>
      <c r="M144" s="49"/>
      <c r="N144" s="49"/>
      <c r="O144" s="49"/>
    </row>
    <row r="145" spans="3:15" ht="15.6" x14ac:dyDescent="0.3">
      <c r="C145" s="50"/>
      <c r="D145" s="49"/>
      <c r="E145" s="49"/>
      <c r="F145" s="49"/>
      <c r="G145" s="49"/>
      <c r="H145" s="49"/>
      <c r="I145" s="49"/>
      <c r="J145" s="49"/>
      <c r="K145" s="49"/>
      <c r="L145" s="49"/>
      <c r="M145" s="49"/>
      <c r="N145" s="49"/>
      <c r="O145" s="49"/>
    </row>
    <row r="146" spans="3:15" ht="15.6" x14ac:dyDescent="0.3">
      <c r="C146" s="50"/>
      <c r="D146" s="49"/>
      <c r="E146" s="49"/>
      <c r="F146" s="49"/>
      <c r="G146" s="49"/>
      <c r="H146" s="49"/>
      <c r="I146" s="49"/>
      <c r="J146" s="49"/>
      <c r="K146" s="49"/>
      <c r="L146" s="49"/>
      <c r="M146" s="49"/>
      <c r="N146" s="49"/>
      <c r="O146" s="49"/>
    </row>
    <row r="147" spans="3:15" ht="15.6" x14ac:dyDescent="0.3">
      <c r="C147" s="50"/>
      <c r="D147" s="49"/>
      <c r="E147" s="49"/>
      <c r="F147" s="49"/>
      <c r="G147" s="49"/>
      <c r="H147" s="49"/>
      <c r="I147" s="49"/>
      <c r="J147" s="49"/>
      <c r="K147" s="49"/>
      <c r="L147" s="49"/>
      <c r="M147" s="49"/>
      <c r="N147" s="49"/>
      <c r="O147" s="49"/>
    </row>
    <row r="148" spans="3:15" ht="15.6" x14ac:dyDescent="0.3">
      <c r="C148" s="50" t="s">
        <v>156</v>
      </c>
      <c r="D148" s="49"/>
      <c r="E148" s="49"/>
      <c r="F148" s="49"/>
      <c r="G148" s="49"/>
      <c r="H148" s="49"/>
      <c r="I148" s="49"/>
      <c r="J148" s="49"/>
      <c r="K148" s="49"/>
      <c r="L148" s="49"/>
      <c r="M148" s="49"/>
      <c r="N148" s="49"/>
      <c r="O148" s="49"/>
    </row>
    <row r="149" spans="3:15" ht="15.6" x14ac:dyDescent="0.3">
      <c r="C149" s="50"/>
      <c r="D149" s="49"/>
      <c r="E149" s="49"/>
      <c r="F149" s="49"/>
      <c r="G149" s="49"/>
      <c r="H149" s="49"/>
      <c r="I149" s="49"/>
      <c r="J149" s="49"/>
      <c r="K149" s="49"/>
      <c r="L149" s="49"/>
      <c r="M149" s="49"/>
      <c r="N149" s="49"/>
      <c r="O149" s="49"/>
    </row>
    <row r="150" spans="3:15" ht="18" x14ac:dyDescent="0.3">
      <c r="C150" s="48" t="s">
        <v>157</v>
      </c>
      <c r="D150" s="49"/>
      <c r="E150" s="49"/>
      <c r="F150" s="49"/>
      <c r="G150" s="49"/>
      <c r="H150" s="49"/>
      <c r="I150" s="49"/>
      <c r="J150" s="49"/>
      <c r="K150" s="49"/>
      <c r="L150" s="49"/>
      <c r="M150" s="49"/>
      <c r="N150" s="49"/>
      <c r="O150" s="49"/>
    </row>
    <row r="151" spans="3:15" ht="15.6" x14ac:dyDescent="0.3">
      <c r="C151" s="95" t="s">
        <v>158</v>
      </c>
      <c r="D151" s="95"/>
      <c r="E151" s="95"/>
      <c r="F151" s="95"/>
      <c r="G151" s="95"/>
      <c r="H151" s="95"/>
      <c r="I151" s="95"/>
      <c r="J151" s="95"/>
      <c r="K151" s="95"/>
      <c r="L151" s="95"/>
      <c r="M151" s="95"/>
      <c r="N151" s="95"/>
      <c r="O151" s="95"/>
    </row>
    <row r="152" spans="3:15" ht="15.6" x14ac:dyDescent="0.3">
      <c r="C152" s="95" t="s">
        <v>159</v>
      </c>
      <c r="D152" s="95"/>
      <c r="E152" s="95"/>
      <c r="F152" s="95"/>
      <c r="G152" s="95"/>
      <c r="H152" s="95"/>
      <c r="I152" s="95"/>
      <c r="J152" s="95"/>
      <c r="K152" s="95"/>
      <c r="L152" s="95"/>
      <c r="M152" s="95"/>
      <c r="N152" s="95"/>
      <c r="O152" s="95"/>
    </row>
    <row r="153" spans="3:15" ht="15.6" x14ac:dyDescent="0.3">
      <c r="C153" s="52"/>
      <c r="D153" s="53"/>
      <c r="E153" s="53"/>
      <c r="F153" s="53"/>
      <c r="G153" s="53"/>
      <c r="H153" s="53"/>
      <c r="I153" s="53"/>
      <c r="J153" s="53"/>
      <c r="K153" s="53"/>
      <c r="L153" s="53"/>
      <c r="M153" s="53"/>
      <c r="N153" s="53"/>
      <c r="O153" s="53"/>
    </row>
    <row r="154" spans="3:15" ht="15.6" x14ac:dyDescent="0.3">
      <c r="C154" s="95"/>
      <c r="D154" s="95"/>
      <c r="E154" s="95"/>
      <c r="F154" s="95"/>
      <c r="G154" s="95"/>
      <c r="H154" s="95"/>
      <c r="I154" s="95"/>
      <c r="J154" s="95"/>
      <c r="K154" s="95"/>
      <c r="L154" s="95"/>
      <c r="M154" s="95"/>
      <c r="N154" s="95"/>
      <c r="O154" s="49"/>
    </row>
    <row r="155" spans="3:15" ht="15.6" x14ac:dyDescent="0.3">
      <c r="C155" s="49"/>
      <c r="D155" s="49"/>
      <c r="E155" s="49"/>
      <c r="F155" s="49"/>
      <c r="G155" s="49"/>
      <c r="H155" s="49"/>
      <c r="I155" s="49"/>
      <c r="J155" s="49"/>
      <c r="K155" s="49"/>
      <c r="L155" s="49"/>
      <c r="M155" s="49"/>
      <c r="N155" s="49"/>
      <c r="O155" s="49"/>
    </row>
    <row r="156" spans="3:15" ht="15.6" x14ac:dyDescent="0.3">
      <c r="C156" s="49"/>
      <c r="D156" s="49"/>
      <c r="E156" s="49"/>
      <c r="F156" s="49"/>
      <c r="G156" s="49"/>
      <c r="H156" s="49"/>
      <c r="I156" s="49"/>
      <c r="J156" s="49"/>
      <c r="K156" s="49"/>
      <c r="L156" s="49"/>
      <c r="M156" s="49"/>
      <c r="N156" s="49"/>
      <c r="O156" s="49"/>
    </row>
    <row r="157" spans="3:15" ht="15.6" x14ac:dyDescent="0.3">
      <c r="C157" s="49"/>
      <c r="D157" s="49"/>
      <c r="E157" s="49"/>
      <c r="F157" s="49"/>
      <c r="G157" s="49"/>
      <c r="H157" s="49"/>
      <c r="I157" s="49"/>
      <c r="J157" s="49"/>
      <c r="K157" s="49"/>
      <c r="L157" s="49"/>
      <c r="M157" s="49"/>
      <c r="N157" s="49"/>
      <c r="O157" s="49"/>
    </row>
    <row r="158" spans="3:15" ht="15.6" x14ac:dyDescent="0.3">
      <c r="C158" s="49"/>
      <c r="D158" s="49"/>
      <c r="E158" s="49"/>
      <c r="F158" s="49"/>
      <c r="G158" s="49"/>
      <c r="H158" s="49"/>
      <c r="I158" s="49"/>
      <c r="J158" s="49"/>
      <c r="K158" s="49"/>
      <c r="L158" s="49"/>
      <c r="M158" s="49"/>
      <c r="N158" s="49"/>
      <c r="O158" s="49"/>
    </row>
    <row r="159" spans="3:15" ht="15.6" x14ac:dyDescent="0.3">
      <c r="C159" s="49"/>
      <c r="D159" s="49"/>
      <c r="E159" s="49"/>
      <c r="F159" s="49"/>
      <c r="G159" s="49"/>
      <c r="H159" s="49"/>
      <c r="I159" s="49"/>
      <c r="J159" s="49"/>
      <c r="K159" s="49"/>
      <c r="L159" s="49"/>
      <c r="M159" s="49"/>
      <c r="N159" s="49"/>
      <c r="O159" s="49"/>
    </row>
    <row r="160" spans="3:15" ht="15.6" x14ac:dyDescent="0.3">
      <c r="C160" s="49"/>
      <c r="D160" s="49"/>
      <c r="E160" s="49"/>
      <c r="F160" s="49"/>
      <c r="G160" s="49"/>
      <c r="H160" s="49"/>
      <c r="I160" s="49"/>
      <c r="J160" s="49"/>
      <c r="K160" s="49"/>
      <c r="L160" s="49"/>
      <c r="M160" s="49"/>
      <c r="N160" s="49"/>
      <c r="O160" s="49"/>
    </row>
    <row r="161" spans="3:15" ht="15.6" x14ac:dyDescent="0.3">
      <c r="C161" s="49"/>
      <c r="D161" s="49"/>
      <c r="E161" s="49"/>
      <c r="F161" s="49"/>
      <c r="G161" s="49"/>
      <c r="H161" s="49"/>
      <c r="I161" s="49"/>
      <c r="J161" s="49"/>
      <c r="K161" s="49"/>
      <c r="L161" s="49"/>
      <c r="M161" s="49"/>
      <c r="N161" s="49"/>
      <c r="O161" s="49"/>
    </row>
    <row r="162" spans="3:15" ht="15.6" x14ac:dyDescent="0.3">
      <c r="C162" s="49"/>
      <c r="D162" s="49"/>
      <c r="E162" s="49"/>
      <c r="F162" s="49"/>
      <c r="G162" s="49"/>
      <c r="H162" s="49"/>
      <c r="I162" s="49"/>
      <c r="J162" s="49"/>
      <c r="K162" s="49"/>
      <c r="L162" s="49"/>
      <c r="M162" s="49"/>
      <c r="N162" s="49"/>
      <c r="O162" s="49"/>
    </row>
    <row r="163" spans="3:15" ht="15.6" x14ac:dyDescent="0.3">
      <c r="C163" s="49"/>
      <c r="D163" s="49"/>
      <c r="E163" s="49"/>
      <c r="F163" s="49"/>
      <c r="G163" s="49"/>
      <c r="H163" s="49"/>
      <c r="I163" s="49"/>
      <c r="J163" s="49"/>
      <c r="K163" s="49"/>
      <c r="L163" s="49"/>
      <c r="M163" s="49"/>
      <c r="N163" s="49"/>
      <c r="O163" s="49"/>
    </row>
    <row r="164" spans="3:15" ht="15.6" x14ac:dyDescent="0.3">
      <c r="C164" s="50" t="s">
        <v>179</v>
      </c>
      <c r="D164" s="49"/>
      <c r="E164" s="49"/>
      <c r="F164" s="49"/>
      <c r="G164" s="49"/>
      <c r="H164" s="49"/>
      <c r="I164" s="49"/>
      <c r="J164" s="49"/>
      <c r="K164" s="49"/>
      <c r="L164" s="49"/>
      <c r="M164" s="49"/>
      <c r="N164" s="49"/>
      <c r="O164" s="49"/>
    </row>
    <row r="165" spans="3:15" ht="15.6" x14ac:dyDescent="0.3">
      <c r="C165" s="50" t="s">
        <v>180</v>
      </c>
      <c r="D165" s="49"/>
      <c r="E165" s="49"/>
      <c r="F165" s="49"/>
      <c r="G165" s="49"/>
      <c r="H165" s="49"/>
      <c r="I165" s="49"/>
      <c r="J165" s="49"/>
      <c r="K165" s="49"/>
      <c r="L165" s="49"/>
      <c r="M165" s="49"/>
      <c r="N165" s="49"/>
      <c r="O165" s="49"/>
    </row>
    <row r="166" spans="3:15" ht="15.6" x14ac:dyDescent="0.3">
      <c r="C166" s="50"/>
      <c r="D166" s="49"/>
      <c r="E166" s="49"/>
      <c r="F166" s="49"/>
      <c r="G166" s="49"/>
      <c r="H166" s="49"/>
      <c r="I166" s="49"/>
      <c r="J166" s="49"/>
      <c r="K166" s="49"/>
      <c r="L166" s="49"/>
      <c r="M166" s="49"/>
      <c r="N166" s="49"/>
      <c r="O166" s="49"/>
    </row>
    <row r="167" spans="3:15" ht="15.6" x14ac:dyDescent="0.3">
      <c r="C167" s="50"/>
      <c r="D167" s="49"/>
      <c r="E167" s="49"/>
      <c r="F167" s="49"/>
      <c r="G167" s="49"/>
      <c r="H167" s="49"/>
      <c r="I167" s="49"/>
      <c r="J167" s="49"/>
      <c r="K167" s="49"/>
      <c r="L167" s="49"/>
      <c r="M167" s="49"/>
      <c r="N167" s="49"/>
      <c r="O167" s="49"/>
    </row>
    <row r="168" spans="3:15" ht="15.6" x14ac:dyDescent="0.3">
      <c r="C168" s="50"/>
      <c r="D168" s="49"/>
      <c r="E168" s="49"/>
      <c r="F168" s="49"/>
      <c r="G168" s="49"/>
      <c r="H168" s="49"/>
      <c r="I168" s="49"/>
      <c r="J168" s="49"/>
      <c r="K168" s="49"/>
      <c r="L168" s="49"/>
      <c r="M168" s="49"/>
      <c r="N168" s="49"/>
      <c r="O168" s="49"/>
    </row>
    <row r="169" spans="3:15" ht="15.6" x14ac:dyDescent="0.3">
      <c r="C169" s="50"/>
      <c r="D169" s="49"/>
      <c r="E169" s="49"/>
      <c r="F169" s="49"/>
      <c r="G169" s="49"/>
      <c r="H169" s="49"/>
      <c r="I169" s="49"/>
      <c r="J169" s="49"/>
      <c r="K169" s="49"/>
      <c r="L169" s="49"/>
      <c r="M169" s="49"/>
      <c r="N169" s="49"/>
      <c r="O169" s="49"/>
    </row>
    <row r="170" spans="3:15" ht="15.6" x14ac:dyDescent="0.3">
      <c r="C170" s="50"/>
      <c r="D170" s="49"/>
      <c r="E170" s="49"/>
      <c r="F170" s="49"/>
      <c r="G170" s="49"/>
      <c r="H170" s="49"/>
      <c r="I170" s="49"/>
      <c r="J170" s="49"/>
      <c r="K170" s="49"/>
      <c r="L170" s="49"/>
      <c r="M170" s="49"/>
      <c r="N170" s="49"/>
      <c r="O170" s="49"/>
    </row>
    <row r="171" spans="3:15" ht="15.6" x14ac:dyDescent="0.3">
      <c r="C171" s="50"/>
      <c r="D171" s="49"/>
      <c r="E171" s="49"/>
      <c r="F171" s="49"/>
      <c r="G171" s="49"/>
      <c r="H171" s="49"/>
      <c r="I171" s="49"/>
      <c r="J171" s="49"/>
      <c r="K171" s="49"/>
      <c r="L171" s="49"/>
      <c r="M171" s="49"/>
      <c r="N171" s="49"/>
      <c r="O171" s="49"/>
    </row>
    <row r="172" spans="3:15" ht="15.6" x14ac:dyDescent="0.3">
      <c r="C172" s="50"/>
      <c r="D172" s="49"/>
      <c r="E172" s="49"/>
      <c r="F172" s="49"/>
      <c r="G172" s="49"/>
      <c r="H172" s="49"/>
      <c r="I172" s="49"/>
      <c r="J172" s="49"/>
      <c r="K172" s="49"/>
      <c r="L172" s="49"/>
      <c r="M172" s="49"/>
      <c r="N172" s="49"/>
      <c r="O172" s="49"/>
    </row>
    <row r="173" spans="3:15" ht="15.6" x14ac:dyDescent="0.3">
      <c r="C173" s="50"/>
      <c r="D173" s="49"/>
      <c r="E173" s="49"/>
      <c r="F173" s="49"/>
      <c r="G173" s="49"/>
      <c r="H173" s="49"/>
      <c r="I173" s="49"/>
      <c r="J173" s="49"/>
      <c r="K173" s="49"/>
      <c r="L173" s="49"/>
      <c r="M173" s="49"/>
      <c r="N173" s="49"/>
      <c r="O173" s="49"/>
    </row>
    <row r="174" spans="3:15" ht="15.6" x14ac:dyDescent="0.3">
      <c r="C174" s="50"/>
      <c r="D174" s="49"/>
      <c r="E174" s="49"/>
      <c r="F174" s="49"/>
      <c r="G174" s="49"/>
      <c r="H174" s="49"/>
      <c r="I174" s="49"/>
      <c r="J174" s="49"/>
      <c r="K174" s="49"/>
      <c r="L174" s="49"/>
      <c r="M174" s="49"/>
      <c r="N174" s="49"/>
      <c r="O174" s="49"/>
    </row>
    <row r="175" spans="3:15" ht="15.6" x14ac:dyDescent="0.3">
      <c r="C175" s="50"/>
      <c r="D175" s="49"/>
      <c r="E175" s="49"/>
      <c r="F175" s="49"/>
      <c r="G175" s="49"/>
      <c r="H175" s="49"/>
      <c r="I175" s="49"/>
      <c r="J175" s="49"/>
      <c r="K175" s="49"/>
      <c r="L175" s="49"/>
      <c r="M175" s="49"/>
      <c r="N175" s="49"/>
      <c r="O175" s="49"/>
    </row>
    <row r="176" spans="3:15" ht="15.6" x14ac:dyDescent="0.3">
      <c r="C176" s="50"/>
      <c r="D176" s="49"/>
      <c r="E176" s="49"/>
      <c r="F176" s="49"/>
      <c r="G176" s="49"/>
      <c r="H176" s="49"/>
      <c r="I176" s="49"/>
      <c r="J176" s="49"/>
      <c r="K176" s="49"/>
      <c r="L176" s="49"/>
      <c r="M176" s="49"/>
      <c r="N176" s="49"/>
      <c r="O176" s="49"/>
    </row>
    <row r="177" spans="3:15" ht="15.6" x14ac:dyDescent="0.3">
      <c r="C177" s="50"/>
      <c r="D177" s="49"/>
      <c r="E177" s="49"/>
      <c r="F177" s="49"/>
      <c r="G177" s="49"/>
      <c r="H177" s="49"/>
      <c r="I177" s="49"/>
      <c r="J177" s="49"/>
      <c r="K177" s="49"/>
      <c r="L177" s="49"/>
      <c r="M177" s="49"/>
      <c r="N177" s="49"/>
      <c r="O177" s="49"/>
    </row>
    <row r="178" spans="3:15" ht="15.6" x14ac:dyDescent="0.3">
      <c r="C178" s="50"/>
      <c r="D178" s="49"/>
      <c r="E178" s="49"/>
      <c r="F178" s="49"/>
      <c r="G178" s="49"/>
      <c r="H178" s="49"/>
      <c r="I178" s="49"/>
      <c r="J178" s="49"/>
      <c r="K178" s="49"/>
      <c r="L178" s="49"/>
      <c r="M178" s="49"/>
      <c r="N178" s="49"/>
      <c r="O178" s="49"/>
    </row>
    <row r="179" spans="3:15" ht="15.6" x14ac:dyDescent="0.3">
      <c r="C179" s="50"/>
      <c r="D179" s="49"/>
      <c r="E179" s="49"/>
      <c r="F179" s="49"/>
      <c r="G179" s="49"/>
      <c r="H179" s="49"/>
      <c r="I179" s="49"/>
      <c r="J179" s="49"/>
      <c r="K179" s="49"/>
      <c r="L179" s="49"/>
      <c r="M179" s="49"/>
      <c r="N179" s="49"/>
      <c r="O179" s="49"/>
    </row>
    <row r="180" spans="3:15" ht="15.6" x14ac:dyDescent="0.3">
      <c r="C180" s="50"/>
      <c r="D180" s="49"/>
      <c r="E180" s="49"/>
      <c r="F180" s="49"/>
      <c r="G180" s="49"/>
      <c r="H180" s="49"/>
      <c r="I180" s="49"/>
      <c r="J180" s="49"/>
      <c r="K180" s="49"/>
      <c r="L180" s="49"/>
      <c r="M180" s="49"/>
      <c r="N180" s="49"/>
      <c r="O180" s="49"/>
    </row>
    <row r="181" spans="3:15" ht="15.6" x14ac:dyDescent="0.3">
      <c r="C181" s="50"/>
      <c r="D181" s="49"/>
      <c r="E181" s="49"/>
      <c r="F181" s="49"/>
      <c r="G181" s="49"/>
      <c r="H181" s="49"/>
      <c r="I181" s="49"/>
      <c r="J181" s="49"/>
      <c r="K181" s="49"/>
      <c r="L181" s="49"/>
      <c r="M181" s="49"/>
      <c r="N181" s="49"/>
      <c r="O181" s="49"/>
    </row>
    <row r="182" spans="3:15" ht="15.6" x14ac:dyDescent="0.3">
      <c r="C182" s="50"/>
      <c r="D182" s="49"/>
      <c r="E182" s="49"/>
      <c r="F182" s="49"/>
      <c r="G182" s="49"/>
      <c r="H182" s="49"/>
      <c r="I182" s="49"/>
      <c r="J182" s="49"/>
      <c r="K182" s="49"/>
      <c r="L182" s="49"/>
      <c r="M182" s="49"/>
      <c r="N182" s="49"/>
      <c r="O182" s="49"/>
    </row>
    <row r="183" spans="3:15" ht="15.6" x14ac:dyDescent="0.3">
      <c r="C183" s="50"/>
      <c r="D183" s="49"/>
      <c r="E183" s="49"/>
      <c r="F183" s="49"/>
      <c r="G183" s="49"/>
      <c r="H183" s="49"/>
      <c r="I183" s="49"/>
      <c r="J183" s="49"/>
      <c r="K183" s="49"/>
      <c r="L183" s="49"/>
      <c r="M183" s="49"/>
      <c r="N183" s="49"/>
      <c r="O183" s="49"/>
    </row>
    <row r="184" spans="3:15" ht="15.6" x14ac:dyDescent="0.3">
      <c r="C184" s="50"/>
      <c r="D184" s="49"/>
      <c r="E184" s="49"/>
      <c r="F184" s="49"/>
      <c r="G184" s="49"/>
      <c r="H184" s="49"/>
      <c r="I184" s="49"/>
      <c r="J184" s="49"/>
      <c r="K184" s="49"/>
      <c r="L184" s="49"/>
      <c r="M184" s="49"/>
      <c r="N184" s="49"/>
      <c r="O184" s="49"/>
    </row>
    <row r="185" spans="3:15" ht="15.6" x14ac:dyDescent="0.3">
      <c r="C185" s="50"/>
      <c r="D185" s="49"/>
      <c r="E185" s="49"/>
      <c r="F185" s="49"/>
      <c r="G185" s="49"/>
      <c r="H185" s="49"/>
      <c r="I185" s="49"/>
      <c r="J185" s="49"/>
      <c r="K185" s="49"/>
      <c r="L185" s="49"/>
      <c r="M185" s="49"/>
      <c r="N185" s="49"/>
      <c r="O185" s="49"/>
    </row>
    <row r="186" spans="3:15" ht="15.6" x14ac:dyDescent="0.3">
      <c r="C186" s="50"/>
      <c r="D186" s="49"/>
      <c r="E186" s="49"/>
      <c r="F186" s="49"/>
      <c r="G186" s="49"/>
      <c r="H186" s="49"/>
      <c r="I186" s="49"/>
      <c r="J186" s="49"/>
      <c r="K186" s="49"/>
      <c r="L186" s="49"/>
      <c r="M186" s="49"/>
      <c r="N186" s="49"/>
      <c r="O186" s="49"/>
    </row>
    <row r="187" spans="3:15" ht="15.6" x14ac:dyDescent="0.3">
      <c r="C187" s="50"/>
      <c r="D187" s="49"/>
      <c r="E187" s="49"/>
      <c r="F187" s="49"/>
      <c r="G187" s="49"/>
      <c r="H187" s="49"/>
      <c r="I187" s="49"/>
      <c r="J187" s="49"/>
      <c r="K187" s="49"/>
      <c r="L187" s="49"/>
      <c r="M187" s="49"/>
      <c r="N187" s="49"/>
      <c r="O187" s="49"/>
    </row>
    <row r="188" spans="3:15" ht="15.6" x14ac:dyDescent="0.3">
      <c r="C188" s="50" t="s">
        <v>160</v>
      </c>
      <c r="D188" s="53"/>
      <c r="E188" s="53"/>
      <c r="F188" s="53"/>
      <c r="G188" s="53"/>
      <c r="H188" s="53"/>
      <c r="I188" s="53"/>
      <c r="J188" s="53"/>
      <c r="K188" s="53"/>
      <c r="L188" s="53"/>
      <c r="M188" s="53"/>
      <c r="N188" s="53"/>
      <c r="O188" s="53"/>
    </row>
    <row r="189" spans="3:15" ht="15.6" x14ac:dyDescent="0.3">
      <c r="C189" s="95"/>
      <c r="D189" s="95"/>
      <c r="E189" s="95"/>
      <c r="F189" s="95"/>
      <c r="G189" s="95"/>
      <c r="H189" s="95"/>
      <c r="I189" s="95"/>
      <c r="J189" s="95"/>
      <c r="K189" s="95"/>
      <c r="L189" s="95"/>
      <c r="M189" s="95"/>
      <c r="N189" s="95"/>
      <c r="O189" s="49"/>
    </row>
    <row r="190" spans="3:15" ht="15.6" x14ac:dyDescent="0.3">
      <c r="C190" s="52" t="s">
        <v>161</v>
      </c>
      <c r="D190" s="53"/>
      <c r="E190" s="53"/>
      <c r="F190" s="53"/>
      <c r="G190" s="53"/>
      <c r="H190" s="53"/>
      <c r="I190" s="53"/>
      <c r="J190" s="53"/>
      <c r="K190" s="53"/>
      <c r="L190" s="53"/>
      <c r="M190" s="53"/>
      <c r="N190" s="53"/>
      <c r="O190" s="53"/>
    </row>
    <row r="191" spans="3:15" ht="15.6" x14ac:dyDescent="0.3">
      <c r="C191" s="52" t="s">
        <v>162</v>
      </c>
      <c r="D191" s="53"/>
      <c r="E191" s="53"/>
      <c r="F191" s="53"/>
      <c r="G191" s="53"/>
      <c r="H191" s="53"/>
      <c r="I191" s="53"/>
      <c r="J191" s="53"/>
      <c r="K191" s="53"/>
      <c r="L191" s="53"/>
      <c r="M191" s="53"/>
      <c r="N191" s="53"/>
      <c r="O191" s="53"/>
    </row>
    <row r="204" spans="3:15" ht="15.6" x14ac:dyDescent="0.3">
      <c r="C204" s="54" t="s">
        <v>163</v>
      </c>
    </row>
    <row r="205" spans="3:15" ht="15.6" x14ac:dyDescent="0.3">
      <c r="C205" s="97" t="s">
        <v>164</v>
      </c>
      <c r="D205" s="97"/>
      <c r="E205" s="97"/>
      <c r="F205" s="97"/>
      <c r="G205" s="97"/>
      <c r="H205" s="97"/>
      <c r="I205" s="97"/>
      <c r="J205" s="97"/>
      <c r="K205" s="97"/>
      <c r="L205" s="97"/>
      <c r="M205" s="97"/>
      <c r="N205" s="97"/>
      <c r="O205" s="55"/>
    </row>
    <row r="206" spans="3:15" ht="15.6" x14ac:dyDescent="0.3">
      <c r="C206" s="55"/>
      <c r="D206" s="55"/>
      <c r="E206" s="55"/>
      <c r="F206" s="55"/>
      <c r="G206" s="55"/>
      <c r="H206" s="55"/>
      <c r="I206" s="55"/>
      <c r="J206" s="55"/>
      <c r="K206" s="55"/>
      <c r="L206" s="55"/>
      <c r="M206" s="55"/>
      <c r="N206" s="55"/>
      <c r="O206" s="55"/>
    </row>
    <row r="207" spans="3:15" ht="15.6" x14ac:dyDescent="0.3">
      <c r="C207" s="55"/>
      <c r="D207" s="55"/>
      <c r="E207" s="55"/>
      <c r="F207" s="55"/>
      <c r="G207" s="55"/>
      <c r="H207" s="55"/>
      <c r="I207" s="55"/>
      <c r="J207" s="55"/>
      <c r="K207" s="55"/>
      <c r="L207" s="55"/>
      <c r="M207" s="55"/>
      <c r="N207" s="55"/>
      <c r="O207" s="55"/>
    </row>
    <row r="208" spans="3:15" ht="15.6" x14ac:dyDescent="0.3">
      <c r="C208" s="55"/>
      <c r="D208" s="55"/>
      <c r="E208" s="55"/>
      <c r="F208" s="55"/>
      <c r="G208" s="55"/>
      <c r="H208" s="55"/>
      <c r="I208" s="55"/>
      <c r="J208" s="55"/>
      <c r="K208" s="55"/>
      <c r="L208" s="55"/>
      <c r="M208" s="55"/>
      <c r="N208" s="55"/>
      <c r="O208" s="55"/>
    </row>
    <row r="209" spans="3:15" ht="15.6" x14ac:dyDescent="0.3">
      <c r="C209" s="55"/>
      <c r="D209" s="55"/>
      <c r="E209" s="55"/>
      <c r="F209" s="55"/>
      <c r="G209" s="55"/>
      <c r="H209" s="55"/>
      <c r="I209" s="55"/>
      <c r="J209" s="55"/>
      <c r="K209" s="55"/>
      <c r="L209" s="55"/>
      <c r="M209" s="55"/>
      <c r="N209" s="55"/>
      <c r="O209" s="55"/>
    </row>
    <row r="210" spans="3:15" ht="15.6" x14ac:dyDescent="0.3">
      <c r="C210" s="55"/>
      <c r="D210" s="55"/>
      <c r="E210" s="55"/>
      <c r="F210" s="55"/>
      <c r="G210" s="55"/>
      <c r="H210" s="55"/>
      <c r="I210" s="55"/>
      <c r="J210" s="55"/>
      <c r="K210" s="55"/>
      <c r="L210" s="55"/>
      <c r="M210" s="55"/>
      <c r="N210" s="55"/>
      <c r="O210" s="55"/>
    </row>
    <row r="211" spans="3:15" ht="15.6" x14ac:dyDescent="0.3">
      <c r="C211" s="55"/>
      <c r="D211" s="55"/>
      <c r="E211" s="55"/>
      <c r="F211" s="55"/>
      <c r="G211" s="55"/>
      <c r="H211" s="55"/>
      <c r="I211" s="55"/>
      <c r="J211" s="55"/>
      <c r="K211" s="55"/>
      <c r="L211" s="55"/>
      <c r="M211" s="55"/>
      <c r="N211" s="55"/>
      <c r="O211" s="55"/>
    </row>
    <row r="212" spans="3:15" ht="15.6" x14ac:dyDescent="0.3">
      <c r="C212" s="55"/>
      <c r="D212" s="55"/>
      <c r="E212" s="55"/>
      <c r="F212" s="55"/>
      <c r="G212" s="55"/>
      <c r="H212" s="55"/>
      <c r="I212" s="55"/>
      <c r="J212" s="55"/>
      <c r="K212" s="55"/>
      <c r="L212" s="55"/>
      <c r="M212" s="55"/>
      <c r="N212" s="55"/>
      <c r="O212" s="55"/>
    </row>
    <row r="213" spans="3:15" ht="15.6" x14ac:dyDescent="0.3">
      <c r="C213" s="56" t="s">
        <v>165</v>
      </c>
      <c r="D213" s="55"/>
      <c r="E213" s="55"/>
      <c r="F213" s="55"/>
      <c r="G213" s="55"/>
      <c r="H213" s="55"/>
      <c r="I213" s="55"/>
      <c r="J213" s="55"/>
      <c r="K213" s="55"/>
      <c r="L213" s="55"/>
      <c r="M213" s="55"/>
      <c r="N213" s="55"/>
      <c r="O213" s="55"/>
    </row>
    <row r="214" spans="3:15" ht="15.6" x14ac:dyDescent="0.3">
      <c r="C214" s="56" t="s">
        <v>166</v>
      </c>
      <c r="D214" s="55"/>
      <c r="E214" s="55"/>
      <c r="F214" s="55"/>
      <c r="G214" s="55"/>
      <c r="H214" s="55"/>
      <c r="I214" s="55"/>
      <c r="J214" s="55"/>
      <c r="K214" s="55"/>
      <c r="L214" s="55"/>
      <c r="M214" s="55"/>
      <c r="N214" s="55"/>
      <c r="O214" s="55"/>
    </row>
    <row r="215" spans="3:15" ht="15.6" x14ac:dyDescent="0.3">
      <c r="C215" s="56" t="s">
        <v>167</v>
      </c>
      <c r="D215" s="55"/>
      <c r="E215" s="55"/>
      <c r="F215" s="55"/>
      <c r="G215" s="55"/>
      <c r="H215" s="55"/>
      <c r="I215" s="55"/>
      <c r="J215" s="55"/>
      <c r="K215" s="55"/>
      <c r="L215" s="55"/>
      <c r="M215" s="55"/>
      <c r="N215" s="55"/>
      <c r="O215" s="55"/>
    </row>
    <row r="216" spans="3:15" ht="15.6" x14ac:dyDescent="0.3">
      <c r="C216" s="56" t="s">
        <v>168</v>
      </c>
      <c r="D216" s="55"/>
      <c r="E216" s="55"/>
      <c r="F216" s="55"/>
      <c r="G216" s="55"/>
      <c r="H216" s="55"/>
      <c r="I216" s="55"/>
      <c r="J216" s="55"/>
      <c r="K216" s="55"/>
      <c r="L216" s="55"/>
      <c r="M216" s="55"/>
      <c r="N216" s="55"/>
      <c r="O216" s="55"/>
    </row>
    <row r="217" spans="3:15" ht="15.6" x14ac:dyDescent="0.3">
      <c r="C217" s="56" t="s">
        <v>169</v>
      </c>
      <c r="D217" s="55"/>
      <c r="E217" s="55"/>
      <c r="F217" s="55"/>
      <c r="G217" s="55"/>
      <c r="H217" s="55"/>
      <c r="I217" s="55"/>
      <c r="J217" s="55"/>
      <c r="K217" s="55"/>
      <c r="L217" s="55"/>
      <c r="M217" s="55"/>
      <c r="N217" s="55"/>
      <c r="O217" s="55"/>
    </row>
    <row r="218" spans="3:15" ht="15.6" x14ac:dyDescent="0.3">
      <c r="C218" s="56"/>
      <c r="D218" s="55"/>
      <c r="E218" s="55"/>
      <c r="F218" s="55"/>
      <c r="G218" s="55"/>
      <c r="H218" s="55"/>
      <c r="I218" s="55"/>
      <c r="J218" s="55"/>
      <c r="K218" s="55"/>
      <c r="L218" s="55"/>
      <c r="M218" s="55"/>
      <c r="N218" s="55"/>
      <c r="O218" s="55"/>
    </row>
    <row r="219" spans="3:15" ht="15.6" x14ac:dyDescent="0.3">
      <c r="C219" s="96" t="s">
        <v>170</v>
      </c>
      <c r="D219" s="96"/>
      <c r="E219" s="96"/>
      <c r="F219" s="96"/>
      <c r="G219" s="96"/>
      <c r="H219" s="96"/>
      <c r="I219" s="96"/>
      <c r="J219" s="96"/>
      <c r="K219" s="96"/>
      <c r="L219" s="96"/>
      <c r="M219" s="96"/>
      <c r="N219" s="96"/>
      <c r="O219" s="55"/>
    </row>
    <row r="220" spans="3:15" ht="15.6" x14ac:dyDescent="0.3">
      <c r="C220" s="57" t="s">
        <v>171</v>
      </c>
      <c r="O220" s="55"/>
    </row>
    <row r="221" spans="3:15" ht="15.6" x14ac:dyDescent="0.3">
      <c r="C221" s="57" t="s">
        <v>172</v>
      </c>
      <c r="O221" s="55"/>
    </row>
    <row r="222" spans="3:15" ht="15.6" x14ac:dyDescent="0.3">
      <c r="C222" s="56"/>
      <c r="D222" s="55"/>
      <c r="E222" s="55"/>
      <c r="F222" s="55"/>
      <c r="G222" s="55"/>
      <c r="H222" s="55"/>
      <c r="I222" s="55"/>
      <c r="J222" s="55"/>
      <c r="K222" s="55"/>
      <c r="L222" s="55"/>
      <c r="M222" s="55"/>
      <c r="N222" s="55"/>
      <c r="O222" s="55"/>
    </row>
    <row r="223" spans="3:15" ht="15.6" x14ac:dyDescent="0.3">
      <c r="C223" s="56" t="s">
        <v>173</v>
      </c>
      <c r="D223" s="55"/>
      <c r="E223" s="55"/>
      <c r="F223" s="55"/>
      <c r="G223" s="55"/>
      <c r="H223" s="55"/>
      <c r="I223" s="55"/>
      <c r="J223" s="55"/>
      <c r="K223" s="55"/>
      <c r="L223" s="55"/>
      <c r="M223" s="55"/>
      <c r="N223" s="55"/>
      <c r="O223" s="55"/>
    </row>
    <row r="224" spans="3:15" ht="15.6" x14ac:dyDescent="0.3">
      <c r="C224" s="95" t="s">
        <v>174</v>
      </c>
      <c r="D224" s="95"/>
      <c r="E224" s="95"/>
      <c r="F224" s="95"/>
      <c r="G224" s="95"/>
      <c r="H224" s="95"/>
      <c r="I224" s="95"/>
      <c r="J224" s="95"/>
      <c r="K224" s="95"/>
      <c r="L224" s="95"/>
      <c r="M224" s="95"/>
      <c r="N224" s="20"/>
      <c r="O224" s="55"/>
    </row>
    <row r="225" spans="3:15" ht="15.6" x14ac:dyDescent="0.3">
      <c r="C225" s="95" t="s">
        <v>181</v>
      </c>
      <c r="D225" s="95"/>
      <c r="E225" s="95"/>
      <c r="F225" s="95"/>
      <c r="G225" s="95"/>
      <c r="H225" s="95"/>
      <c r="I225" s="95"/>
      <c r="J225" s="95"/>
      <c r="K225" s="95"/>
      <c r="L225" s="95"/>
      <c r="M225" s="95"/>
      <c r="N225" s="95"/>
      <c r="O225" s="55"/>
    </row>
    <row r="226" spans="3:15" ht="15.6" x14ac:dyDescent="0.3">
      <c r="C226" s="55"/>
      <c r="D226" s="55"/>
      <c r="E226" s="55"/>
      <c r="F226" s="55"/>
      <c r="G226" s="55"/>
      <c r="H226" s="55"/>
      <c r="I226" s="55"/>
      <c r="J226" s="55"/>
      <c r="K226" s="55"/>
      <c r="L226" s="55"/>
      <c r="M226" s="55"/>
      <c r="N226" s="55"/>
      <c r="O226" s="55"/>
    </row>
    <row r="227" spans="3:15" ht="15.6" x14ac:dyDescent="0.3">
      <c r="C227" s="55"/>
      <c r="D227" s="55"/>
      <c r="E227" s="55"/>
      <c r="F227" s="55"/>
      <c r="G227" s="55"/>
      <c r="H227" s="55"/>
      <c r="I227" s="55"/>
      <c r="J227" s="55"/>
      <c r="K227" s="55"/>
      <c r="L227" s="55"/>
      <c r="M227" s="55"/>
      <c r="N227" s="55"/>
      <c r="O227" s="55"/>
    </row>
    <row r="228" spans="3:15" ht="15.6" x14ac:dyDescent="0.3">
      <c r="C228" s="55"/>
      <c r="D228" s="55"/>
      <c r="E228" s="55"/>
      <c r="F228" s="55"/>
      <c r="G228" s="55"/>
      <c r="H228" s="55"/>
      <c r="I228" s="55"/>
      <c r="J228" s="55"/>
      <c r="K228" s="55"/>
      <c r="L228" s="55"/>
      <c r="M228" s="55"/>
      <c r="N228" s="55"/>
      <c r="O228" s="55"/>
    </row>
    <row r="229" spans="3:15" ht="15.6" x14ac:dyDescent="0.3">
      <c r="C229" s="55"/>
      <c r="D229" s="55"/>
      <c r="E229" s="55"/>
      <c r="F229" s="55"/>
      <c r="G229" s="55"/>
      <c r="H229" s="55"/>
      <c r="I229" s="55"/>
      <c r="J229" s="55"/>
      <c r="K229" s="55"/>
      <c r="L229" s="55"/>
      <c r="M229" s="55"/>
      <c r="N229" s="55"/>
      <c r="O229" s="55"/>
    </row>
    <row r="230" spans="3:15" ht="15.6" x14ac:dyDescent="0.3">
      <c r="C230" s="55"/>
      <c r="D230" s="55"/>
      <c r="E230" s="55"/>
      <c r="F230" s="55"/>
      <c r="G230" s="55"/>
      <c r="H230" s="55"/>
      <c r="I230" s="55"/>
      <c r="J230" s="55"/>
      <c r="K230" s="55"/>
      <c r="L230" s="55"/>
      <c r="M230" s="55"/>
      <c r="N230" s="55"/>
      <c r="O230" s="55"/>
    </row>
    <row r="231" spans="3:15" ht="15.6" x14ac:dyDescent="0.3">
      <c r="C231" s="55"/>
      <c r="D231" s="55"/>
      <c r="E231" s="55"/>
      <c r="F231" s="55"/>
      <c r="G231" s="55"/>
      <c r="H231" s="55"/>
      <c r="I231" s="55"/>
      <c r="J231" s="55"/>
      <c r="K231" s="55"/>
      <c r="L231" s="55"/>
      <c r="M231" s="55"/>
      <c r="N231" s="55"/>
      <c r="O231" s="55"/>
    </row>
    <row r="232" spans="3:15" ht="15.6" x14ac:dyDescent="0.3">
      <c r="C232" s="55"/>
      <c r="D232" s="55"/>
      <c r="E232" s="55"/>
      <c r="F232" s="55"/>
      <c r="G232" s="55"/>
      <c r="H232" s="55"/>
      <c r="I232" s="55"/>
      <c r="J232" s="55"/>
      <c r="K232" s="55"/>
      <c r="L232" s="55"/>
      <c r="M232" s="55"/>
      <c r="N232" s="55"/>
      <c r="O232" s="55"/>
    </row>
    <row r="233" spans="3:15" ht="15.6" x14ac:dyDescent="0.3">
      <c r="C233" s="55"/>
      <c r="D233" s="55"/>
      <c r="E233" s="55"/>
      <c r="F233" s="55"/>
      <c r="G233" s="55"/>
      <c r="H233" s="55"/>
      <c r="I233" s="55"/>
      <c r="J233" s="55"/>
      <c r="K233" s="55"/>
      <c r="L233" s="55"/>
      <c r="M233" s="55"/>
      <c r="N233" s="55"/>
      <c r="O233" s="55"/>
    </row>
    <row r="234" spans="3:15" ht="15.6" x14ac:dyDescent="0.3">
      <c r="C234" s="56" t="s">
        <v>175</v>
      </c>
      <c r="D234" s="55"/>
      <c r="E234" s="55"/>
      <c r="F234" s="55"/>
      <c r="G234" s="55"/>
      <c r="H234" s="55"/>
      <c r="I234" s="55"/>
      <c r="J234" s="55"/>
      <c r="K234" s="55"/>
      <c r="L234" s="55"/>
      <c r="M234" s="55"/>
      <c r="N234" s="55"/>
      <c r="O234" s="55"/>
    </row>
    <row r="235" spans="3:15" ht="15.6" x14ac:dyDescent="0.3">
      <c r="C235" s="55"/>
      <c r="D235" s="55"/>
      <c r="E235" s="55"/>
      <c r="F235" s="55"/>
      <c r="G235" s="55"/>
      <c r="H235" s="55"/>
      <c r="I235" s="55"/>
      <c r="J235" s="55"/>
      <c r="K235" s="55"/>
      <c r="L235" s="55"/>
      <c r="M235" s="55"/>
      <c r="N235" s="55"/>
      <c r="O235" s="55"/>
    </row>
    <row r="236" spans="3:15" ht="15.6" x14ac:dyDescent="0.3">
      <c r="C236" s="55"/>
      <c r="D236" s="55"/>
      <c r="E236" s="55"/>
      <c r="F236" s="55"/>
      <c r="G236" s="55"/>
      <c r="H236" s="55"/>
      <c r="I236" s="55"/>
      <c r="J236" s="55"/>
      <c r="K236" s="55"/>
      <c r="L236" s="55"/>
      <c r="M236" s="55"/>
      <c r="N236" s="55"/>
      <c r="O236" s="55"/>
    </row>
    <row r="237" spans="3:15" ht="15.6" x14ac:dyDescent="0.3">
      <c r="C237" s="55"/>
      <c r="D237" s="55"/>
      <c r="E237" s="55"/>
      <c r="F237" s="55"/>
      <c r="G237" s="55"/>
      <c r="H237" s="55"/>
      <c r="I237" s="55"/>
      <c r="J237" s="55"/>
      <c r="K237" s="55"/>
      <c r="L237" s="55"/>
      <c r="M237" s="55"/>
      <c r="N237" s="55"/>
      <c r="O237" s="55"/>
    </row>
    <row r="238" spans="3:15" ht="15.6" x14ac:dyDescent="0.3">
      <c r="C238" s="55"/>
      <c r="D238" s="55"/>
      <c r="E238" s="55"/>
      <c r="F238" s="55"/>
      <c r="G238" s="55"/>
      <c r="H238" s="55"/>
      <c r="I238" s="55"/>
      <c r="J238" s="55"/>
      <c r="K238" s="55"/>
      <c r="L238" s="55"/>
      <c r="M238" s="55"/>
      <c r="N238" s="55"/>
      <c r="O238" s="55"/>
    </row>
    <row r="242" spans="3:3" ht="15.6" x14ac:dyDescent="0.3">
      <c r="C242" s="57"/>
    </row>
    <row r="243" spans="3:3" ht="15.6" x14ac:dyDescent="0.3">
      <c r="C243" s="57" t="s">
        <v>176</v>
      </c>
    </row>
    <row r="244" spans="3:3" ht="15.6" x14ac:dyDescent="0.3">
      <c r="C244" s="57"/>
    </row>
    <row r="245" spans="3:3" ht="15.6" x14ac:dyDescent="0.3">
      <c r="C245" s="57"/>
    </row>
    <row r="246" spans="3:3" ht="15.6" x14ac:dyDescent="0.3">
      <c r="C246" s="57"/>
    </row>
    <row r="247" spans="3:3" ht="15.6" x14ac:dyDescent="0.3">
      <c r="C247" s="57"/>
    </row>
    <row r="248" spans="3:3" ht="15.6" x14ac:dyDescent="0.3">
      <c r="C248" s="57"/>
    </row>
    <row r="249" spans="3:3" ht="15.6" x14ac:dyDescent="0.3">
      <c r="C249" s="57"/>
    </row>
    <row r="250" spans="3:3" ht="15.6" x14ac:dyDescent="0.3">
      <c r="C250" s="57"/>
    </row>
    <row r="251" spans="3:3" ht="15.6" x14ac:dyDescent="0.3">
      <c r="C251" s="57"/>
    </row>
    <row r="252" spans="3:3" ht="15.6" x14ac:dyDescent="0.3">
      <c r="C252" s="57" t="s">
        <v>177</v>
      </c>
    </row>
    <row r="253" spans="3:3" ht="15.6" x14ac:dyDescent="0.3">
      <c r="C253" s="57"/>
    </row>
    <row r="254" spans="3:3" ht="15.6" x14ac:dyDescent="0.3">
      <c r="C254" s="57"/>
    </row>
    <row r="255" spans="3:3" ht="15.6" x14ac:dyDescent="0.3">
      <c r="C255" s="57"/>
    </row>
    <row r="256" spans="3:3" ht="15.6" x14ac:dyDescent="0.3">
      <c r="C256" s="57"/>
    </row>
    <row r="257" spans="3:3" ht="15.6" x14ac:dyDescent="0.3">
      <c r="C257" s="57"/>
    </row>
    <row r="258" spans="3:3" ht="15.6" x14ac:dyDescent="0.3">
      <c r="C258" s="57"/>
    </row>
    <row r="259" spans="3:3" ht="15.6" x14ac:dyDescent="0.3">
      <c r="C259" s="57"/>
    </row>
    <row r="260" spans="3:3" ht="15.6" x14ac:dyDescent="0.3">
      <c r="C260" s="57"/>
    </row>
    <row r="261" spans="3:3" ht="15.6" x14ac:dyDescent="0.3">
      <c r="C261" s="57"/>
    </row>
    <row r="262" spans="3:3" ht="15.6" x14ac:dyDescent="0.3">
      <c r="C262" s="57"/>
    </row>
    <row r="263" spans="3:3" ht="15.6" x14ac:dyDescent="0.3">
      <c r="C263" s="57"/>
    </row>
    <row r="264" spans="3:3" ht="15.6" x14ac:dyDescent="0.3">
      <c r="C264" s="57"/>
    </row>
    <row r="265" spans="3:3" ht="15.6" x14ac:dyDescent="0.3">
      <c r="C265" s="57" t="s">
        <v>193</v>
      </c>
    </row>
    <row r="266" spans="3:3" ht="15.6" x14ac:dyDescent="0.3">
      <c r="C266" s="57"/>
    </row>
    <row r="267" spans="3:3" ht="15.6" x14ac:dyDescent="0.3">
      <c r="C267" s="57"/>
    </row>
    <row r="268" spans="3:3" ht="15.6" x14ac:dyDescent="0.3">
      <c r="C268" s="57"/>
    </row>
    <row r="269" spans="3:3" ht="15.6" x14ac:dyDescent="0.3">
      <c r="C269" s="57"/>
    </row>
    <row r="270" spans="3:3" ht="15.6" x14ac:dyDescent="0.3">
      <c r="C270" s="57"/>
    </row>
    <row r="271" spans="3:3" ht="15.6" x14ac:dyDescent="0.3">
      <c r="C271" s="57"/>
    </row>
    <row r="272" spans="3:3" ht="15.6" x14ac:dyDescent="0.3">
      <c r="C272" s="57"/>
    </row>
    <row r="273" spans="3:3" ht="15.6" x14ac:dyDescent="0.3">
      <c r="C273" s="57"/>
    </row>
    <row r="274" spans="3:3" ht="18" x14ac:dyDescent="0.3">
      <c r="C274" s="58" t="s">
        <v>194</v>
      </c>
    </row>
    <row r="275" spans="3:3" ht="15.6" x14ac:dyDescent="0.3">
      <c r="C275" s="59" t="s">
        <v>195</v>
      </c>
    </row>
  </sheetData>
  <mergeCells count="19">
    <mergeCell ref="C219:N219"/>
    <mergeCell ref="C224:M224"/>
    <mergeCell ref="C225:N225"/>
    <mergeCell ref="C151:O151"/>
    <mergeCell ref="C152:O152"/>
    <mergeCell ref="C154:N154"/>
    <mergeCell ref="C189:N189"/>
    <mergeCell ref="C205:N205"/>
    <mergeCell ref="C25:L25"/>
    <mergeCell ref="C34:O34"/>
    <mergeCell ref="C35:O35"/>
    <mergeCell ref="C102:M102"/>
    <mergeCell ref="C103:M103"/>
    <mergeCell ref="G1:H1"/>
    <mergeCell ref="I1:J1"/>
    <mergeCell ref="G3:H3"/>
    <mergeCell ref="I3:J3"/>
    <mergeCell ref="G5:H5"/>
    <mergeCell ref="I5:J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F3BA4-091F-400E-8415-B6FA8379C7D5}">
  <sheetPr codeName="ShCriteresSelection">
    <tabColor theme="4"/>
  </sheetPr>
  <dimension ref="B1:M98"/>
  <sheetViews>
    <sheetView showGridLines="0" tabSelected="1" topLeftCell="A3" workbookViewId="0">
      <selection activeCell="C19" sqref="C19"/>
    </sheetView>
  </sheetViews>
  <sheetFormatPr defaultColWidth="8.88671875" defaultRowHeight="14.4" x14ac:dyDescent="0.3"/>
  <cols>
    <col min="1" max="1" width="4.33203125" customWidth="1"/>
    <col min="2" max="2" width="10.33203125" customWidth="1"/>
    <col min="3" max="3" width="51.33203125" customWidth="1"/>
    <col min="4" max="8" width="18.5546875" customWidth="1"/>
    <col min="9" max="43" width="15.88671875" customWidth="1"/>
  </cols>
  <sheetData>
    <row r="1" spans="2:13" ht="19.95" customHeight="1" x14ac:dyDescent="0.3">
      <c r="F1" s="90" t="s">
        <v>127</v>
      </c>
      <c r="G1" s="90"/>
      <c r="H1" s="91">
        <v>44893</v>
      </c>
      <c r="I1" s="91"/>
    </row>
    <row r="2" spans="2:13" ht="14.4" hidden="1" customHeight="1" x14ac:dyDescent="0.3">
      <c r="F2" s="20"/>
      <c r="G2" s="20"/>
      <c r="H2" s="21"/>
      <c r="I2" s="22"/>
    </row>
    <row r="3" spans="2:13" ht="19.95" customHeight="1" x14ac:dyDescent="0.3">
      <c r="F3" s="90" t="s">
        <v>128</v>
      </c>
      <c r="G3" s="90"/>
      <c r="H3" s="91" t="s">
        <v>199</v>
      </c>
      <c r="I3" s="91"/>
    </row>
    <row r="4" spans="2:13" ht="14.4" hidden="1" customHeight="1" x14ac:dyDescent="0.3">
      <c r="F4" s="20"/>
      <c r="G4" s="20"/>
      <c r="H4" s="21"/>
      <c r="I4" s="23"/>
    </row>
    <row r="5" spans="2:13" ht="19.95" customHeight="1" thickBot="1" x14ac:dyDescent="0.35">
      <c r="F5" s="92" t="s">
        <v>129</v>
      </c>
      <c r="G5" s="92"/>
      <c r="H5" s="93" t="s">
        <v>130</v>
      </c>
      <c r="I5" s="93"/>
    </row>
    <row r="6" spans="2:13" ht="28.2" customHeight="1" thickTop="1" thickBot="1" x14ac:dyDescent="0.35">
      <c r="B6" s="19"/>
      <c r="C6" s="33" t="s">
        <v>126</v>
      </c>
      <c r="D6" s="19"/>
      <c r="E6" s="19"/>
      <c r="F6" s="19"/>
      <c r="G6" s="19"/>
      <c r="H6" s="19"/>
      <c r="I6" s="19"/>
    </row>
    <row r="7" spans="2:13" ht="15" thickTop="1" x14ac:dyDescent="0.3">
      <c r="G7" s="28"/>
      <c r="H7" s="28"/>
      <c r="I7" s="29"/>
    </row>
    <row r="8" spans="2:13" x14ac:dyDescent="0.3">
      <c r="C8" s="24" t="s">
        <v>182</v>
      </c>
      <c r="D8" s="98" t="s">
        <v>183</v>
      </c>
      <c r="E8" s="98"/>
      <c r="G8" s="24" t="s">
        <v>186</v>
      </c>
      <c r="H8" s="98" t="s">
        <v>187</v>
      </c>
      <c r="I8" s="98"/>
    </row>
    <row r="9" spans="2:13" ht="5.4" customHeight="1" x14ac:dyDescent="0.3">
      <c r="C9" s="25"/>
      <c r="D9" s="99"/>
      <c r="E9" s="99"/>
      <c r="G9" s="25"/>
      <c r="H9" s="99"/>
      <c r="I9" s="99"/>
    </row>
    <row r="10" spans="2:13" x14ac:dyDescent="0.3">
      <c r="C10" s="24" t="s">
        <v>184</v>
      </c>
      <c r="D10" s="98" t="s">
        <v>185</v>
      </c>
      <c r="E10" s="98"/>
      <c r="G10" s="24" t="s">
        <v>188</v>
      </c>
      <c r="H10" s="98" t="s">
        <v>189</v>
      </c>
      <c r="I10" s="98"/>
    </row>
    <row r="11" spans="2:13" ht="25.8" hidden="1" x14ac:dyDescent="0.3">
      <c r="D11" s="26"/>
      <c r="E11" s="26"/>
      <c r="F11" s="26"/>
      <c r="G11" s="32"/>
      <c r="H11" s="32"/>
      <c r="I11" s="32"/>
      <c r="J11" s="26"/>
      <c r="K11" s="26"/>
      <c r="L11" s="26"/>
      <c r="M11" s="26"/>
    </row>
    <row r="12" spans="2:13" ht="25.95" hidden="1" customHeight="1" x14ac:dyDescent="0.3">
      <c r="F12" s="27"/>
      <c r="G12" s="30"/>
      <c r="H12" s="31"/>
      <c r="I12" s="31"/>
      <c r="J12" s="26"/>
      <c r="K12" s="26"/>
      <c r="L12" s="26"/>
      <c r="M12" s="26"/>
    </row>
    <row r="13" spans="2:13" ht="9.6" customHeight="1" x14ac:dyDescent="0.3">
      <c r="I13" s="29"/>
      <c r="J13" s="26"/>
      <c r="K13" s="26"/>
      <c r="L13" s="26"/>
      <c r="M13" s="26"/>
    </row>
    <row r="14" spans="2:13" ht="20.399999999999999" customHeight="1" x14ac:dyDescent="0.3">
      <c r="I14" s="31"/>
      <c r="J14" s="20"/>
      <c r="K14" s="20"/>
      <c r="L14" s="20"/>
      <c r="M14" s="20"/>
    </row>
    <row r="15" spans="2:13" ht="25.95" customHeight="1" x14ac:dyDescent="0.3">
      <c r="D15" s="39"/>
      <c r="E15" s="37"/>
      <c r="F15" s="38" t="s">
        <v>131</v>
      </c>
      <c r="G15" s="39"/>
      <c r="H15" s="37"/>
      <c r="I15" s="88"/>
      <c r="J15" s="88"/>
      <c r="K15" s="88"/>
      <c r="L15" s="88"/>
    </row>
    <row r="16" spans="2:13" ht="30" customHeight="1" x14ac:dyDescent="0.3">
      <c r="B16" s="1" t="s">
        <v>100</v>
      </c>
      <c r="C16" s="1" t="s">
        <v>101</v>
      </c>
      <c r="D16" s="1" t="s">
        <v>103</v>
      </c>
      <c r="E16" s="1" t="s">
        <v>104</v>
      </c>
      <c r="F16" s="1" t="s">
        <v>105</v>
      </c>
      <c r="G16" s="1" t="s">
        <v>106</v>
      </c>
      <c r="H16" s="1" t="s">
        <v>107</v>
      </c>
      <c r="I16" s="2" t="s">
        <v>102</v>
      </c>
    </row>
    <row r="17" spans="2:9" ht="28.8" x14ac:dyDescent="0.3">
      <c r="B17" s="3" t="s">
        <v>0</v>
      </c>
      <c r="C17" s="4" t="s">
        <v>1</v>
      </c>
      <c r="D17" s="5" t="s">
        <v>2</v>
      </c>
      <c r="E17" s="5" t="s">
        <v>3</v>
      </c>
      <c r="F17" s="5" t="s">
        <v>4</v>
      </c>
      <c r="G17" s="5" t="s">
        <v>5</v>
      </c>
      <c r="H17" s="5" t="s">
        <v>6</v>
      </c>
      <c r="I17" s="6">
        <v>4</v>
      </c>
    </row>
    <row r="18" spans="2:9" ht="33.6" customHeight="1" x14ac:dyDescent="0.3">
      <c r="B18" s="3" t="s">
        <v>7</v>
      </c>
      <c r="C18" s="4" t="s">
        <v>196</v>
      </c>
      <c r="D18" s="5" t="s">
        <v>2</v>
      </c>
      <c r="E18" s="5" t="s">
        <v>3</v>
      </c>
      <c r="F18" s="5" t="s">
        <v>4</v>
      </c>
      <c r="G18" s="5" t="s">
        <v>5</v>
      </c>
      <c r="H18" s="5" t="s">
        <v>197</v>
      </c>
      <c r="I18" s="6">
        <v>3</v>
      </c>
    </row>
    <row r="19" spans="2:9" ht="33.6" customHeight="1" x14ac:dyDescent="0.3">
      <c r="B19" s="3" t="s">
        <v>8</v>
      </c>
      <c r="C19" s="4" t="s">
        <v>9</v>
      </c>
      <c r="D19" s="5" t="s">
        <v>10</v>
      </c>
      <c r="E19" s="5" t="s">
        <v>11</v>
      </c>
      <c r="F19" s="5" t="s">
        <v>12</v>
      </c>
      <c r="G19" s="5" t="s">
        <v>13</v>
      </c>
      <c r="H19" s="5" t="s">
        <v>14</v>
      </c>
      <c r="I19" s="6">
        <v>3</v>
      </c>
    </row>
    <row r="20" spans="2:9" ht="33.6" customHeight="1" x14ac:dyDescent="0.3">
      <c r="B20" s="3" t="s">
        <v>15</v>
      </c>
      <c r="C20" s="4" t="s">
        <v>16</v>
      </c>
      <c r="D20" s="5" t="s">
        <v>17</v>
      </c>
      <c r="E20" s="5" t="s">
        <v>18</v>
      </c>
      <c r="F20" s="5" t="s">
        <v>19</v>
      </c>
      <c r="G20" s="5" t="s">
        <v>20</v>
      </c>
      <c r="H20" s="5" t="s">
        <v>21</v>
      </c>
      <c r="I20" s="6">
        <v>3</v>
      </c>
    </row>
    <row r="21" spans="2:9" ht="33.6" customHeight="1" x14ac:dyDescent="0.3">
      <c r="B21" s="3" t="s">
        <v>22</v>
      </c>
      <c r="C21" s="4" t="s">
        <v>23</v>
      </c>
      <c r="D21" s="5" t="s">
        <v>24</v>
      </c>
      <c r="E21" s="5" t="s">
        <v>25</v>
      </c>
      <c r="F21" s="5" t="s">
        <v>26</v>
      </c>
      <c r="G21" s="5" t="s">
        <v>27</v>
      </c>
      <c r="H21" s="5" t="s">
        <v>28</v>
      </c>
      <c r="I21" s="6">
        <v>2</v>
      </c>
    </row>
    <row r="22" spans="2:9" ht="33.6" customHeight="1" x14ac:dyDescent="0.3">
      <c r="B22" s="3" t="s">
        <v>29</v>
      </c>
      <c r="C22" s="4" t="s">
        <v>30</v>
      </c>
      <c r="D22" s="5" t="s">
        <v>31</v>
      </c>
      <c r="E22" s="5" t="s">
        <v>32</v>
      </c>
      <c r="F22" s="5" t="s">
        <v>33</v>
      </c>
      <c r="G22" s="5" t="s">
        <v>34</v>
      </c>
      <c r="H22" s="5" t="s">
        <v>35</v>
      </c>
      <c r="I22" s="6">
        <v>3</v>
      </c>
    </row>
    <row r="23" spans="2:9" ht="33.6" customHeight="1" x14ac:dyDescent="0.3">
      <c r="B23" s="3" t="s">
        <v>36</v>
      </c>
      <c r="C23" s="4" t="s">
        <v>37</v>
      </c>
      <c r="D23" s="5" t="s">
        <v>38</v>
      </c>
      <c r="E23" s="5" t="s">
        <v>39</v>
      </c>
      <c r="F23" s="5" t="s">
        <v>40</v>
      </c>
      <c r="G23" s="5" t="s">
        <v>41</v>
      </c>
      <c r="H23" s="5" t="s">
        <v>42</v>
      </c>
      <c r="I23" s="6">
        <v>2</v>
      </c>
    </row>
    <row r="24" spans="2:9" ht="33.6" customHeight="1" x14ac:dyDescent="0.3">
      <c r="B24" s="3" t="s">
        <v>43</v>
      </c>
      <c r="C24" s="4" t="s">
        <v>44</v>
      </c>
      <c r="D24" s="5" t="s">
        <v>45</v>
      </c>
      <c r="E24" s="5" t="s">
        <v>46</v>
      </c>
      <c r="F24" s="5" t="s">
        <v>47</v>
      </c>
      <c r="G24" s="5" t="s">
        <v>48</v>
      </c>
      <c r="H24" s="5" t="s">
        <v>49</v>
      </c>
      <c r="I24" s="6">
        <v>4</v>
      </c>
    </row>
    <row r="25" spans="2:9" ht="33.6" customHeight="1" x14ac:dyDescent="0.3">
      <c r="B25" s="3" t="s">
        <v>50</v>
      </c>
      <c r="C25" s="4" t="s">
        <v>51</v>
      </c>
      <c r="D25" s="5" t="s">
        <v>52</v>
      </c>
      <c r="E25" s="5" t="s">
        <v>53</v>
      </c>
      <c r="F25" s="5" t="s">
        <v>54</v>
      </c>
      <c r="G25" s="5" t="s">
        <v>55</v>
      </c>
      <c r="H25" s="5" t="s">
        <v>56</v>
      </c>
      <c r="I25" s="6">
        <v>1</v>
      </c>
    </row>
    <row r="26" spans="2:9" ht="33.6" customHeight="1" x14ac:dyDescent="0.3">
      <c r="B26" s="3" t="s">
        <v>57</v>
      </c>
      <c r="C26" s="4" t="s">
        <v>58</v>
      </c>
      <c r="D26" s="5" t="s">
        <v>59</v>
      </c>
      <c r="E26" s="5" t="s">
        <v>60</v>
      </c>
      <c r="F26" s="5" t="s">
        <v>61</v>
      </c>
      <c r="G26" s="5" t="s">
        <v>62</v>
      </c>
      <c r="H26" s="5" t="s">
        <v>63</v>
      </c>
      <c r="I26" s="6">
        <v>2</v>
      </c>
    </row>
    <row r="27" spans="2:9" ht="33.6" customHeight="1" x14ac:dyDescent="0.3">
      <c r="B27" s="3" t="s">
        <v>64</v>
      </c>
      <c r="C27" s="4" t="s">
        <v>65</v>
      </c>
      <c r="D27" s="5" t="s">
        <v>66</v>
      </c>
      <c r="E27" s="5" t="s">
        <v>67</v>
      </c>
      <c r="F27" s="5" t="s">
        <v>68</v>
      </c>
      <c r="G27" s="5" t="s">
        <v>69</v>
      </c>
      <c r="H27" s="5" t="s">
        <v>70</v>
      </c>
      <c r="I27" s="6">
        <v>3</v>
      </c>
    </row>
    <row r="28" spans="2:9" ht="33.6" customHeight="1" x14ac:dyDescent="0.3">
      <c r="B28" s="3" t="s">
        <v>71</v>
      </c>
      <c r="C28" s="4" t="s">
        <v>72</v>
      </c>
      <c r="D28" s="5" t="s">
        <v>73</v>
      </c>
      <c r="E28" s="5" t="s">
        <v>74</v>
      </c>
      <c r="F28" s="5" t="s">
        <v>75</v>
      </c>
      <c r="G28" s="5" t="s">
        <v>76</v>
      </c>
      <c r="H28" s="5" t="s">
        <v>77</v>
      </c>
      <c r="I28" s="6">
        <v>2</v>
      </c>
    </row>
    <row r="29" spans="2:9" ht="33.6" customHeight="1" x14ac:dyDescent="0.3">
      <c r="B29" s="3" t="s">
        <v>78</v>
      </c>
      <c r="C29" s="4" t="s">
        <v>79</v>
      </c>
      <c r="D29" s="5" t="s">
        <v>80</v>
      </c>
      <c r="E29" s="5" t="s">
        <v>81</v>
      </c>
      <c r="F29" s="5" t="s">
        <v>82</v>
      </c>
      <c r="G29" s="5" t="s">
        <v>83</v>
      </c>
      <c r="H29" s="5" t="s">
        <v>84</v>
      </c>
      <c r="I29" s="6">
        <v>4</v>
      </c>
    </row>
    <row r="30" spans="2:9" ht="33.6" customHeight="1" x14ac:dyDescent="0.3">
      <c r="B30" s="3" t="s">
        <v>85</v>
      </c>
      <c r="C30" s="4" t="s">
        <v>86</v>
      </c>
      <c r="D30" s="5" t="s">
        <v>87</v>
      </c>
      <c r="E30" s="5" t="s">
        <v>88</v>
      </c>
      <c r="F30" s="5" t="s">
        <v>89</v>
      </c>
      <c r="G30" s="5" t="s">
        <v>90</v>
      </c>
      <c r="H30" s="5" t="s">
        <v>80</v>
      </c>
      <c r="I30" s="6">
        <v>2</v>
      </c>
    </row>
    <row r="31" spans="2:9" ht="33.6" customHeight="1" x14ac:dyDescent="0.3">
      <c r="B31" s="3" t="s">
        <v>91</v>
      </c>
      <c r="C31" s="4" t="s">
        <v>92</v>
      </c>
      <c r="D31" s="5" t="s">
        <v>80</v>
      </c>
      <c r="E31" s="5" t="s">
        <v>94</v>
      </c>
      <c r="F31" s="5" t="s">
        <v>95</v>
      </c>
      <c r="G31" s="5" t="s">
        <v>96</v>
      </c>
      <c r="H31" s="5" t="s">
        <v>97</v>
      </c>
      <c r="I31" s="6">
        <v>3</v>
      </c>
    </row>
    <row r="32" spans="2:9" ht="33.6" customHeight="1" x14ac:dyDescent="0.3">
      <c r="B32" s="3" t="s">
        <v>98</v>
      </c>
      <c r="C32" s="4" t="s">
        <v>99</v>
      </c>
      <c r="D32" s="5"/>
      <c r="E32" s="5"/>
      <c r="F32" s="5"/>
      <c r="G32" s="5"/>
      <c r="H32" s="5"/>
      <c r="I32" s="6"/>
    </row>
    <row r="33" ht="33.6" customHeight="1" x14ac:dyDescent="0.3"/>
    <row r="34" ht="33.6" customHeight="1" x14ac:dyDescent="0.3"/>
    <row r="35" ht="33.6" customHeight="1" x14ac:dyDescent="0.3"/>
    <row r="36" ht="33.6" customHeight="1" x14ac:dyDescent="0.3"/>
    <row r="37" ht="33.6" customHeight="1" x14ac:dyDescent="0.3"/>
    <row r="38" ht="33.6" customHeight="1" x14ac:dyDescent="0.3"/>
    <row r="39" ht="33.6" customHeight="1" x14ac:dyDescent="0.3"/>
    <row r="40" ht="33.6" customHeight="1" x14ac:dyDescent="0.3"/>
    <row r="41" ht="33.6" customHeight="1" x14ac:dyDescent="0.3"/>
    <row r="42" ht="33.6" customHeight="1" x14ac:dyDescent="0.3"/>
    <row r="43" ht="33.6" customHeight="1" x14ac:dyDescent="0.3"/>
    <row r="44" ht="33.6" customHeight="1" x14ac:dyDescent="0.3"/>
    <row r="45" ht="33.6" customHeight="1" x14ac:dyDescent="0.3"/>
    <row r="46" ht="33.6" customHeight="1" x14ac:dyDescent="0.3"/>
    <row r="47" ht="33.6" customHeight="1" x14ac:dyDescent="0.3"/>
    <row r="48" ht="33.6" customHeight="1" x14ac:dyDescent="0.3"/>
    <row r="49" ht="33.6" customHeight="1" x14ac:dyDescent="0.3"/>
    <row r="50" ht="33.6" customHeight="1" x14ac:dyDescent="0.3"/>
    <row r="51" ht="33.6" customHeight="1" x14ac:dyDescent="0.3"/>
    <row r="52" ht="33.6" customHeight="1" x14ac:dyDescent="0.3"/>
    <row r="53" ht="33.6" customHeight="1" x14ac:dyDescent="0.3"/>
    <row r="54" ht="33.6" customHeight="1" x14ac:dyDescent="0.3"/>
    <row r="55" ht="33.6" customHeight="1" x14ac:dyDescent="0.3"/>
    <row r="56" ht="33.6" customHeight="1" x14ac:dyDescent="0.3"/>
    <row r="57" ht="33.6" customHeight="1" x14ac:dyDescent="0.3"/>
    <row r="58" ht="33.6" customHeight="1" x14ac:dyDescent="0.3"/>
    <row r="59" ht="33.6" customHeight="1" x14ac:dyDescent="0.3"/>
    <row r="60" ht="33.6" customHeight="1" x14ac:dyDescent="0.3"/>
    <row r="61" ht="33.6" customHeight="1" x14ac:dyDescent="0.3"/>
    <row r="62" ht="33.6" customHeight="1" x14ac:dyDescent="0.3"/>
    <row r="63" ht="33.6" customHeight="1" x14ac:dyDescent="0.3"/>
    <row r="64" ht="33.6" customHeight="1" x14ac:dyDescent="0.3"/>
    <row r="65" ht="33.6" customHeight="1" x14ac:dyDescent="0.3"/>
    <row r="66" ht="33.6" customHeight="1" x14ac:dyDescent="0.3"/>
    <row r="67" ht="33.6" customHeight="1" x14ac:dyDescent="0.3"/>
    <row r="68" ht="33.6" customHeight="1" x14ac:dyDescent="0.3"/>
    <row r="69" ht="33.6" customHeight="1" x14ac:dyDescent="0.3"/>
    <row r="70" ht="33.6" customHeight="1" x14ac:dyDescent="0.3"/>
    <row r="71" ht="33.6" customHeight="1" x14ac:dyDescent="0.3"/>
    <row r="72" ht="33.6" customHeight="1" x14ac:dyDescent="0.3"/>
    <row r="73" ht="33.6" customHeight="1" x14ac:dyDescent="0.3"/>
    <row r="74" ht="33.6" customHeight="1" x14ac:dyDescent="0.3"/>
    <row r="75" ht="33.6" customHeight="1" x14ac:dyDescent="0.3"/>
    <row r="76" ht="33.6" customHeight="1" x14ac:dyDescent="0.3"/>
    <row r="77" ht="33.6" customHeight="1" x14ac:dyDescent="0.3"/>
    <row r="78" ht="33.6" customHeight="1" x14ac:dyDescent="0.3"/>
    <row r="79" ht="33.6" customHeight="1" x14ac:dyDescent="0.3"/>
    <row r="80" ht="33.6" customHeight="1" x14ac:dyDescent="0.3"/>
    <row r="81" ht="33.6" customHeight="1" x14ac:dyDescent="0.3"/>
    <row r="82" ht="33.6" customHeight="1" x14ac:dyDescent="0.3"/>
    <row r="83" ht="33.6" customHeight="1" x14ac:dyDescent="0.3"/>
    <row r="84" ht="33.6" customHeight="1" x14ac:dyDescent="0.3"/>
    <row r="85" ht="33.6" customHeight="1" x14ac:dyDescent="0.3"/>
    <row r="86" ht="33.6" customHeight="1" x14ac:dyDescent="0.3"/>
    <row r="87" ht="33.6" customHeight="1" x14ac:dyDescent="0.3"/>
    <row r="88" ht="33.6" customHeight="1" x14ac:dyDescent="0.3"/>
    <row r="89" ht="33.6" customHeight="1" x14ac:dyDescent="0.3"/>
    <row r="90" ht="33.6" customHeight="1" x14ac:dyDescent="0.3"/>
    <row r="91" ht="33.6" customHeight="1" x14ac:dyDescent="0.3"/>
    <row r="92" ht="33.6" customHeight="1" x14ac:dyDescent="0.3"/>
    <row r="93" ht="33.6" customHeight="1" x14ac:dyDescent="0.3"/>
    <row r="94" ht="33.6" customHeight="1" x14ac:dyDescent="0.3"/>
    <row r="95" ht="33.6" customHeight="1" x14ac:dyDescent="0.3"/>
    <row r="96" ht="33.6" customHeight="1" x14ac:dyDescent="0.3"/>
    <row r="97" ht="33.6" customHeight="1" x14ac:dyDescent="0.3"/>
    <row r="98" ht="33.6" customHeight="1" x14ac:dyDescent="0.3"/>
  </sheetData>
  <mergeCells count="12">
    <mergeCell ref="D8:E8"/>
    <mergeCell ref="D9:E9"/>
    <mergeCell ref="D10:E10"/>
    <mergeCell ref="F1:G1"/>
    <mergeCell ref="H1:I1"/>
    <mergeCell ref="F3:G3"/>
    <mergeCell ref="H10:I10"/>
    <mergeCell ref="H3:I3"/>
    <mergeCell ref="F5:G5"/>
    <mergeCell ref="H5:I5"/>
    <mergeCell ref="H8:I8"/>
    <mergeCell ref="H9:I9"/>
  </mergeCells>
  <phoneticPr fontId="4" type="noConversion"/>
  <conditionalFormatting sqref="I17:I32">
    <cfRule type="dataBar" priority="359">
      <dataBar>
        <cfvo type="min"/>
        <cfvo type="max"/>
        <color theme="9" tint="0.59999389629810485"/>
      </dataBar>
      <extLst>
        <ext xmlns:x14="http://schemas.microsoft.com/office/spreadsheetml/2009/9/main" uri="{B025F937-C7B1-47D3-B67F-A62EFF666E3E}">
          <x14:id>{D95680F6-DA49-47E7-8826-30AA749DF97D}</x14:id>
        </ext>
      </extLst>
    </cfRule>
  </conditionalFormatting>
  <dataValidations count="1">
    <dataValidation type="list" allowBlank="1" showInputMessage="1" showErrorMessage="1" sqref="I17:I32" xr:uid="{22083F7D-52BF-4748-89EA-4B217E5098DD}">
      <formula1>INDIRECT("TableCoeffPonderation[Coefficients de pondération]")</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95680F6-DA49-47E7-8826-30AA749DF97D}">
            <x14:dataBar minLength="0" maxLength="100" border="1" negativeBarBorderColorSameAsPositive="0">
              <x14:cfvo type="autoMin"/>
              <x14:cfvo type="autoMax"/>
              <x14:borderColor theme="9" tint="0.79998168889431442"/>
              <x14:negativeFillColor rgb="FFFF0000"/>
              <x14:negativeBorderColor rgb="FFFF0000"/>
              <x14:axisColor rgb="FF000000"/>
            </x14:dataBar>
          </x14:cfRule>
          <xm:sqref>I17:I32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733F2-AD29-40F6-915A-9ADEF666C1BD}">
  <sheetPr codeName="ShEvaluation">
    <tabColor rgb="FFC00000"/>
  </sheetPr>
  <dimension ref="B1:O131"/>
  <sheetViews>
    <sheetView showGridLines="0" zoomScaleNormal="100" workbookViewId="0">
      <selection activeCell="J18" sqref="J18"/>
    </sheetView>
  </sheetViews>
  <sheetFormatPr defaultColWidth="8.88671875" defaultRowHeight="14.4" x14ac:dyDescent="0.3"/>
  <cols>
    <col min="1" max="1" width="4" style="63" customWidth="1"/>
    <col min="2" max="2" width="3.109375" style="63" hidden="1" customWidth="1"/>
    <col min="3" max="3" width="2.109375" style="63" hidden="1" customWidth="1"/>
    <col min="4" max="4" width="9.6640625" style="63" bestFit="1" customWidth="1"/>
    <col min="5" max="5" width="42.109375" style="63" customWidth="1"/>
    <col min="6" max="6" width="14.6640625" style="63" customWidth="1"/>
    <col min="7" max="133" width="17" style="63" customWidth="1"/>
    <col min="134" max="16384" width="8.88671875" style="63"/>
  </cols>
  <sheetData>
    <row r="1" spans="4:15" ht="19.95" customHeight="1" x14ac:dyDescent="0.3">
      <c r="K1" s="103" t="s">
        <v>127</v>
      </c>
      <c r="L1" s="103"/>
      <c r="M1" s="104">
        <v>44893</v>
      </c>
      <c r="N1" s="104"/>
    </row>
    <row r="2" spans="4:15" hidden="1" x14ac:dyDescent="0.3">
      <c r="K2" s="64"/>
      <c r="L2" s="64"/>
      <c r="M2" s="65"/>
      <c r="N2" s="66"/>
    </row>
    <row r="3" spans="4:15" ht="19.95" customHeight="1" x14ac:dyDescent="0.3">
      <c r="K3" s="103" t="s">
        <v>128</v>
      </c>
      <c r="L3" s="103"/>
      <c r="M3" s="104" t="s">
        <v>199</v>
      </c>
      <c r="N3" s="104"/>
    </row>
    <row r="4" spans="4:15" hidden="1" x14ac:dyDescent="0.3">
      <c r="K4" s="64"/>
      <c r="L4" s="64"/>
      <c r="M4" s="65"/>
      <c r="N4" s="67"/>
    </row>
    <row r="5" spans="4:15" ht="19.95" customHeight="1" thickBot="1" x14ac:dyDescent="0.35">
      <c r="K5" s="105" t="s">
        <v>129</v>
      </c>
      <c r="L5" s="105"/>
      <c r="M5" s="106" t="s">
        <v>130</v>
      </c>
      <c r="N5" s="106"/>
    </row>
    <row r="6" spans="4:15" ht="28.2" customHeight="1" thickTop="1" thickBot="1" x14ac:dyDescent="0.35">
      <c r="D6" s="68"/>
      <c r="E6" s="69" t="s">
        <v>210</v>
      </c>
      <c r="F6" s="68"/>
      <c r="G6" s="68"/>
      <c r="H6" s="68"/>
      <c r="I6" s="68"/>
      <c r="J6" s="68"/>
      <c r="K6" s="68"/>
      <c r="L6" s="68"/>
      <c r="M6" s="68"/>
      <c r="N6" s="68"/>
    </row>
    <row r="7" spans="4:15" ht="15" thickTop="1" x14ac:dyDescent="0.3"/>
    <row r="8" spans="4:15" x14ac:dyDescent="0.3">
      <c r="E8" s="70" t="s">
        <v>190</v>
      </c>
      <c r="F8" s="100" t="s">
        <v>183</v>
      </c>
      <c r="G8" s="100"/>
      <c r="H8" s="64"/>
      <c r="I8" s="64"/>
      <c r="J8" s="70" t="s">
        <v>186</v>
      </c>
      <c r="K8" s="70"/>
      <c r="L8" s="100" t="s">
        <v>187</v>
      </c>
      <c r="M8" s="100"/>
    </row>
    <row r="9" spans="4:15" ht="5.4" customHeight="1" x14ac:dyDescent="0.3">
      <c r="E9" s="71"/>
      <c r="F9" s="101"/>
      <c r="G9" s="101"/>
      <c r="H9" s="64"/>
      <c r="I9" s="64"/>
      <c r="J9" s="71"/>
      <c r="K9" s="71"/>
      <c r="L9" s="101"/>
      <c r="M9" s="101"/>
    </row>
    <row r="10" spans="4:15" x14ac:dyDescent="0.3">
      <c r="E10" s="70" t="s">
        <v>184</v>
      </c>
      <c r="F10" s="100" t="s">
        <v>185</v>
      </c>
      <c r="G10" s="100"/>
      <c r="H10" s="64"/>
      <c r="I10" s="64"/>
      <c r="J10" s="70" t="s">
        <v>188</v>
      </c>
      <c r="K10" s="70"/>
      <c r="L10" s="100" t="s">
        <v>191</v>
      </c>
      <c r="M10" s="100"/>
    </row>
    <row r="11" spans="4:15" ht="25.8" hidden="1" x14ac:dyDescent="0.3">
      <c r="E11" s="72"/>
      <c r="F11" s="72"/>
      <c r="G11" s="72"/>
      <c r="H11" s="72"/>
      <c r="I11" s="72"/>
      <c r="J11" s="72"/>
      <c r="K11" s="72"/>
      <c r="L11" s="72"/>
      <c r="M11" s="72"/>
      <c r="N11" s="72"/>
      <c r="O11" s="72"/>
    </row>
    <row r="12" spans="4:15" ht="25.8" hidden="1" x14ac:dyDescent="0.3">
      <c r="E12" s="72"/>
      <c r="F12" s="72"/>
      <c r="G12" s="72"/>
      <c r="H12" s="72"/>
      <c r="I12" s="72"/>
      <c r="J12" s="72"/>
      <c r="K12" s="72"/>
      <c r="L12" s="72"/>
      <c r="M12" s="72"/>
      <c r="N12" s="72"/>
      <c r="O12" s="72"/>
    </row>
    <row r="13" spans="4:15" ht="17.399999999999999" customHeight="1" x14ac:dyDescent="0.3">
      <c r="E13" s="72"/>
      <c r="F13" s="72"/>
      <c r="G13" s="72"/>
      <c r="H13" s="72"/>
      <c r="I13" s="72"/>
      <c r="J13" s="72"/>
      <c r="K13" s="72"/>
      <c r="L13" s="72"/>
      <c r="M13" s="72"/>
      <c r="N13" s="72"/>
      <c r="O13" s="72"/>
    </row>
    <row r="14" spans="4:15" ht="22.8" customHeight="1" x14ac:dyDescent="0.3">
      <c r="E14" s="64"/>
      <c r="F14" s="64"/>
      <c r="G14" s="64"/>
      <c r="H14" s="64"/>
      <c r="I14" s="64"/>
      <c r="J14" s="64"/>
      <c r="K14" s="64"/>
      <c r="L14" s="64"/>
      <c r="M14" s="64"/>
      <c r="N14" s="64"/>
      <c r="O14" s="64"/>
    </row>
    <row r="15" spans="4:15" s="73" customFormat="1" ht="28.8" x14ac:dyDescent="0.3">
      <c r="D15" s="89" t="s">
        <v>100</v>
      </c>
      <c r="E15" s="89" t="s">
        <v>101</v>
      </c>
      <c r="F15" s="89" t="s">
        <v>102</v>
      </c>
      <c r="G15" s="89" t="s">
        <v>115</v>
      </c>
      <c r="H15" s="89" t="s">
        <v>116</v>
      </c>
      <c r="I15" s="89" t="s">
        <v>117</v>
      </c>
      <c r="J15" s="89" t="s">
        <v>118</v>
      </c>
      <c r="K15" s="89" t="s">
        <v>120</v>
      </c>
      <c r="L15" s="89" t="s">
        <v>122</v>
      </c>
      <c r="M15" s="89" t="s">
        <v>123</v>
      </c>
      <c r="N15" s="89" t="s">
        <v>134</v>
      </c>
    </row>
    <row r="16" spans="4:15" s="73" customFormat="1" ht="38.4" hidden="1" customHeight="1" x14ac:dyDescent="0.3">
      <c r="D16" s="73" t="s">
        <v>100</v>
      </c>
      <c r="E16" s="73" t="s">
        <v>101</v>
      </c>
      <c r="F16" s="73" t="s">
        <v>102</v>
      </c>
      <c r="G16" s="73" t="s">
        <v>115</v>
      </c>
      <c r="H16" s="73" t="s">
        <v>116</v>
      </c>
      <c r="I16" s="73" t="s">
        <v>117</v>
      </c>
      <c r="J16" s="73" t="s">
        <v>118</v>
      </c>
      <c r="K16" s="73" t="s">
        <v>120</v>
      </c>
      <c r="L16" s="73" t="s">
        <v>122</v>
      </c>
      <c r="M16" s="73" t="s">
        <v>123</v>
      </c>
      <c r="N16" s="73" t="s">
        <v>134</v>
      </c>
    </row>
    <row r="17" spans="4:14" ht="33.6" customHeight="1" x14ac:dyDescent="0.3">
      <c r="D17" s="60" t="s">
        <v>0</v>
      </c>
      <c r="E17" s="61" t="s">
        <v>1</v>
      </c>
      <c r="F17" s="80">
        <v>4</v>
      </c>
      <c r="G17" s="62" t="s">
        <v>3</v>
      </c>
      <c r="H17" s="60" t="s">
        <v>3</v>
      </c>
      <c r="I17" s="60" t="s">
        <v>2</v>
      </c>
      <c r="J17" s="60" t="s">
        <v>5</v>
      </c>
      <c r="K17" s="60" t="s">
        <v>3</v>
      </c>
      <c r="L17" s="60" t="s">
        <v>6</v>
      </c>
      <c r="M17" s="60" t="s">
        <v>3</v>
      </c>
      <c r="N17" s="60" t="s">
        <v>4</v>
      </c>
    </row>
    <row r="18" spans="4:14" ht="33.6" customHeight="1" x14ac:dyDescent="0.3">
      <c r="D18" s="60" t="s">
        <v>7</v>
      </c>
      <c r="E18" s="61" t="s">
        <v>196</v>
      </c>
      <c r="F18" s="80">
        <v>3</v>
      </c>
      <c r="G18" s="62" t="s">
        <v>5</v>
      </c>
      <c r="H18" s="60" t="s">
        <v>197</v>
      </c>
      <c r="I18" s="60" t="s">
        <v>2</v>
      </c>
      <c r="J18" s="60" t="s">
        <v>5</v>
      </c>
      <c r="K18" s="60" t="s">
        <v>2</v>
      </c>
      <c r="L18" s="60" t="s">
        <v>5</v>
      </c>
      <c r="M18" s="60" t="s">
        <v>5</v>
      </c>
      <c r="N18" s="60"/>
    </row>
    <row r="19" spans="4:14" ht="33.6" customHeight="1" x14ac:dyDescent="0.3">
      <c r="D19" s="60" t="s">
        <v>8</v>
      </c>
      <c r="E19" s="61" t="s">
        <v>9</v>
      </c>
      <c r="F19" s="80">
        <v>3</v>
      </c>
      <c r="G19" s="62" t="s">
        <v>12</v>
      </c>
      <c r="H19" s="60" t="s">
        <v>11</v>
      </c>
      <c r="I19" s="60" t="s">
        <v>10</v>
      </c>
      <c r="J19" s="60" t="s">
        <v>13</v>
      </c>
      <c r="K19" s="60" t="s">
        <v>10</v>
      </c>
      <c r="L19" s="60" t="s">
        <v>11</v>
      </c>
      <c r="M19" s="60" t="s">
        <v>13</v>
      </c>
      <c r="N19" s="60"/>
    </row>
    <row r="20" spans="4:14" ht="33.6" customHeight="1" x14ac:dyDescent="0.3">
      <c r="D20" s="60" t="s">
        <v>15</v>
      </c>
      <c r="E20" s="61" t="s">
        <v>16</v>
      </c>
      <c r="F20" s="80">
        <v>3</v>
      </c>
      <c r="G20" s="62" t="s">
        <v>19</v>
      </c>
      <c r="H20" s="60" t="s">
        <v>21</v>
      </c>
      <c r="I20" s="60" t="s">
        <v>17</v>
      </c>
      <c r="J20" s="60" t="s">
        <v>21</v>
      </c>
      <c r="K20" s="60" t="s">
        <v>17</v>
      </c>
      <c r="L20" s="60" t="s">
        <v>19</v>
      </c>
      <c r="M20" s="60"/>
      <c r="N20" s="60"/>
    </row>
    <row r="21" spans="4:14" ht="33.6" customHeight="1" x14ac:dyDescent="0.3">
      <c r="D21" s="60" t="s">
        <v>22</v>
      </c>
      <c r="E21" s="61" t="s">
        <v>23</v>
      </c>
      <c r="F21" s="80">
        <v>2</v>
      </c>
      <c r="G21" s="62" t="s">
        <v>26</v>
      </c>
      <c r="H21" s="60" t="s">
        <v>28</v>
      </c>
      <c r="I21" s="60" t="s">
        <v>24</v>
      </c>
      <c r="J21" s="60" t="s">
        <v>28</v>
      </c>
      <c r="K21" s="60" t="s">
        <v>24</v>
      </c>
      <c r="L21" s="60" t="s">
        <v>25</v>
      </c>
      <c r="M21" s="60"/>
      <c r="N21" s="60"/>
    </row>
    <row r="22" spans="4:14" ht="33.6" customHeight="1" x14ac:dyDescent="0.3">
      <c r="D22" s="60" t="s">
        <v>29</v>
      </c>
      <c r="E22" s="61" t="s">
        <v>30</v>
      </c>
      <c r="F22" s="80">
        <v>3</v>
      </c>
      <c r="G22" s="62"/>
      <c r="H22" s="60" t="s">
        <v>35</v>
      </c>
      <c r="I22" s="60" t="s">
        <v>31</v>
      </c>
      <c r="J22" s="60" t="s">
        <v>34</v>
      </c>
      <c r="K22" s="60" t="s">
        <v>31</v>
      </c>
      <c r="L22" s="60" t="s">
        <v>32</v>
      </c>
      <c r="M22" s="60"/>
      <c r="N22" s="60"/>
    </row>
    <row r="23" spans="4:14" ht="33.6" customHeight="1" x14ac:dyDescent="0.3">
      <c r="D23" s="60" t="s">
        <v>36</v>
      </c>
      <c r="E23" s="61" t="s">
        <v>37</v>
      </c>
      <c r="F23" s="80">
        <v>2</v>
      </c>
      <c r="G23" s="62"/>
      <c r="H23" s="60" t="s">
        <v>42</v>
      </c>
      <c r="I23" s="60"/>
      <c r="J23" s="60" t="s">
        <v>42</v>
      </c>
      <c r="K23" s="60" t="s">
        <v>39</v>
      </c>
      <c r="L23" s="60" t="s">
        <v>42</v>
      </c>
      <c r="M23" s="60"/>
      <c r="N23" s="60"/>
    </row>
    <row r="24" spans="4:14" ht="33.6" customHeight="1" x14ac:dyDescent="0.3">
      <c r="D24" s="60" t="s">
        <v>43</v>
      </c>
      <c r="E24" s="61" t="s">
        <v>44</v>
      </c>
      <c r="F24" s="80">
        <v>4</v>
      </c>
      <c r="G24" s="62"/>
      <c r="H24" s="60" t="s">
        <v>49</v>
      </c>
      <c r="I24" s="60"/>
      <c r="J24" s="60" t="s">
        <v>49</v>
      </c>
      <c r="K24" s="60"/>
      <c r="L24" s="60"/>
      <c r="M24" s="60"/>
      <c r="N24" s="60"/>
    </row>
    <row r="25" spans="4:14" ht="33.6" customHeight="1" x14ac:dyDescent="0.3">
      <c r="D25" s="60" t="s">
        <v>50</v>
      </c>
      <c r="E25" s="61" t="s">
        <v>51</v>
      </c>
      <c r="F25" s="80">
        <v>1</v>
      </c>
      <c r="G25" s="62"/>
      <c r="H25" s="60" t="s">
        <v>56</v>
      </c>
      <c r="I25" s="60"/>
      <c r="J25" s="60" t="s">
        <v>56</v>
      </c>
      <c r="K25" s="60" t="s">
        <v>54</v>
      </c>
      <c r="L25" s="60" t="s">
        <v>56</v>
      </c>
      <c r="M25" s="60" t="s">
        <v>55</v>
      </c>
      <c r="N25" s="60"/>
    </row>
    <row r="26" spans="4:14" ht="33.6" customHeight="1" x14ac:dyDescent="0.3">
      <c r="D26" s="60" t="s">
        <v>57</v>
      </c>
      <c r="E26" s="61" t="s">
        <v>58</v>
      </c>
      <c r="F26" s="80">
        <v>2</v>
      </c>
      <c r="G26" s="62"/>
      <c r="H26" s="60" t="s">
        <v>63</v>
      </c>
      <c r="I26" s="60" t="s">
        <v>59</v>
      </c>
      <c r="J26" s="60"/>
      <c r="K26" s="60" t="s">
        <v>61</v>
      </c>
      <c r="L26" s="60" t="s">
        <v>63</v>
      </c>
      <c r="M26" s="60"/>
      <c r="N26" s="60"/>
    </row>
    <row r="27" spans="4:14" ht="33.6" customHeight="1" x14ac:dyDescent="0.3">
      <c r="D27" s="60" t="s">
        <v>64</v>
      </c>
      <c r="E27" s="61" t="s">
        <v>65</v>
      </c>
      <c r="F27" s="80">
        <v>3</v>
      </c>
      <c r="G27" s="62"/>
      <c r="H27" s="60" t="s">
        <v>66</v>
      </c>
      <c r="I27" s="60" t="s">
        <v>66</v>
      </c>
      <c r="J27" s="60"/>
      <c r="K27" s="60"/>
      <c r="L27" s="60" t="s">
        <v>70</v>
      </c>
      <c r="M27" s="60"/>
      <c r="N27" s="60"/>
    </row>
    <row r="28" spans="4:14" ht="33.6" customHeight="1" x14ac:dyDescent="0.3">
      <c r="D28" s="60" t="s">
        <v>71</v>
      </c>
      <c r="E28" s="61" t="s">
        <v>72</v>
      </c>
      <c r="F28" s="80">
        <v>2</v>
      </c>
      <c r="G28" s="62"/>
      <c r="H28" s="60" t="s">
        <v>74</v>
      </c>
      <c r="I28" s="60" t="s">
        <v>73</v>
      </c>
      <c r="J28" s="60"/>
      <c r="K28" s="60"/>
      <c r="L28" s="60" t="s">
        <v>77</v>
      </c>
      <c r="M28" s="60"/>
      <c r="N28" s="60"/>
    </row>
    <row r="29" spans="4:14" ht="33.6" customHeight="1" x14ac:dyDescent="0.3">
      <c r="D29" s="60" t="s">
        <v>78</v>
      </c>
      <c r="E29" s="61" t="s">
        <v>79</v>
      </c>
      <c r="F29" s="80">
        <v>4</v>
      </c>
      <c r="G29" s="62"/>
      <c r="H29" s="60" t="s">
        <v>84</v>
      </c>
      <c r="I29" s="60" t="s">
        <v>80</v>
      </c>
      <c r="J29" s="60"/>
      <c r="K29" s="60"/>
      <c r="L29" s="60" t="s">
        <v>83</v>
      </c>
      <c r="M29" s="60"/>
      <c r="N29" s="60" t="s">
        <v>81</v>
      </c>
    </row>
    <row r="30" spans="4:14" ht="33.6" customHeight="1" x14ac:dyDescent="0.3">
      <c r="D30" s="60" t="s">
        <v>85</v>
      </c>
      <c r="E30" s="61" t="s">
        <v>86</v>
      </c>
      <c r="F30" s="80">
        <v>2</v>
      </c>
      <c r="G30" s="62"/>
      <c r="H30" s="60" t="s">
        <v>80</v>
      </c>
      <c r="I30" s="60" t="s">
        <v>87</v>
      </c>
      <c r="J30" s="60"/>
      <c r="K30" s="60" t="s">
        <v>88</v>
      </c>
      <c r="L30" s="60" t="s">
        <v>80</v>
      </c>
      <c r="M30" s="60"/>
      <c r="N30" s="60"/>
    </row>
    <row r="31" spans="4:14" ht="33.6" customHeight="1" x14ac:dyDescent="0.3">
      <c r="D31" s="60" t="s">
        <v>91</v>
      </c>
      <c r="E31" s="61" t="s">
        <v>92</v>
      </c>
      <c r="F31" s="80">
        <v>3</v>
      </c>
      <c r="G31" s="62"/>
      <c r="H31" s="60" t="s">
        <v>80</v>
      </c>
      <c r="I31" s="60" t="s">
        <v>94</v>
      </c>
      <c r="J31" s="60"/>
      <c r="K31" s="60"/>
      <c r="L31" s="60" t="s">
        <v>97</v>
      </c>
      <c r="M31" s="60"/>
      <c r="N31" s="60"/>
    </row>
    <row r="32" spans="4:14" ht="33.6" customHeight="1" x14ac:dyDescent="0.3">
      <c r="D32" s="60" t="s">
        <v>98</v>
      </c>
      <c r="E32" s="61" t="s">
        <v>99</v>
      </c>
      <c r="F32" s="80"/>
      <c r="G32" s="62"/>
      <c r="H32" s="60"/>
      <c r="I32" s="60"/>
      <c r="J32" s="60"/>
      <c r="K32" s="60"/>
      <c r="L32" s="60"/>
      <c r="M32" s="60"/>
      <c r="N32" s="60"/>
    </row>
    <row r="33" spans="4:14" ht="33.6" customHeight="1" x14ac:dyDescent="0.3">
      <c r="D33" s="77"/>
      <c r="E33" s="77" t="s">
        <v>323</v>
      </c>
      <c r="F33" s="77"/>
      <c r="G33" s="77">
        <f>SUM(SUMPRODUCT(SUMIFS(TableListCriteria[Points], TableListCriteria[Code], TableEvaluation[Code], TableListCriteria[Critere], TableEvaluation[Project 1], TableListCriteria[Critere], "&lt;&gt; """), TableEvaluation[Coefficient de pondération]))</f>
        <v>-1</v>
      </c>
      <c r="H33" s="78">
        <f>SUM(SUMPRODUCT(SUMIFS(TableListCriteria[Points], TableListCriteria[Code], TableEvaluation[Code], TableListCriteria[Critere], TableEvaluation[Project 2], TableListCriteria[Critere], "&lt;&gt; """), TableEvaluation[Coefficient de pondération]))</f>
        <v>37</v>
      </c>
      <c r="I33" s="78">
        <f>SUM(SUMPRODUCT(SUMIFS(TableListCriteria[Points], TableListCriteria[Code], TableEvaluation[Code], TableListCriteria[Critere], TableEvaluation[Project 3], TableListCriteria[Critere], "&lt;&gt; """), TableEvaluation[Coefficient de pondération]))</f>
        <v>-65</v>
      </c>
      <c r="J33" s="78">
        <f>SUM(SUMPRODUCT(SUMIFS(TableListCriteria[Points], TableListCriteria[Code], TableEvaluation[Code], TableListCriteria[Critere], TableEvaluation[Project 4], TableListCriteria[Critere], "&lt;&gt; """), TableEvaluation[Coefficient de pondération]))</f>
        <v>37</v>
      </c>
      <c r="K33" s="78">
        <f>SUM(SUMPRODUCT(SUMIFS(TableListCriteria[Points], TableListCriteria[Code], TableEvaluation[Code], TableListCriteria[Critere], TableEvaluation[Project 5], TableListCriteria[Critere], "&lt;&gt; """), TableEvaluation[Coefficient de pondération]))</f>
        <v>-36</v>
      </c>
      <c r="L33" s="78">
        <f>SUM(SUMPRODUCT(SUMIFS(TableListCriteria[Points], TableListCriteria[Code], TableEvaluation[Code], TableListCriteria[Critere], TableEvaluation[Project 6], TableListCriteria[Critere], "&lt;&gt; """), TableEvaluation[Coefficient de pondération]))</f>
        <v>37</v>
      </c>
      <c r="M33" s="77">
        <f>SUM(SUMPRODUCT(SUMIFS(TableListCriteria[Points], TableListCriteria[Code], TableEvaluation[Code], TableListCriteria[Critere], TableEvaluation[Project 7], TableListCriteria[Critere], "&lt;&gt; """), TableEvaluation[Coefficient de pondération]))</f>
        <v>3</v>
      </c>
      <c r="N33" s="77">
        <f>SUM(SUMPRODUCT(SUMIFS(TableListCriteria[Points], TableListCriteria[Code], TableEvaluation[Code], TableListCriteria[Critere], TableEvaluation[Project 8], TableListCriteria[Critere], "&lt;&gt; """), TableEvaluation[Coefficient de pondération]))</f>
        <v>-4</v>
      </c>
    </row>
    <row r="34" spans="4:14" s="75" customFormat="1" ht="33.6" customHeight="1" x14ac:dyDescent="0.3">
      <c r="D34" s="82" t="s">
        <v>198</v>
      </c>
      <c r="E34" s="79" t="s">
        <v>125</v>
      </c>
      <c r="F34" s="82" t="s">
        <v>198</v>
      </c>
      <c r="G34" s="74" t="str">
        <f t="array" ref="G34">INDEX(TablePriority[Priorité], MATCH(1, (TableEvaluation[[#Totals], [Project 1]]&gt;=TablePriority[Min])*(TableEvaluation[[#Totals], [Project 1]]&lt;TablePriority[Max]), 0))</f>
        <v>P3</v>
      </c>
      <c r="H34" s="74" t="str">
        <f t="array" ref="H34">INDEX(TablePriority[Priorité], MATCH(1, (TableEvaluation[[#Totals], [Project 2]]&gt;=TablePriority[Min])*(TableEvaluation[[#Totals], [Project 2]]&lt;TablePriority[Max]), 0))</f>
        <v>P1</v>
      </c>
      <c r="I34" s="74" t="str">
        <f t="array" ref="I34">INDEX(TablePriority[Priorité], MATCH(1, (TableEvaluation[[#Totals], [Project 3]]&gt;=TablePriority[Min])*(TableEvaluation[[#Totals], [Project 3]]&lt;TablePriority[Max]), 0))</f>
        <v>P4</v>
      </c>
      <c r="J34" s="74" t="str">
        <f t="array" ref="J34">INDEX(TablePriority[Priorité], MATCH(1, (TableEvaluation[[#Totals], [Project 4]]&gt;=TablePriority[Min])*(TableEvaluation[[#Totals], [Project 4]]&lt;TablePriority[Max]), 0))</f>
        <v>P1</v>
      </c>
      <c r="K34" s="74" t="str">
        <f t="array" ref="K34">INDEX(TablePriority[Priorité], MATCH(1, (TableEvaluation[[#Totals], [Project 5]]&gt;=TablePriority[Min])*(TableEvaluation[[#Totals], [Project 5]]&lt;TablePriority[Max]), 0))</f>
        <v>P4</v>
      </c>
      <c r="L34" s="74" t="str">
        <f t="array" ref="L34">INDEX(TablePriority[Priorité], MATCH(1, (TableEvaluation[[#Totals], [Project 6]]&gt;=TablePriority[Min])*(TableEvaluation[[#Totals], [Project 6]]&lt;TablePriority[Max]), 0))</f>
        <v>P1</v>
      </c>
      <c r="M34" s="74" t="str">
        <f t="array" ref="M34">INDEX(TablePriority[Priorité], MATCH(1, (TableEvaluation[[#Totals], [Project 7]]&gt;=TablePriority[Min])*(TableEvaluation[[#Totals], [Project 7]]&lt;TablePriority[Max]), 0))</f>
        <v>P2</v>
      </c>
      <c r="N34" s="74" t="str">
        <f t="array" ref="N34">INDEX(TablePriority[Priorité], MATCH(1, (TableEvaluation[[#Totals], [Project 8]]&gt;=TablePriority[Min])*(TableEvaluation[[#Totals], [Project 8]]&lt;TablePriority[Max]), 0))</f>
        <v>P3</v>
      </c>
    </row>
    <row r="35" spans="4:14" s="74" customFormat="1" ht="33.6" customHeight="1" x14ac:dyDescent="0.3">
      <c r="D35" s="102"/>
      <c r="E35" s="102"/>
      <c r="F35" s="102"/>
      <c r="G35" s="63"/>
      <c r="H35" s="63"/>
      <c r="I35" s="63"/>
      <c r="J35" s="63"/>
      <c r="K35" s="63"/>
      <c r="L35" s="76"/>
      <c r="M35" s="63"/>
      <c r="N35" s="63"/>
    </row>
    <row r="36" spans="4:14" ht="33.6" customHeight="1" x14ac:dyDescent="0.3">
      <c r="G36" s="9"/>
      <c r="J36" s="76"/>
      <c r="K36" s="76"/>
      <c r="L36" s="76"/>
    </row>
    <row r="37" spans="4:14" ht="33.6" customHeight="1" x14ac:dyDescent="0.3">
      <c r="J37" s="76"/>
      <c r="K37" s="76"/>
      <c r="L37" s="76"/>
    </row>
    <row r="38" spans="4:14" ht="33.6" customHeight="1" x14ac:dyDescent="0.3">
      <c r="J38" s="76"/>
      <c r="K38" s="76"/>
      <c r="L38" s="76"/>
    </row>
    <row r="39" spans="4:14" ht="33.6" customHeight="1" x14ac:dyDescent="0.3">
      <c r="J39" s="76"/>
      <c r="K39" s="76"/>
      <c r="L39" s="76"/>
    </row>
    <row r="40" spans="4:14" ht="33.6" customHeight="1" x14ac:dyDescent="0.3">
      <c r="J40" s="76"/>
      <c r="K40" s="76"/>
      <c r="L40" s="76"/>
    </row>
    <row r="41" spans="4:14" ht="33.6" customHeight="1" x14ac:dyDescent="0.3">
      <c r="J41" s="76"/>
      <c r="K41" s="76"/>
      <c r="L41" s="76"/>
    </row>
    <row r="42" spans="4:14" ht="33.6" customHeight="1" x14ac:dyDescent="0.3">
      <c r="J42" s="76"/>
      <c r="K42" s="76"/>
      <c r="L42" s="76"/>
    </row>
    <row r="43" spans="4:14" ht="33.6" customHeight="1" x14ac:dyDescent="0.3">
      <c r="J43" s="76"/>
      <c r="K43" s="76"/>
      <c r="L43" s="76"/>
    </row>
    <row r="44" spans="4:14" ht="33.6" customHeight="1" x14ac:dyDescent="0.3">
      <c r="J44" s="76"/>
      <c r="K44" s="76"/>
      <c r="L44" s="76"/>
    </row>
    <row r="45" spans="4:14" ht="33.6" customHeight="1" x14ac:dyDescent="0.3">
      <c r="J45" s="76"/>
      <c r="K45" s="76"/>
      <c r="L45" s="76"/>
    </row>
    <row r="46" spans="4:14" ht="33.6" customHeight="1" x14ac:dyDescent="0.3">
      <c r="J46" s="76"/>
      <c r="K46" s="76"/>
      <c r="L46" s="76"/>
    </row>
    <row r="47" spans="4:14" ht="33.6" customHeight="1" x14ac:dyDescent="0.3">
      <c r="J47" s="76"/>
      <c r="K47" s="76"/>
      <c r="L47" s="76"/>
    </row>
    <row r="48" spans="4:14" ht="33.6" customHeight="1" x14ac:dyDescent="0.3">
      <c r="J48" s="76"/>
      <c r="K48" s="76"/>
      <c r="L48" s="76"/>
    </row>
    <row r="49" spans="10:12" ht="33.6" customHeight="1" x14ac:dyDescent="0.3">
      <c r="J49" s="76"/>
      <c r="K49" s="76"/>
      <c r="L49" s="76"/>
    </row>
    <row r="50" spans="10:12" ht="33.6" customHeight="1" x14ac:dyDescent="0.3">
      <c r="J50" s="76"/>
      <c r="K50" s="76"/>
      <c r="L50" s="76"/>
    </row>
    <row r="51" spans="10:12" ht="33.6" customHeight="1" x14ac:dyDescent="0.3"/>
    <row r="52" spans="10:12" ht="33.6" customHeight="1" x14ac:dyDescent="0.3"/>
    <row r="53" spans="10:12" ht="33.6" customHeight="1" x14ac:dyDescent="0.3"/>
    <row r="54" spans="10:12" ht="33.6" customHeight="1" x14ac:dyDescent="0.3"/>
    <row r="55" spans="10:12" ht="33.6" customHeight="1" x14ac:dyDescent="0.3"/>
    <row r="56" spans="10:12" ht="33.6" customHeight="1" x14ac:dyDescent="0.3"/>
    <row r="57" spans="10:12" ht="33.6" customHeight="1" x14ac:dyDescent="0.3"/>
    <row r="58" spans="10:12" ht="33.6" customHeight="1" x14ac:dyDescent="0.3"/>
    <row r="59" spans="10:12" ht="33.6" customHeight="1" x14ac:dyDescent="0.3"/>
    <row r="60" spans="10:12" ht="33.6" customHeight="1" x14ac:dyDescent="0.3"/>
    <row r="61" spans="10:12" ht="33.6" customHeight="1" x14ac:dyDescent="0.3"/>
    <row r="62" spans="10:12" ht="33.6" customHeight="1" x14ac:dyDescent="0.3"/>
    <row r="63" spans="10:12" ht="33.6" customHeight="1" x14ac:dyDescent="0.3"/>
    <row r="64" spans="10:12" ht="33.6" customHeight="1" x14ac:dyDescent="0.3"/>
    <row r="65" ht="33.6" customHeight="1" x14ac:dyDescent="0.3"/>
    <row r="66" ht="33.6" customHeight="1" x14ac:dyDescent="0.3"/>
    <row r="67" ht="33.6" customHeight="1" x14ac:dyDescent="0.3"/>
    <row r="68" ht="33.6" customHeight="1" x14ac:dyDescent="0.3"/>
    <row r="69" ht="33.6" customHeight="1" x14ac:dyDescent="0.3"/>
    <row r="70" ht="33.6" customHeight="1" x14ac:dyDescent="0.3"/>
    <row r="71" ht="33.6" customHeight="1" x14ac:dyDescent="0.3"/>
    <row r="72" ht="33.6" customHeight="1" x14ac:dyDescent="0.3"/>
    <row r="73" ht="33.6" customHeight="1" x14ac:dyDescent="0.3"/>
    <row r="74" ht="33.6" customHeight="1" x14ac:dyDescent="0.3"/>
    <row r="75" ht="33.6" customHeight="1" x14ac:dyDescent="0.3"/>
    <row r="76" ht="33.6" customHeight="1" x14ac:dyDescent="0.3"/>
    <row r="77" ht="33.6" customHeight="1" x14ac:dyDescent="0.3"/>
    <row r="78" ht="33.6" customHeight="1" x14ac:dyDescent="0.3"/>
    <row r="79" ht="33.6" customHeight="1" x14ac:dyDescent="0.3"/>
    <row r="80" ht="33.6" customHeight="1" x14ac:dyDescent="0.3"/>
    <row r="81" ht="33.6" customHeight="1" x14ac:dyDescent="0.3"/>
    <row r="82" ht="33.6" customHeight="1" x14ac:dyDescent="0.3"/>
    <row r="83" ht="33.6" customHeight="1" x14ac:dyDescent="0.3"/>
    <row r="84" ht="33.6" customHeight="1" x14ac:dyDescent="0.3"/>
    <row r="85" ht="33.6" customHeight="1" x14ac:dyDescent="0.3"/>
    <row r="86" ht="33.6" customHeight="1" x14ac:dyDescent="0.3"/>
    <row r="87" ht="33.6" customHeight="1" x14ac:dyDescent="0.3"/>
    <row r="88" ht="33.6" customHeight="1" x14ac:dyDescent="0.3"/>
    <row r="89" ht="33.6" customHeight="1" x14ac:dyDescent="0.3"/>
    <row r="90" ht="33.6" customHeight="1" x14ac:dyDescent="0.3"/>
    <row r="91" ht="33.6" customHeight="1" x14ac:dyDescent="0.3"/>
    <row r="92" ht="33.6" customHeight="1" x14ac:dyDescent="0.3"/>
    <row r="93" ht="33.6" customHeight="1" x14ac:dyDescent="0.3"/>
    <row r="94" ht="33.6" customHeight="1" x14ac:dyDescent="0.3"/>
    <row r="95" ht="33.6" customHeight="1" x14ac:dyDescent="0.3"/>
    <row r="96" ht="33.6" customHeight="1" x14ac:dyDescent="0.3"/>
    <row r="97" ht="33.6" customHeight="1" x14ac:dyDescent="0.3"/>
    <row r="98" ht="33.6" customHeight="1" x14ac:dyDescent="0.3"/>
    <row r="99" ht="33.6" customHeight="1" x14ac:dyDescent="0.3"/>
    <row r="100" ht="33.6" customHeight="1" x14ac:dyDescent="0.3"/>
    <row r="101" ht="33.6" customHeight="1" x14ac:dyDescent="0.3"/>
    <row r="102" ht="33.6" customHeight="1" x14ac:dyDescent="0.3"/>
    <row r="103" ht="33.6" customHeight="1" x14ac:dyDescent="0.3"/>
    <row r="104" ht="33.6" customHeight="1" x14ac:dyDescent="0.3"/>
    <row r="105" ht="33.6" customHeight="1" x14ac:dyDescent="0.3"/>
    <row r="106" ht="33.6" customHeight="1" x14ac:dyDescent="0.3"/>
    <row r="107" ht="33.6" customHeight="1" x14ac:dyDescent="0.3"/>
    <row r="108" ht="33.6" customHeight="1" x14ac:dyDescent="0.3"/>
    <row r="109" ht="33.6" customHeight="1" x14ac:dyDescent="0.3"/>
    <row r="110" ht="33.6" customHeight="1" x14ac:dyDescent="0.3"/>
    <row r="111" ht="33.6" customHeight="1" x14ac:dyDescent="0.3"/>
    <row r="112" ht="33.6" customHeight="1" x14ac:dyDescent="0.3"/>
    <row r="113" ht="33.6" customHeight="1" x14ac:dyDescent="0.3"/>
    <row r="114" ht="33.6" customHeight="1" x14ac:dyDescent="0.3"/>
    <row r="115" ht="33.6" customHeight="1" x14ac:dyDescent="0.3"/>
    <row r="116" ht="33.6" customHeight="1" x14ac:dyDescent="0.3"/>
    <row r="117" ht="33.6" customHeight="1" x14ac:dyDescent="0.3"/>
    <row r="118" ht="33.6" customHeight="1" x14ac:dyDescent="0.3"/>
    <row r="119" ht="33.6" customHeight="1" x14ac:dyDescent="0.3"/>
    <row r="120" ht="33.6" customHeight="1" x14ac:dyDescent="0.3"/>
    <row r="121" ht="33.6" customHeight="1" x14ac:dyDescent="0.3"/>
    <row r="122" ht="33.6" customHeight="1" x14ac:dyDescent="0.3"/>
    <row r="123" ht="33.6" customHeight="1" x14ac:dyDescent="0.3"/>
    <row r="124" ht="33.6" customHeight="1" x14ac:dyDescent="0.3"/>
    <row r="125" ht="33.6" customHeight="1" x14ac:dyDescent="0.3"/>
    <row r="126" ht="33.6" customHeight="1" x14ac:dyDescent="0.3"/>
    <row r="127" ht="33.6" customHeight="1" x14ac:dyDescent="0.3"/>
    <row r="128" ht="33.6" customHeight="1" x14ac:dyDescent="0.3"/>
    <row r="129" ht="33.6" customHeight="1" x14ac:dyDescent="0.3"/>
    <row r="130" ht="33.6" customHeight="1" x14ac:dyDescent="0.3"/>
    <row r="131" ht="33.6" customHeight="1" x14ac:dyDescent="0.3"/>
  </sheetData>
  <sheetProtection sheet="1" objects="1" scenarios="1" formatCells="0" formatColumns="0" formatRows="0" selectLockedCells="1"/>
  <mergeCells count="13">
    <mergeCell ref="L8:M8"/>
    <mergeCell ref="L9:M9"/>
    <mergeCell ref="L10:M10"/>
    <mergeCell ref="D35:F35"/>
    <mergeCell ref="K1:L1"/>
    <mergeCell ref="M1:N1"/>
    <mergeCell ref="K3:L3"/>
    <mergeCell ref="M3:N3"/>
    <mergeCell ref="K5:L5"/>
    <mergeCell ref="M5:N5"/>
    <mergeCell ref="F8:G8"/>
    <mergeCell ref="F9:G9"/>
    <mergeCell ref="F10:G10"/>
  </mergeCells>
  <phoneticPr fontId="4" type="noConversion"/>
  <conditionalFormatting sqref="D17:N33">
    <cfRule type="expression" dxfId="71" priority="4">
      <formula>D$34="P1"</formula>
    </cfRule>
    <cfRule type="expression" dxfId="70" priority="3">
      <formula>D$34="P2"</formula>
    </cfRule>
    <cfRule type="expression" dxfId="69" priority="2">
      <formula>D$34="P3"</formula>
    </cfRule>
    <cfRule type="expression" dxfId="68" priority="1">
      <formula>D$34="P4"</formula>
    </cfRule>
  </conditionalFormatting>
  <dataValidations count="2">
    <dataValidation type="list" allowBlank="1" showInputMessage="1" showErrorMessage="1" sqref="F17:F32" xr:uid="{1A44AE11-4B08-4955-93D0-E65996E686CB}">
      <formula1>INDIRECT("TableCoeffPonderation[Coefficients de pondération]")</formula1>
    </dataValidation>
    <dataValidation type="list" allowBlank="1" showInputMessage="1" showErrorMessage="1" sqref="G17:H32 I17:N32" xr:uid="{E0685DD3-DEF0-4063-938B-0413602FC065}">
      <formula1>INDIRECT("TableBECriteresSelection[" &amp; $D17 &amp; "]")</formula1>
    </dataValidation>
  </dataValidation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8FEAC-EDB4-4D61-8AF9-7E4842189AEB}">
  <sheetPr codeName="ShSettings">
    <tabColor rgb="FF7030A0"/>
  </sheetPr>
  <dimension ref="B1:O16"/>
  <sheetViews>
    <sheetView showGridLines="0" workbookViewId="0">
      <selection activeCell="L16" sqref="L16"/>
    </sheetView>
  </sheetViews>
  <sheetFormatPr defaultColWidth="8.88671875" defaultRowHeight="14.4" x14ac:dyDescent="0.3"/>
  <cols>
    <col min="1" max="1" width="4.33203125" customWidth="1"/>
    <col min="2" max="2" width="6.109375" hidden="1" customWidth="1"/>
    <col min="3" max="3" width="5.33203125" hidden="1" customWidth="1"/>
    <col min="4" max="4" width="12.6640625" customWidth="1"/>
    <col min="5" max="5" width="31.6640625" customWidth="1"/>
    <col min="6" max="6" width="21" customWidth="1"/>
    <col min="8" max="8" width="18.6640625" customWidth="1"/>
    <col min="9" max="9" width="13" customWidth="1"/>
    <col min="10" max="10" width="10.88671875" customWidth="1"/>
    <col min="11" max="11" width="12.33203125" customWidth="1"/>
    <col min="12" max="12" width="19.109375" customWidth="1"/>
    <col min="13" max="13" width="14.109375" customWidth="1"/>
    <col min="14" max="15" width="13.5546875" customWidth="1"/>
  </cols>
  <sheetData>
    <row r="1" spans="4:15" ht="19.95" customHeight="1" x14ac:dyDescent="0.3">
      <c r="L1" s="90" t="s">
        <v>127</v>
      </c>
      <c r="M1" s="90"/>
      <c r="N1" s="91">
        <v>44893</v>
      </c>
      <c r="O1" s="91"/>
    </row>
    <row r="2" spans="4:15" hidden="1" x14ac:dyDescent="0.3">
      <c r="L2" s="20"/>
      <c r="M2" s="20"/>
      <c r="N2" s="21"/>
      <c r="O2" s="22"/>
    </row>
    <row r="3" spans="4:15" ht="19.95" customHeight="1" x14ac:dyDescent="0.3">
      <c r="L3" s="90" t="s">
        <v>128</v>
      </c>
      <c r="M3" s="90"/>
      <c r="N3" s="91">
        <v>45000</v>
      </c>
      <c r="O3" s="91"/>
    </row>
    <row r="4" spans="4:15" hidden="1" x14ac:dyDescent="0.3">
      <c r="L4" s="20"/>
      <c r="M4" s="20"/>
      <c r="N4" s="21"/>
      <c r="O4" s="23"/>
    </row>
    <row r="5" spans="4:15" ht="19.95" customHeight="1" thickBot="1" x14ac:dyDescent="0.35">
      <c r="L5" s="92" t="s">
        <v>129</v>
      </c>
      <c r="M5" s="92"/>
      <c r="N5" s="93" t="s">
        <v>130</v>
      </c>
      <c r="O5" s="93"/>
    </row>
    <row r="6" spans="4:15" ht="28.2" customHeight="1" thickTop="1" thickBot="1" x14ac:dyDescent="0.35">
      <c r="D6" s="19"/>
      <c r="E6" s="33" t="s">
        <v>207</v>
      </c>
      <c r="F6" s="19"/>
      <c r="G6" s="19"/>
      <c r="H6" s="19"/>
      <c r="I6" s="19"/>
      <c r="J6" s="19"/>
      <c r="K6" s="19"/>
      <c r="L6" s="83" t="s">
        <v>200</v>
      </c>
      <c r="M6" s="19">
        <v>2</v>
      </c>
      <c r="N6" s="19"/>
      <c r="O6" s="19"/>
    </row>
    <row r="7" spans="4:15" ht="15" thickTop="1" x14ac:dyDescent="0.3"/>
    <row r="11" spans="4:15" x14ac:dyDescent="0.3">
      <c r="F11" s="84" t="s">
        <v>119</v>
      </c>
      <c r="I11" s="35" t="s">
        <v>108</v>
      </c>
      <c r="J11" s="35" t="s">
        <v>209</v>
      </c>
      <c r="K11" s="35" t="s">
        <v>109</v>
      </c>
    </row>
    <row r="12" spans="4:15" ht="23.4" hidden="1" customHeight="1" x14ac:dyDescent="0.3">
      <c r="F12" s="10" t="s">
        <v>119</v>
      </c>
      <c r="I12" s="35" t="s">
        <v>108</v>
      </c>
      <c r="J12" s="35" t="s">
        <v>124</v>
      </c>
      <c r="K12" s="35" t="s">
        <v>109</v>
      </c>
    </row>
    <row r="13" spans="4:15" x14ac:dyDescent="0.3">
      <c r="F13" s="11">
        <v>1</v>
      </c>
      <c r="I13" s="9">
        <v>32</v>
      </c>
      <c r="J13" s="16" t="s">
        <v>110</v>
      </c>
      <c r="K13" s="34">
        <v>200</v>
      </c>
    </row>
    <row r="14" spans="4:15" x14ac:dyDescent="0.3">
      <c r="F14" s="11">
        <v>2</v>
      </c>
      <c r="I14" s="9">
        <v>0</v>
      </c>
      <c r="J14" s="17" t="s">
        <v>111</v>
      </c>
      <c r="K14" s="81">
        <f>I13</f>
        <v>32</v>
      </c>
    </row>
    <row r="15" spans="4:15" x14ac:dyDescent="0.3">
      <c r="F15" s="11">
        <v>3</v>
      </c>
      <c r="I15" s="9">
        <v>-32</v>
      </c>
      <c r="J15" s="18" t="s">
        <v>112</v>
      </c>
      <c r="K15" s="81">
        <f>I14</f>
        <v>0</v>
      </c>
    </row>
    <row r="16" spans="4:15" x14ac:dyDescent="0.3">
      <c r="F16" s="11">
        <v>4</v>
      </c>
      <c r="I16" s="34">
        <v>-100</v>
      </c>
      <c r="J16" s="15" t="s">
        <v>113</v>
      </c>
      <c r="K16" s="81">
        <f>I15</f>
        <v>-32</v>
      </c>
    </row>
  </sheetData>
  <mergeCells count="6">
    <mergeCell ref="L1:M1"/>
    <mergeCell ref="N1:O1"/>
    <mergeCell ref="L3:M3"/>
    <mergeCell ref="N3:O3"/>
    <mergeCell ref="L5:M5"/>
    <mergeCell ref="N5:O5"/>
  </mergeCells>
  <pageMargins left="0.7" right="0.7" top="0.75" bottom="0.75" header="0.3" footer="0.3"/>
  <pageSetup paperSize="9" orientation="portrait" r:id="rId1"/>
  <ignoredErrors>
    <ignoredError sqref="K13"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change_langue">
                <anchor moveWithCells="1">
                  <from>
                    <xdr:col>12</xdr:col>
                    <xdr:colOff>175260</xdr:colOff>
                    <xdr:row>5</xdr:row>
                    <xdr:rowOff>68580</xdr:rowOff>
                  </from>
                  <to>
                    <xdr:col>13</xdr:col>
                    <xdr:colOff>784860</xdr:colOff>
                    <xdr:row>5</xdr:row>
                    <xdr:rowOff>289560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B5F98-4050-46A2-984B-40575498CABD}">
  <sheetPr codeName="ShLangue"/>
  <dimension ref="A1:F113"/>
  <sheetViews>
    <sheetView showGridLines="0" topLeftCell="A103" workbookViewId="0">
      <selection activeCell="A114" sqref="A114"/>
    </sheetView>
  </sheetViews>
  <sheetFormatPr defaultColWidth="9.109375" defaultRowHeight="14.4" x14ac:dyDescent="0.3"/>
  <cols>
    <col min="1" max="1" width="66.33203125" bestFit="1" customWidth="1"/>
    <col min="2" max="2" width="57.33203125" bestFit="1" customWidth="1"/>
    <col min="6" max="6" width="15" customWidth="1"/>
  </cols>
  <sheetData>
    <row r="1" spans="1:6" x14ac:dyDescent="0.3">
      <c r="A1" s="1" t="s">
        <v>201</v>
      </c>
      <c r="B1" s="1" t="s">
        <v>202</v>
      </c>
      <c r="F1" t="s">
        <v>200</v>
      </c>
    </row>
    <row r="2" spans="1:6" x14ac:dyDescent="0.3">
      <c r="A2" s="85" t="s">
        <v>119</v>
      </c>
      <c r="B2" s="1" t="s">
        <v>212</v>
      </c>
      <c r="F2" t="s">
        <v>202</v>
      </c>
    </row>
    <row r="3" spans="1:6" x14ac:dyDescent="0.3">
      <c r="A3" s="86" t="s">
        <v>211</v>
      </c>
      <c r="B3" s="1" t="s">
        <v>213</v>
      </c>
      <c r="F3" t="s">
        <v>201</v>
      </c>
    </row>
    <row r="4" spans="1:6" x14ac:dyDescent="0.3">
      <c r="A4" s="85" t="s">
        <v>210</v>
      </c>
      <c r="B4" s="1" t="s">
        <v>210</v>
      </c>
    </row>
    <row r="5" spans="1:6" x14ac:dyDescent="0.3">
      <c r="A5" s="85" t="s">
        <v>209</v>
      </c>
      <c r="B5" s="1" t="s">
        <v>214</v>
      </c>
    </row>
    <row r="6" spans="1:6" x14ac:dyDescent="0.3">
      <c r="A6" s="85" t="s">
        <v>207</v>
      </c>
      <c r="B6" s="1" t="s">
        <v>208</v>
      </c>
    </row>
    <row r="7" spans="1:6" x14ac:dyDescent="0.3">
      <c r="A7" s="85" t="s">
        <v>204</v>
      </c>
      <c r="B7" s="1" t="s">
        <v>205</v>
      </c>
    </row>
    <row r="8" spans="1:6" x14ac:dyDescent="0.3">
      <c r="A8" s="85" t="s">
        <v>127</v>
      </c>
      <c r="B8" s="1" t="s">
        <v>215</v>
      </c>
    </row>
    <row r="9" spans="1:6" x14ac:dyDescent="0.3">
      <c r="A9" s="85" t="s">
        <v>128</v>
      </c>
      <c r="B9" s="1" t="s">
        <v>203</v>
      </c>
    </row>
    <row r="10" spans="1:6" x14ac:dyDescent="0.3">
      <c r="A10" s="85" t="s">
        <v>129</v>
      </c>
      <c r="B10" s="1" t="s">
        <v>206</v>
      </c>
    </row>
    <row r="11" spans="1:6" x14ac:dyDescent="0.3">
      <c r="A11" s="86" t="s">
        <v>1</v>
      </c>
      <c r="B11" s="1" t="s">
        <v>216</v>
      </c>
    </row>
    <row r="12" spans="1:6" x14ac:dyDescent="0.3">
      <c r="A12" s="85" t="s">
        <v>196</v>
      </c>
      <c r="B12" s="1" t="s">
        <v>217</v>
      </c>
    </row>
    <row r="13" spans="1:6" x14ac:dyDescent="0.3">
      <c r="A13" s="86" t="s">
        <v>9</v>
      </c>
      <c r="B13" s="1" t="s">
        <v>218</v>
      </c>
    </row>
    <row r="14" spans="1:6" x14ac:dyDescent="0.3">
      <c r="A14" s="85" t="s">
        <v>16</v>
      </c>
      <c r="B14" s="1" t="s">
        <v>219</v>
      </c>
    </row>
    <row r="15" spans="1:6" x14ac:dyDescent="0.3">
      <c r="A15" s="85" t="s">
        <v>23</v>
      </c>
      <c r="B15" s="1" t="s">
        <v>220</v>
      </c>
    </row>
    <row r="16" spans="1:6" x14ac:dyDescent="0.3">
      <c r="A16" s="85" t="s">
        <v>30</v>
      </c>
      <c r="B16" s="1" t="s">
        <v>221</v>
      </c>
    </row>
    <row r="17" spans="1:2" x14ac:dyDescent="0.3">
      <c r="A17" s="85" t="s">
        <v>37</v>
      </c>
      <c r="B17" s="1" t="s">
        <v>222</v>
      </c>
    </row>
    <row r="18" spans="1:2" x14ac:dyDescent="0.3">
      <c r="A18" s="85" t="s">
        <v>44</v>
      </c>
      <c r="B18" s="1" t="s">
        <v>223</v>
      </c>
    </row>
    <row r="19" spans="1:2" x14ac:dyDescent="0.3">
      <c r="A19" s="85" t="s">
        <v>51</v>
      </c>
      <c r="B19" s="1" t="s">
        <v>224</v>
      </c>
    </row>
    <row r="20" spans="1:2" x14ac:dyDescent="0.3">
      <c r="A20" s="86" t="s">
        <v>58</v>
      </c>
      <c r="B20" s="1" t="s">
        <v>225</v>
      </c>
    </row>
    <row r="21" spans="1:2" x14ac:dyDescent="0.3">
      <c r="A21" s="85" t="s">
        <v>65</v>
      </c>
      <c r="B21" s="1" t="s">
        <v>226</v>
      </c>
    </row>
    <row r="22" spans="1:2" x14ac:dyDescent="0.3">
      <c r="A22" s="85" t="s">
        <v>72</v>
      </c>
      <c r="B22" s="1" t="s">
        <v>227</v>
      </c>
    </row>
    <row r="23" spans="1:2" x14ac:dyDescent="0.3">
      <c r="A23" s="86" t="s">
        <v>79</v>
      </c>
      <c r="B23" s="1" t="s">
        <v>228</v>
      </c>
    </row>
    <row r="24" spans="1:2" x14ac:dyDescent="0.3">
      <c r="A24" s="85" t="s">
        <v>86</v>
      </c>
      <c r="B24" s="1" t="s">
        <v>229</v>
      </c>
    </row>
    <row r="25" spans="1:2" x14ac:dyDescent="0.3">
      <c r="A25" s="86" t="s">
        <v>92</v>
      </c>
      <c r="B25" s="1" t="s">
        <v>230</v>
      </c>
    </row>
    <row r="26" spans="1:2" x14ac:dyDescent="0.3">
      <c r="A26" s="85" t="s">
        <v>99</v>
      </c>
      <c r="B26" s="1" t="s">
        <v>231</v>
      </c>
    </row>
    <row r="27" spans="1:2" x14ac:dyDescent="0.3">
      <c r="A27" s="85" t="s">
        <v>2</v>
      </c>
      <c r="B27" s="1" t="s">
        <v>232</v>
      </c>
    </row>
    <row r="28" spans="1:2" x14ac:dyDescent="0.3">
      <c r="A28" s="85" t="s">
        <v>10</v>
      </c>
      <c r="B28" s="1" t="s">
        <v>233</v>
      </c>
    </row>
    <row r="29" spans="1:2" x14ac:dyDescent="0.3">
      <c r="A29" s="85" t="s">
        <v>17</v>
      </c>
      <c r="B29" s="1" t="s">
        <v>234</v>
      </c>
    </row>
    <row r="30" spans="1:2" x14ac:dyDescent="0.3">
      <c r="A30" s="85" t="s">
        <v>24</v>
      </c>
      <c r="B30" s="1" t="s">
        <v>235</v>
      </c>
    </row>
    <row r="31" spans="1:2" x14ac:dyDescent="0.3">
      <c r="A31" s="85" t="s">
        <v>31</v>
      </c>
      <c r="B31" s="1" t="s">
        <v>236</v>
      </c>
    </row>
    <row r="32" spans="1:2" x14ac:dyDescent="0.3">
      <c r="A32" s="85" t="s">
        <v>38</v>
      </c>
      <c r="B32" s="1" t="s">
        <v>237</v>
      </c>
    </row>
    <row r="33" spans="1:2" x14ac:dyDescent="0.3">
      <c r="A33" s="86" t="s">
        <v>45</v>
      </c>
      <c r="B33" s="1" t="s">
        <v>238</v>
      </c>
    </row>
    <row r="34" spans="1:2" x14ac:dyDescent="0.3">
      <c r="A34" s="85" t="s">
        <v>52</v>
      </c>
      <c r="B34" s="1" t="s">
        <v>239</v>
      </c>
    </row>
    <row r="35" spans="1:2" x14ac:dyDescent="0.3">
      <c r="A35" s="86" t="s">
        <v>59</v>
      </c>
      <c r="B35" s="1" t="s">
        <v>240</v>
      </c>
    </row>
    <row r="36" spans="1:2" x14ac:dyDescent="0.3">
      <c r="A36" s="85" t="s">
        <v>66</v>
      </c>
      <c r="B36" s="1" t="s">
        <v>241</v>
      </c>
    </row>
    <row r="37" spans="1:2" x14ac:dyDescent="0.3">
      <c r="A37" s="85" t="s">
        <v>73</v>
      </c>
      <c r="B37" s="1" t="s">
        <v>242</v>
      </c>
    </row>
    <row r="38" spans="1:2" x14ac:dyDescent="0.3">
      <c r="A38" s="85" t="s">
        <v>87</v>
      </c>
      <c r="B38" s="1" t="s">
        <v>244</v>
      </c>
    </row>
    <row r="39" spans="1:2" x14ac:dyDescent="0.3">
      <c r="A39" s="85" t="s">
        <v>93</v>
      </c>
      <c r="B39" s="1" t="s">
        <v>243</v>
      </c>
    </row>
    <row r="40" spans="1:2" x14ac:dyDescent="0.3">
      <c r="A40" s="85" t="s">
        <v>3</v>
      </c>
      <c r="B40" s="1" t="s">
        <v>245</v>
      </c>
    </row>
    <row r="41" spans="1:2" x14ac:dyDescent="0.3">
      <c r="A41" s="85" t="s">
        <v>11</v>
      </c>
      <c r="B41" s="1" t="s">
        <v>11</v>
      </c>
    </row>
    <row r="42" spans="1:2" x14ac:dyDescent="0.3">
      <c r="A42" s="85" t="s">
        <v>18</v>
      </c>
      <c r="B42" s="1" t="s">
        <v>246</v>
      </c>
    </row>
    <row r="43" spans="1:2" x14ac:dyDescent="0.3">
      <c r="A43" s="85" t="s">
        <v>25</v>
      </c>
      <c r="B43" s="1" t="s">
        <v>247</v>
      </c>
    </row>
    <row r="44" spans="1:2" x14ac:dyDescent="0.3">
      <c r="A44" s="85" t="s">
        <v>32</v>
      </c>
      <c r="B44" s="1" t="s">
        <v>248</v>
      </c>
    </row>
    <row r="45" spans="1:2" x14ac:dyDescent="0.3">
      <c r="A45" s="85" t="s">
        <v>39</v>
      </c>
      <c r="B45" s="1" t="s">
        <v>249</v>
      </c>
    </row>
    <row r="46" spans="1:2" x14ac:dyDescent="0.3">
      <c r="A46" s="85" t="s">
        <v>46</v>
      </c>
      <c r="B46" s="1" t="s">
        <v>250</v>
      </c>
    </row>
    <row r="47" spans="1:2" x14ac:dyDescent="0.3">
      <c r="A47" s="85" t="s">
        <v>53</v>
      </c>
      <c r="B47" s="1" t="s">
        <v>251</v>
      </c>
    </row>
    <row r="48" spans="1:2" x14ac:dyDescent="0.3">
      <c r="A48" s="85" t="s">
        <v>60</v>
      </c>
      <c r="B48" s="1" t="s">
        <v>252</v>
      </c>
    </row>
    <row r="49" spans="1:2" x14ac:dyDescent="0.3">
      <c r="A49" s="85" t="s">
        <v>67</v>
      </c>
      <c r="B49" s="1" t="s">
        <v>253</v>
      </c>
    </row>
    <row r="50" spans="1:2" x14ac:dyDescent="0.3">
      <c r="A50" s="85" t="s">
        <v>74</v>
      </c>
      <c r="B50" s="1" t="s">
        <v>254</v>
      </c>
    </row>
    <row r="51" spans="1:2" x14ac:dyDescent="0.3">
      <c r="A51" s="85" t="s">
        <v>81</v>
      </c>
      <c r="B51" s="1" t="s">
        <v>255</v>
      </c>
    </row>
    <row r="52" spans="1:2" x14ac:dyDescent="0.3">
      <c r="A52" s="85" t="s">
        <v>88</v>
      </c>
      <c r="B52" s="1" t="s">
        <v>256</v>
      </c>
    </row>
    <row r="53" spans="1:2" x14ac:dyDescent="0.3">
      <c r="A53" s="85" t="s">
        <v>94</v>
      </c>
      <c r="B53" s="1" t="s">
        <v>257</v>
      </c>
    </row>
    <row r="54" spans="1:2" x14ac:dyDescent="0.3">
      <c r="A54" s="85" t="s">
        <v>4</v>
      </c>
      <c r="B54" s="1" t="s">
        <v>258</v>
      </c>
    </row>
    <row r="55" spans="1:2" x14ac:dyDescent="0.3">
      <c r="A55" s="85" t="s">
        <v>12</v>
      </c>
      <c r="B55" s="1" t="s">
        <v>12</v>
      </c>
    </row>
    <row r="56" spans="1:2" x14ac:dyDescent="0.3">
      <c r="A56" s="85" t="s">
        <v>19</v>
      </c>
      <c r="B56" s="1" t="s">
        <v>259</v>
      </c>
    </row>
    <row r="57" spans="1:2" x14ac:dyDescent="0.3">
      <c r="A57" s="85" t="s">
        <v>26</v>
      </c>
      <c r="B57" s="1" t="s">
        <v>260</v>
      </c>
    </row>
    <row r="58" spans="1:2" x14ac:dyDescent="0.3">
      <c r="A58" s="85" t="s">
        <v>33</v>
      </c>
      <c r="B58" s="1" t="s">
        <v>261</v>
      </c>
    </row>
    <row r="59" spans="1:2" x14ac:dyDescent="0.3">
      <c r="A59" s="85" t="s">
        <v>40</v>
      </c>
      <c r="B59" s="1" t="s">
        <v>262</v>
      </c>
    </row>
    <row r="60" spans="1:2" x14ac:dyDescent="0.3">
      <c r="A60" s="85" t="s">
        <v>47</v>
      </c>
      <c r="B60" s="1" t="s">
        <v>263</v>
      </c>
    </row>
    <row r="61" spans="1:2" x14ac:dyDescent="0.3">
      <c r="A61" s="85" t="s">
        <v>54</v>
      </c>
      <c r="B61" s="1" t="s">
        <v>264</v>
      </c>
    </row>
    <row r="62" spans="1:2" x14ac:dyDescent="0.3">
      <c r="A62" s="85" t="s">
        <v>61</v>
      </c>
      <c r="B62" s="1" t="s">
        <v>265</v>
      </c>
    </row>
    <row r="63" spans="1:2" x14ac:dyDescent="0.3">
      <c r="A63" s="85" t="s">
        <v>68</v>
      </c>
      <c r="B63" s="1" t="s">
        <v>266</v>
      </c>
    </row>
    <row r="64" spans="1:2" x14ac:dyDescent="0.3">
      <c r="A64" s="85" t="s">
        <v>75</v>
      </c>
      <c r="B64" s="1" t="s">
        <v>267</v>
      </c>
    </row>
    <row r="65" spans="1:2" x14ac:dyDescent="0.3">
      <c r="A65" s="85" t="s">
        <v>82</v>
      </c>
      <c r="B65" s="1" t="s">
        <v>268</v>
      </c>
    </row>
    <row r="66" spans="1:2" x14ac:dyDescent="0.3">
      <c r="A66" s="85" t="s">
        <v>89</v>
      </c>
      <c r="B66" s="1" t="s">
        <v>269</v>
      </c>
    </row>
    <row r="67" spans="1:2" x14ac:dyDescent="0.3">
      <c r="A67" s="85" t="s">
        <v>95</v>
      </c>
      <c r="B67" s="1" t="s">
        <v>270</v>
      </c>
    </row>
    <row r="68" spans="1:2" x14ac:dyDescent="0.3">
      <c r="A68" s="85" t="s">
        <v>5</v>
      </c>
      <c r="B68" s="1" t="s">
        <v>271</v>
      </c>
    </row>
    <row r="69" spans="1:2" x14ac:dyDescent="0.3">
      <c r="A69" s="85" t="s">
        <v>13</v>
      </c>
      <c r="B69" s="1" t="s">
        <v>272</v>
      </c>
    </row>
    <row r="70" spans="1:2" x14ac:dyDescent="0.3">
      <c r="A70" s="85" t="s">
        <v>20</v>
      </c>
      <c r="B70" s="1" t="s">
        <v>273</v>
      </c>
    </row>
    <row r="71" spans="1:2" x14ac:dyDescent="0.3">
      <c r="A71" s="85" t="s">
        <v>27</v>
      </c>
      <c r="B71" s="1" t="s">
        <v>274</v>
      </c>
    </row>
    <row r="72" spans="1:2" x14ac:dyDescent="0.3">
      <c r="A72" s="85" t="s">
        <v>34</v>
      </c>
      <c r="B72" s="1" t="s">
        <v>275</v>
      </c>
    </row>
    <row r="73" spans="1:2" x14ac:dyDescent="0.3">
      <c r="A73" s="85" t="s">
        <v>41</v>
      </c>
      <c r="B73" s="1" t="s">
        <v>276</v>
      </c>
    </row>
    <row r="74" spans="1:2" x14ac:dyDescent="0.3">
      <c r="A74" s="85" t="s">
        <v>48</v>
      </c>
      <c r="B74" s="1" t="s">
        <v>277</v>
      </c>
    </row>
    <row r="75" spans="1:2" x14ac:dyDescent="0.3">
      <c r="A75" s="85" t="s">
        <v>55</v>
      </c>
      <c r="B75" s="1" t="s">
        <v>278</v>
      </c>
    </row>
    <row r="76" spans="1:2" x14ac:dyDescent="0.3">
      <c r="A76" s="85" t="s">
        <v>62</v>
      </c>
      <c r="B76" s="1" t="s">
        <v>279</v>
      </c>
    </row>
    <row r="77" spans="1:2" x14ac:dyDescent="0.3">
      <c r="A77" s="85" t="s">
        <v>69</v>
      </c>
      <c r="B77" s="1" t="s">
        <v>280</v>
      </c>
    </row>
    <row r="78" spans="1:2" x14ac:dyDescent="0.3">
      <c r="A78" s="85" t="s">
        <v>76</v>
      </c>
      <c r="B78" s="1" t="s">
        <v>281</v>
      </c>
    </row>
    <row r="79" spans="1:2" x14ac:dyDescent="0.3">
      <c r="A79" s="85" t="s">
        <v>83</v>
      </c>
      <c r="B79" s="1" t="s">
        <v>282</v>
      </c>
    </row>
    <row r="80" spans="1:2" x14ac:dyDescent="0.3">
      <c r="A80" s="85" t="s">
        <v>90</v>
      </c>
      <c r="B80" s="1" t="s">
        <v>283</v>
      </c>
    </row>
    <row r="81" spans="1:2" x14ac:dyDescent="0.3">
      <c r="A81" s="85" t="s">
        <v>96</v>
      </c>
      <c r="B81" s="1" t="s">
        <v>284</v>
      </c>
    </row>
    <row r="82" spans="1:2" x14ac:dyDescent="0.3">
      <c r="A82" s="85" t="s">
        <v>6</v>
      </c>
      <c r="B82" s="1" t="s">
        <v>285</v>
      </c>
    </row>
    <row r="83" spans="1:2" x14ac:dyDescent="0.3">
      <c r="A83" s="85" t="s">
        <v>197</v>
      </c>
      <c r="B83" s="1" t="s">
        <v>286</v>
      </c>
    </row>
    <row r="84" spans="1:2" x14ac:dyDescent="0.3">
      <c r="A84" s="85" t="s">
        <v>14</v>
      </c>
      <c r="B84" s="1" t="s">
        <v>287</v>
      </c>
    </row>
    <row r="85" spans="1:2" x14ac:dyDescent="0.3">
      <c r="A85" s="85" t="s">
        <v>21</v>
      </c>
      <c r="B85" s="1" t="s">
        <v>288</v>
      </c>
    </row>
    <row r="86" spans="1:2" x14ac:dyDescent="0.3">
      <c r="A86" s="85" t="s">
        <v>28</v>
      </c>
      <c r="B86" s="1" t="s">
        <v>289</v>
      </c>
    </row>
    <row r="87" spans="1:2" x14ac:dyDescent="0.3">
      <c r="A87" s="85" t="s">
        <v>35</v>
      </c>
      <c r="B87" s="1" t="s">
        <v>290</v>
      </c>
    </row>
    <row r="88" spans="1:2" x14ac:dyDescent="0.3">
      <c r="A88" s="85" t="s">
        <v>42</v>
      </c>
      <c r="B88" s="1" t="s">
        <v>291</v>
      </c>
    </row>
    <row r="89" spans="1:2" x14ac:dyDescent="0.3">
      <c r="A89" s="85" t="s">
        <v>49</v>
      </c>
      <c r="B89" s="1" t="s">
        <v>292</v>
      </c>
    </row>
    <row r="90" spans="1:2" x14ac:dyDescent="0.3">
      <c r="A90" s="85" t="s">
        <v>56</v>
      </c>
      <c r="B90" s="1" t="s">
        <v>293</v>
      </c>
    </row>
    <row r="91" spans="1:2" x14ac:dyDescent="0.3">
      <c r="A91" s="85" t="s">
        <v>63</v>
      </c>
      <c r="B91" s="1" t="s">
        <v>294</v>
      </c>
    </row>
    <row r="92" spans="1:2" x14ac:dyDescent="0.3">
      <c r="A92" s="85" t="s">
        <v>70</v>
      </c>
      <c r="B92" s="1" t="s">
        <v>295</v>
      </c>
    </row>
    <row r="93" spans="1:2" x14ac:dyDescent="0.3">
      <c r="A93" s="85" t="s">
        <v>77</v>
      </c>
      <c r="B93" s="1" t="s">
        <v>296</v>
      </c>
    </row>
    <row r="94" spans="1:2" x14ac:dyDescent="0.3">
      <c r="A94" s="85" t="s">
        <v>84</v>
      </c>
      <c r="B94" s="1" t="s">
        <v>297</v>
      </c>
    </row>
    <row r="95" spans="1:2" x14ac:dyDescent="0.3">
      <c r="A95" s="85" t="s">
        <v>80</v>
      </c>
      <c r="B95" s="1" t="s">
        <v>243</v>
      </c>
    </row>
    <row r="96" spans="1:2" x14ac:dyDescent="0.3">
      <c r="A96" s="85" t="s">
        <v>97</v>
      </c>
      <c r="B96" s="1" t="s">
        <v>298</v>
      </c>
    </row>
    <row r="97" spans="1:2" x14ac:dyDescent="0.3">
      <c r="A97" s="85" t="s">
        <v>200</v>
      </c>
      <c r="B97" s="1" t="s">
        <v>299</v>
      </c>
    </row>
    <row r="98" spans="1:2" x14ac:dyDescent="0.3">
      <c r="A98" s="85" t="s">
        <v>101</v>
      </c>
      <c r="B98" s="85" t="s">
        <v>300</v>
      </c>
    </row>
    <row r="99" spans="1:2" x14ac:dyDescent="0.3">
      <c r="A99" s="85" t="s">
        <v>102</v>
      </c>
      <c r="B99" s="1" t="s">
        <v>301</v>
      </c>
    </row>
    <row r="100" spans="1:2" x14ac:dyDescent="0.3">
      <c r="A100" s="85" t="s">
        <v>131</v>
      </c>
      <c r="B100" s="1" t="s">
        <v>302</v>
      </c>
    </row>
    <row r="101" spans="1:2" x14ac:dyDescent="0.3">
      <c r="A101" s="85" t="s">
        <v>303</v>
      </c>
      <c r="B101" s="1" t="s">
        <v>307</v>
      </c>
    </row>
    <row r="102" spans="1:2" x14ac:dyDescent="0.3">
      <c r="A102" s="85" t="s">
        <v>304</v>
      </c>
      <c r="B102" s="1" t="s">
        <v>308</v>
      </c>
    </row>
    <row r="103" spans="1:2" x14ac:dyDescent="0.3">
      <c r="A103" s="85" t="s">
        <v>305</v>
      </c>
      <c r="B103" s="1" t="s">
        <v>309</v>
      </c>
    </row>
    <row r="104" spans="1:2" x14ac:dyDescent="0.3">
      <c r="A104" s="85" t="s">
        <v>306</v>
      </c>
      <c r="B104" s="1" t="s">
        <v>310</v>
      </c>
    </row>
    <row r="105" spans="1:2" x14ac:dyDescent="0.3">
      <c r="A105" s="85" t="s">
        <v>311</v>
      </c>
      <c r="B105" s="1" t="s">
        <v>313</v>
      </c>
    </row>
    <row r="106" spans="1:2" x14ac:dyDescent="0.3">
      <c r="A106" s="85" t="s">
        <v>312</v>
      </c>
      <c r="B106" s="1" t="s">
        <v>314</v>
      </c>
    </row>
    <row r="107" spans="1:2" x14ac:dyDescent="0.3">
      <c r="A107" s="85" t="s">
        <v>190</v>
      </c>
      <c r="B107" s="1" t="s">
        <v>315</v>
      </c>
    </row>
    <row r="108" spans="1:2" x14ac:dyDescent="0.3">
      <c r="A108" s="85" t="s">
        <v>186</v>
      </c>
      <c r="B108" s="1" t="s">
        <v>316</v>
      </c>
    </row>
    <row r="109" spans="1:2" x14ac:dyDescent="0.3">
      <c r="A109" s="85" t="s">
        <v>188</v>
      </c>
      <c r="B109" s="1" t="s">
        <v>317</v>
      </c>
    </row>
    <row r="110" spans="1:2" x14ac:dyDescent="0.3">
      <c r="A110" s="85" t="s">
        <v>126</v>
      </c>
      <c r="B110" s="1" t="s">
        <v>318</v>
      </c>
    </row>
    <row r="111" spans="1:2" ht="100.8" x14ac:dyDescent="0.3">
      <c r="A111" s="87" t="s">
        <v>319</v>
      </c>
      <c r="B111" s="87" t="s">
        <v>320</v>
      </c>
    </row>
    <row r="112" spans="1:2" x14ac:dyDescent="0.3">
      <c r="A112" s="85" t="s">
        <v>125</v>
      </c>
      <c r="B112" s="1" t="s">
        <v>321</v>
      </c>
    </row>
    <row r="113" spans="1:2" x14ac:dyDescent="0.3">
      <c r="A113" s="85" t="s">
        <v>323</v>
      </c>
      <c r="B113" s="1" t="s">
        <v>322</v>
      </c>
    </row>
  </sheetData>
  <conditionalFormatting sqref="B2:B97">
    <cfRule type="duplicateValues" dxfId="31" priority="343"/>
  </conditionalFormatting>
  <conditionalFormatting sqref="B98">
    <cfRule type="duplicateValues" dxfId="30" priority="1"/>
  </conditionalFormatting>
  <conditionalFormatting sqref="A2:A113">
    <cfRule type="duplicateValues" dxfId="29" priority="353"/>
  </conditionalFormatting>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81DAF-8FF1-4027-A43B-38E8260CF8B5}">
  <sheetPr codeName="ShBackEnd">
    <tabColor rgb="FFFF0000"/>
  </sheetPr>
  <dimension ref="C3:AB122"/>
  <sheetViews>
    <sheetView showGridLines="0" topLeftCell="A66" workbookViewId="0">
      <selection activeCell="L7" sqref="L7"/>
    </sheetView>
  </sheetViews>
  <sheetFormatPr defaultColWidth="8.88671875" defaultRowHeight="14.4" x14ac:dyDescent="0.3"/>
  <cols>
    <col min="1" max="1" width="4.33203125" customWidth="1"/>
    <col min="2" max="2" width="4" customWidth="1"/>
    <col min="3" max="3" width="9.33203125" style="1" customWidth="1"/>
    <col min="4" max="4" width="14.5546875" style="1" customWidth="1"/>
    <col min="5" max="5" width="31.33203125" style="1" bestFit="1" customWidth="1"/>
    <col min="6" max="18" width="11.6640625" customWidth="1"/>
    <col min="19" max="19" width="8.44140625" customWidth="1"/>
  </cols>
  <sheetData>
    <row r="3" spans="3:28" x14ac:dyDescent="0.3">
      <c r="C3" s="12" t="s">
        <v>100</v>
      </c>
      <c r="D3" s="13" t="s">
        <v>114</v>
      </c>
      <c r="E3" s="14" t="s">
        <v>121</v>
      </c>
      <c r="I3" s="7" t="s">
        <v>114</v>
      </c>
      <c r="J3" s="8" t="s">
        <v>0</v>
      </c>
      <c r="K3" s="8" t="s">
        <v>7</v>
      </c>
      <c r="L3" s="8" t="s">
        <v>8</v>
      </c>
      <c r="M3" s="8" t="s">
        <v>15</v>
      </c>
      <c r="N3" s="8" t="s">
        <v>22</v>
      </c>
      <c r="O3" s="8" t="s">
        <v>29</v>
      </c>
      <c r="P3" s="8" t="s">
        <v>36</v>
      </c>
      <c r="Q3" s="8" t="s">
        <v>43</v>
      </c>
      <c r="R3" s="8" t="s">
        <v>50</v>
      </c>
      <c r="S3" s="8" t="s">
        <v>57</v>
      </c>
      <c r="T3" s="8" t="s">
        <v>64</v>
      </c>
      <c r="U3" s="8" t="s">
        <v>71</v>
      </c>
      <c r="V3" s="8" t="s">
        <v>78</v>
      </c>
      <c r="W3" s="8" t="s">
        <v>85</v>
      </c>
      <c r="X3" s="8" t="s">
        <v>91</v>
      </c>
      <c r="Y3" s="8" t="s">
        <v>98</v>
      </c>
      <c r="Z3" s="8" t="s">
        <v>132</v>
      </c>
      <c r="AA3" s="8"/>
      <c r="AB3" s="8"/>
    </row>
    <row r="4" spans="3:28" ht="41.4" customHeight="1" x14ac:dyDescent="0.3">
      <c r="C4" s="1" t="s">
        <v>0</v>
      </c>
      <c r="D4" s="1">
        <v>-2</v>
      </c>
      <c r="E4" s="1" t="s">
        <v>2</v>
      </c>
      <c r="I4" s="36">
        <v>-2</v>
      </c>
      <c r="J4" s="5" t="s">
        <v>2</v>
      </c>
      <c r="K4" s="5" t="s">
        <v>2</v>
      </c>
      <c r="L4" s="5" t="s">
        <v>10</v>
      </c>
      <c r="M4" s="5" t="s">
        <v>17</v>
      </c>
      <c r="N4" s="5" t="s">
        <v>24</v>
      </c>
      <c r="O4" s="5" t="s">
        <v>31</v>
      </c>
      <c r="P4" s="5" t="s">
        <v>38</v>
      </c>
      <c r="Q4" s="5" t="s">
        <v>45</v>
      </c>
      <c r="R4" s="5" t="s">
        <v>52</v>
      </c>
      <c r="S4" s="5" t="s">
        <v>59</v>
      </c>
      <c r="T4" s="5" t="s">
        <v>66</v>
      </c>
      <c r="U4" s="5" t="s">
        <v>73</v>
      </c>
      <c r="V4" s="5" t="s">
        <v>80</v>
      </c>
      <c r="W4" s="5" t="s">
        <v>87</v>
      </c>
      <c r="X4" s="5" t="s">
        <v>80</v>
      </c>
      <c r="Y4" s="5"/>
      <c r="Z4" s="5"/>
      <c r="AA4" s="5"/>
      <c r="AB4" s="5"/>
    </row>
    <row r="5" spans="3:28" ht="41.4" customHeight="1" x14ac:dyDescent="0.3">
      <c r="C5" s="1" t="s">
        <v>7</v>
      </c>
      <c r="D5" s="1">
        <v>-2</v>
      </c>
      <c r="E5" s="1" t="s">
        <v>2</v>
      </c>
      <c r="I5" s="36">
        <v>-1</v>
      </c>
      <c r="J5" s="5" t="s">
        <v>3</v>
      </c>
      <c r="K5" s="5" t="s">
        <v>3</v>
      </c>
      <c r="L5" s="5" t="s">
        <v>11</v>
      </c>
      <c r="M5" s="5" t="s">
        <v>18</v>
      </c>
      <c r="N5" s="5" t="s">
        <v>25</v>
      </c>
      <c r="O5" s="5" t="s">
        <v>32</v>
      </c>
      <c r="P5" s="5" t="s">
        <v>39</v>
      </c>
      <c r="Q5" s="5" t="s">
        <v>46</v>
      </c>
      <c r="R5" s="5" t="s">
        <v>53</v>
      </c>
      <c r="S5" s="5" t="s">
        <v>60</v>
      </c>
      <c r="T5" s="5" t="s">
        <v>67</v>
      </c>
      <c r="U5" s="5" t="s">
        <v>74</v>
      </c>
      <c r="V5" s="5" t="s">
        <v>81</v>
      </c>
      <c r="W5" s="5" t="s">
        <v>88</v>
      </c>
      <c r="X5" s="5" t="s">
        <v>94</v>
      </c>
      <c r="Y5" s="5"/>
      <c r="Z5" s="5"/>
      <c r="AA5" s="5"/>
      <c r="AB5" s="5"/>
    </row>
    <row r="6" spans="3:28" ht="41.4" customHeight="1" x14ac:dyDescent="0.3">
      <c r="C6" s="1" t="s">
        <v>8</v>
      </c>
      <c r="D6" s="1">
        <v>-2</v>
      </c>
      <c r="E6" s="1" t="s">
        <v>10</v>
      </c>
      <c r="I6" s="36">
        <v>0</v>
      </c>
      <c r="J6" s="5" t="s">
        <v>4</v>
      </c>
      <c r="K6" s="5" t="s">
        <v>4</v>
      </c>
      <c r="L6" s="5" t="s">
        <v>12</v>
      </c>
      <c r="M6" s="5" t="s">
        <v>19</v>
      </c>
      <c r="N6" s="5" t="s">
        <v>26</v>
      </c>
      <c r="O6" s="5" t="s">
        <v>33</v>
      </c>
      <c r="P6" s="5" t="s">
        <v>40</v>
      </c>
      <c r="Q6" s="5" t="s">
        <v>47</v>
      </c>
      <c r="R6" s="5" t="s">
        <v>54</v>
      </c>
      <c r="S6" s="5" t="s">
        <v>61</v>
      </c>
      <c r="T6" s="5" t="s">
        <v>68</v>
      </c>
      <c r="U6" s="5" t="s">
        <v>75</v>
      </c>
      <c r="V6" s="5" t="s">
        <v>82</v>
      </c>
      <c r="W6" s="5" t="s">
        <v>89</v>
      </c>
      <c r="X6" s="5" t="s">
        <v>95</v>
      </c>
      <c r="Y6" s="5"/>
      <c r="Z6" s="5"/>
      <c r="AA6" s="5"/>
      <c r="AB6" s="5"/>
    </row>
    <row r="7" spans="3:28" ht="41.4" customHeight="1" x14ac:dyDescent="0.3">
      <c r="C7" s="1" t="s">
        <v>15</v>
      </c>
      <c r="D7" s="1">
        <v>-2</v>
      </c>
      <c r="E7" s="1" t="s">
        <v>17</v>
      </c>
      <c r="I7" s="36">
        <v>1</v>
      </c>
      <c r="J7" s="5" t="s">
        <v>5</v>
      </c>
      <c r="K7" s="5" t="s">
        <v>5</v>
      </c>
      <c r="L7" s="5" t="s">
        <v>13</v>
      </c>
      <c r="M7" s="5" t="s">
        <v>20</v>
      </c>
      <c r="N7" s="5" t="s">
        <v>27</v>
      </c>
      <c r="O7" s="5" t="s">
        <v>34</v>
      </c>
      <c r="P7" s="5" t="s">
        <v>41</v>
      </c>
      <c r="Q7" s="5" t="s">
        <v>48</v>
      </c>
      <c r="R7" s="5" t="s">
        <v>55</v>
      </c>
      <c r="S7" s="5" t="s">
        <v>62</v>
      </c>
      <c r="T7" s="5" t="s">
        <v>69</v>
      </c>
      <c r="U7" s="5" t="s">
        <v>76</v>
      </c>
      <c r="V7" s="5" t="s">
        <v>83</v>
      </c>
      <c r="W7" s="5" t="s">
        <v>90</v>
      </c>
      <c r="X7" s="5" t="s">
        <v>96</v>
      </c>
      <c r="Y7" s="5"/>
      <c r="Z7" s="5"/>
      <c r="AA7" s="5"/>
      <c r="AB7" s="5"/>
    </row>
    <row r="8" spans="3:28" ht="41.4" customHeight="1" x14ac:dyDescent="0.3">
      <c r="C8" s="1" t="s">
        <v>22</v>
      </c>
      <c r="D8" s="1">
        <v>-2</v>
      </c>
      <c r="E8" s="1" t="s">
        <v>24</v>
      </c>
      <c r="I8" s="36">
        <v>2</v>
      </c>
      <c r="J8" s="5" t="s">
        <v>6</v>
      </c>
      <c r="K8" s="5" t="s">
        <v>197</v>
      </c>
      <c r="L8" s="5" t="s">
        <v>14</v>
      </c>
      <c r="M8" s="5" t="s">
        <v>21</v>
      </c>
      <c r="N8" s="5" t="s">
        <v>28</v>
      </c>
      <c r="O8" s="5" t="s">
        <v>35</v>
      </c>
      <c r="P8" s="5" t="s">
        <v>42</v>
      </c>
      <c r="Q8" s="5" t="s">
        <v>49</v>
      </c>
      <c r="R8" s="5" t="s">
        <v>56</v>
      </c>
      <c r="S8" s="5" t="s">
        <v>63</v>
      </c>
      <c r="T8" s="5" t="s">
        <v>70</v>
      </c>
      <c r="U8" s="5" t="s">
        <v>77</v>
      </c>
      <c r="V8" s="5" t="s">
        <v>84</v>
      </c>
      <c r="W8" s="5" t="s">
        <v>80</v>
      </c>
      <c r="X8" s="5" t="s">
        <v>97</v>
      </c>
      <c r="Y8" s="5"/>
      <c r="Z8" s="5"/>
      <c r="AA8" s="5"/>
      <c r="AB8" s="5"/>
    </row>
    <row r="9" spans="3:28" x14ac:dyDescent="0.3">
      <c r="C9" s="1" t="s">
        <v>29</v>
      </c>
      <c r="D9" s="1">
        <v>-2</v>
      </c>
      <c r="E9" s="1" t="s">
        <v>31</v>
      </c>
      <c r="I9" s="36"/>
      <c r="J9" s="5"/>
      <c r="K9" s="5"/>
      <c r="L9" s="5"/>
      <c r="M9" s="5"/>
      <c r="N9" s="5"/>
      <c r="O9" s="5"/>
      <c r="P9" s="5"/>
      <c r="Q9" s="5"/>
      <c r="R9" s="5"/>
      <c r="S9" s="5"/>
      <c r="T9" s="5"/>
      <c r="U9" s="5"/>
      <c r="V9" s="5"/>
      <c r="W9" s="5"/>
      <c r="X9" s="5"/>
      <c r="Y9" s="5"/>
      <c r="Z9" s="5"/>
    </row>
    <row r="10" spans="3:28" x14ac:dyDescent="0.3">
      <c r="C10" s="1" t="s">
        <v>36</v>
      </c>
      <c r="D10" s="1">
        <v>-2</v>
      </c>
      <c r="E10" s="1" t="s">
        <v>38</v>
      </c>
      <c r="I10" s="36"/>
      <c r="J10" s="5"/>
      <c r="K10" s="5"/>
      <c r="L10" s="5"/>
      <c r="M10" s="5"/>
      <c r="N10" s="5"/>
      <c r="O10" s="5"/>
      <c r="P10" s="5"/>
      <c r="Q10" s="5"/>
      <c r="R10" s="5"/>
      <c r="S10" s="5"/>
      <c r="T10" s="5"/>
      <c r="U10" s="5"/>
      <c r="V10" s="5"/>
      <c r="W10" s="5"/>
      <c r="X10" s="5"/>
      <c r="Y10" s="5"/>
      <c r="Z10" s="5"/>
    </row>
    <row r="11" spans="3:28" x14ac:dyDescent="0.3">
      <c r="C11" s="1" t="s">
        <v>43</v>
      </c>
      <c r="D11" s="1">
        <v>-2</v>
      </c>
      <c r="E11" s="1" t="s">
        <v>45</v>
      </c>
      <c r="I11" s="36"/>
      <c r="J11" s="5"/>
      <c r="K11" s="5"/>
      <c r="L11" s="5"/>
      <c r="M11" s="5"/>
      <c r="N11" s="5"/>
      <c r="O11" s="5"/>
      <c r="P11" s="5"/>
      <c r="Q11" s="5"/>
      <c r="R11" s="5"/>
      <c r="S11" s="5"/>
      <c r="T11" s="5"/>
      <c r="U11" s="5"/>
      <c r="V11" s="5"/>
      <c r="W11" s="5"/>
      <c r="X11" s="5"/>
      <c r="Y11" s="5"/>
    </row>
    <row r="12" spans="3:28" x14ac:dyDescent="0.3">
      <c r="C12" s="1" t="s">
        <v>50</v>
      </c>
      <c r="D12" s="1">
        <v>-2</v>
      </c>
      <c r="E12" s="1" t="s">
        <v>52</v>
      </c>
      <c r="I12" s="36"/>
      <c r="J12" s="5"/>
      <c r="K12" s="5"/>
      <c r="L12" s="5"/>
      <c r="M12" s="5"/>
      <c r="N12" s="5"/>
      <c r="O12" s="5"/>
      <c r="P12" s="5"/>
      <c r="Q12" s="5"/>
      <c r="R12" s="5"/>
      <c r="S12" s="5"/>
      <c r="T12" s="5"/>
      <c r="U12" s="5"/>
      <c r="V12" s="5"/>
      <c r="W12" s="5"/>
      <c r="X12" s="5"/>
      <c r="Y12" s="5"/>
    </row>
    <row r="13" spans="3:28" x14ac:dyDescent="0.3">
      <c r="C13" s="1" t="s">
        <v>57</v>
      </c>
      <c r="D13" s="1">
        <v>-2</v>
      </c>
      <c r="E13" s="1" t="s">
        <v>59</v>
      </c>
      <c r="I13" s="36"/>
      <c r="J13" s="5"/>
      <c r="K13" s="5"/>
      <c r="L13" s="5"/>
      <c r="M13" s="5"/>
      <c r="N13" s="5"/>
      <c r="O13" s="5"/>
      <c r="P13" s="5"/>
      <c r="Q13" s="5"/>
      <c r="R13" s="5"/>
      <c r="S13" s="5"/>
      <c r="T13" s="5"/>
      <c r="U13" s="5"/>
      <c r="V13" s="5"/>
      <c r="W13" s="5"/>
      <c r="X13" s="5"/>
      <c r="Y13" s="5"/>
    </row>
    <row r="14" spans="3:28" x14ac:dyDescent="0.3">
      <c r="C14" s="1" t="s">
        <v>64</v>
      </c>
      <c r="D14" s="1">
        <v>-2</v>
      </c>
      <c r="E14" s="1" t="s">
        <v>66</v>
      </c>
      <c r="I14" s="36"/>
      <c r="J14" s="5"/>
      <c r="K14" s="5"/>
      <c r="L14" s="5"/>
      <c r="M14" s="5"/>
      <c r="N14" s="5"/>
      <c r="O14" s="5"/>
      <c r="P14" s="5"/>
      <c r="Q14" s="5"/>
      <c r="R14" s="5"/>
      <c r="S14" s="5"/>
      <c r="T14" s="5"/>
      <c r="U14" s="5"/>
      <c r="V14" s="5"/>
      <c r="W14" s="5"/>
      <c r="X14" s="5"/>
      <c r="Y14" s="5"/>
    </row>
    <row r="15" spans="3:28" x14ac:dyDescent="0.3">
      <c r="C15" s="1" t="s">
        <v>71</v>
      </c>
      <c r="D15" s="1">
        <v>-2</v>
      </c>
      <c r="E15" s="1" t="s">
        <v>73</v>
      </c>
      <c r="I15" s="36"/>
      <c r="J15" s="5"/>
      <c r="K15" s="5"/>
      <c r="L15" s="5"/>
      <c r="M15" s="5"/>
      <c r="N15" s="5"/>
      <c r="O15" s="5"/>
      <c r="P15" s="5"/>
      <c r="Q15" s="5"/>
      <c r="R15" s="5"/>
      <c r="S15" s="5"/>
      <c r="T15" s="5"/>
      <c r="U15" s="5"/>
      <c r="V15" s="5"/>
      <c r="W15" s="5"/>
      <c r="X15" s="5"/>
      <c r="Y15" s="5"/>
    </row>
    <row r="16" spans="3:28" x14ac:dyDescent="0.3">
      <c r="C16" s="1" t="s">
        <v>78</v>
      </c>
      <c r="D16" s="1">
        <v>-2</v>
      </c>
      <c r="E16" s="1" t="s">
        <v>80</v>
      </c>
      <c r="I16" s="36"/>
      <c r="J16" s="5"/>
      <c r="K16" s="5"/>
      <c r="L16" s="5"/>
      <c r="M16" s="5"/>
      <c r="N16" s="5"/>
      <c r="O16" s="5"/>
      <c r="P16" s="5"/>
      <c r="Q16" s="5"/>
      <c r="R16" s="5"/>
      <c r="S16" s="5"/>
      <c r="T16" s="5"/>
      <c r="U16" s="5"/>
      <c r="V16" s="5"/>
      <c r="W16" s="5"/>
      <c r="X16" s="5"/>
      <c r="Y16" s="5"/>
    </row>
    <row r="17" spans="3:25" x14ac:dyDescent="0.3">
      <c r="C17" s="1" t="s">
        <v>85</v>
      </c>
      <c r="D17" s="1">
        <v>-2</v>
      </c>
      <c r="E17" s="1" t="s">
        <v>87</v>
      </c>
      <c r="I17" s="36"/>
      <c r="J17" s="5"/>
      <c r="K17" s="5"/>
      <c r="L17" s="5"/>
      <c r="M17" s="5"/>
      <c r="N17" s="5"/>
      <c r="O17" s="5"/>
      <c r="P17" s="5"/>
      <c r="Q17" s="5"/>
      <c r="R17" s="5"/>
      <c r="S17" s="5"/>
      <c r="T17" s="5"/>
      <c r="U17" s="5"/>
      <c r="V17" s="5"/>
      <c r="W17" s="5"/>
      <c r="X17" s="5"/>
      <c r="Y17" s="5"/>
    </row>
    <row r="18" spans="3:25" x14ac:dyDescent="0.3">
      <c r="C18" s="1" t="s">
        <v>91</v>
      </c>
      <c r="D18" s="1">
        <v>-2</v>
      </c>
      <c r="E18" s="1" t="s">
        <v>80</v>
      </c>
      <c r="I18" s="36"/>
      <c r="J18" s="5"/>
      <c r="K18" s="5"/>
      <c r="L18" s="5"/>
      <c r="M18" s="5"/>
      <c r="N18" s="5"/>
      <c r="O18" s="5"/>
      <c r="P18" s="5"/>
      <c r="Q18" s="5"/>
      <c r="R18" s="5"/>
      <c r="S18" s="5"/>
      <c r="T18" s="5"/>
      <c r="U18" s="5"/>
      <c r="V18" s="5"/>
      <c r="W18" s="5"/>
      <c r="X18" s="5"/>
      <c r="Y18" s="5"/>
    </row>
    <row r="19" spans="3:25" x14ac:dyDescent="0.3">
      <c r="C19" s="1" t="s">
        <v>98</v>
      </c>
      <c r="D19" s="1">
        <v>-2</v>
      </c>
      <c r="I19" s="36"/>
      <c r="J19" s="5"/>
      <c r="K19" s="5"/>
      <c r="L19" s="5"/>
      <c r="M19" s="5"/>
      <c r="N19" s="5"/>
      <c r="O19" s="5"/>
      <c r="P19" s="5"/>
      <c r="Q19" s="5"/>
      <c r="R19" s="5"/>
      <c r="S19" s="5"/>
      <c r="T19" s="5"/>
      <c r="U19" s="5"/>
      <c r="V19" s="5"/>
      <c r="W19" s="5"/>
      <c r="X19" s="5"/>
      <c r="Y19" s="5"/>
    </row>
    <row r="20" spans="3:25" x14ac:dyDescent="0.3">
      <c r="C20" s="1" t="s">
        <v>0</v>
      </c>
      <c r="D20" s="1">
        <v>-1</v>
      </c>
      <c r="E20" s="1" t="s">
        <v>3</v>
      </c>
    </row>
    <row r="21" spans="3:25" x14ac:dyDescent="0.3">
      <c r="C21" s="1" t="s">
        <v>7</v>
      </c>
      <c r="D21" s="1">
        <v>-1</v>
      </c>
      <c r="E21" s="1" t="s">
        <v>3</v>
      </c>
    </row>
    <row r="22" spans="3:25" x14ac:dyDescent="0.3">
      <c r="C22" s="1" t="s">
        <v>8</v>
      </c>
      <c r="D22" s="1">
        <v>-1</v>
      </c>
      <c r="E22" s="1" t="s">
        <v>11</v>
      </c>
    </row>
    <row r="23" spans="3:25" x14ac:dyDescent="0.3">
      <c r="C23" s="1" t="s">
        <v>15</v>
      </c>
      <c r="D23" s="1">
        <v>-1</v>
      </c>
      <c r="E23" s="1" t="s">
        <v>18</v>
      </c>
    </row>
    <row r="24" spans="3:25" x14ac:dyDescent="0.3">
      <c r="C24" s="1" t="s">
        <v>22</v>
      </c>
      <c r="D24" s="1">
        <v>-1</v>
      </c>
      <c r="E24" s="1" t="s">
        <v>25</v>
      </c>
    </row>
    <row r="25" spans="3:25" x14ac:dyDescent="0.3">
      <c r="C25" s="1" t="s">
        <v>29</v>
      </c>
      <c r="D25" s="1">
        <v>-1</v>
      </c>
      <c r="E25" s="1" t="s">
        <v>32</v>
      </c>
    </row>
    <row r="26" spans="3:25" x14ac:dyDescent="0.3">
      <c r="C26" s="1" t="s">
        <v>36</v>
      </c>
      <c r="D26" s="1">
        <v>-1</v>
      </c>
      <c r="E26" s="1" t="s">
        <v>39</v>
      </c>
    </row>
    <row r="27" spans="3:25" x14ac:dyDescent="0.3">
      <c r="C27" s="1" t="s">
        <v>43</v>
      </c>
      <c r="D27" s="1">
        <v>-1</v>
      </c>
      <c r="E27" s="1" t="s">
        <v>46</v>
      </c>
    </row>
    <row r="28" spans="3:25" x14ac:dyDescent="0.3">
      <c r="C28" s="1" t="s">
        <v>50</v>
      </c>
      <c r="D28" s="1">
        <v>-1</v>
      </c>
      <c r="E28" s="1" t="s">
        <v>53</v>
      </c>
    </row>
    <row r="29" spans="3:25" x14ac:dyDescent="0.3">
      <c r="C29" s="1" t="s">
        <v>57</v>
      </c>
      <c r="D29" s="1">
        <v>-1</v>
      </c>
      <c r="E29" s="1" t="s">
        <v>60</v>
      </c>
    </row>
    <row r="30" spans="3:25" x14ac:dyDescent="0.3">
      <c r="C30" s="1" t="s">
        <v>64</v>
      </c>
      <c r="D30" s="1">
        <v>-1</v>
      </c>
      <c r="E30" s="1" t="s">
        <v>67</v>
      </c>
    </row>
    <row r="31" spans="3:25" x14ac:dyDescent="0.3">
      <c r="C31" s="1" t="s">
        <v>71</v>
      </c>
      <c r="D31" s="1">
        <v>-1</v>
      </c>
      <c r="E31" s="1" t="s">
        <v>74</v>
      </c>
    </row>
    <row r="32" spans="3:25" x14ac:dyDescent="0.3">
      <c r="C32" s="1" t="s">
        <v>78</v>
      </c>
      <c r="D32" s="1">
        <v>-1</v>
      </c>
      <c r="E32" s="1" t="s">
        <v>81</v>
      </c>
    </row>
    <row r="33" spans="3:5" x14ac:dyDescent="0.3">
      <c r="C33" s="1" t="s">
        <v>85</v>
      </c>
      <c r="D33" s="1">
        <v>-1</v>
      </c>
      <c r="E33" s="1" t="s">
        <v>88</v>
      </c>
    </row>
    <row r="34" spans="3:5" x14ac:dyDescent="0.3">
      <c r="C34" s="1" t="s">
        <v>91</v>
      </c>
      <c r="D34" s="1">
        <v>-1</v>
      </c>
      <c r="E34" s="1" t="s">
        <v>94</v>
      </c>
    </row>
    <row r="35" spans="3:5" x14ac:dyDescent="0.3">
      <c r="C35" s="1" t="s">
        <v>98</v>
      </c>
      <c r="D35" s="1">
        <v>-1</v>
      </c>
    </row>
    <row r="36" spans="3:5" x14ac:dyDescent="0.3">
      <c r="C36" s="1" t="s">
        <v>0</v>
      </c>
      <c r="D36" s="1">
        <v>0</v>
      </c>
      <c r="E36" s="1" t="s">
        <v>4</v>
      </c>
    </row>
    <row r="37" spans="3:5" x14ac:dyDescent="0.3">
      <c r="C37" s="1" t="s">
        <v>7</v>
      </c>
      <c r="D37" s="1">
        <v>0</v>
      </c>
      <c r="E37" s="1" t="s">
        <v>4</v>
      </c>
    </row>
    <row r="38" spans="3:5" x14ac:dyDescent="0.3">
      <c r="C38" s="1" t="s">
        <v>8</v>
      </c>
      <c r="D38" s="1">
        <v>0</v>
      </c>
      <c r="E38" s="1" t="s">
        <v>12</v>
      </c>
    </row>
    <row r="39" spans="3:5" x14ac:dyDescent="0.3">
      <c r="C39" s="1" t="s">
        <v>15</v>
      </c>
      <c r="D39" s="1">
        <v>0</v>
      </c>
      <c r="E39" s="1" t="s">
        <v>19</v>
      </c>
    </row>
    <row r="40" spans="3:5" x14ac:dyDescent="0.3">
      <c r="C40" s="1" t="s">
        <v>22</v>
      </c>
      <c r="D40" s="1">
        <v>0</v>
      </c>
      <c r="E40" s="1" t="s">
        <v>26</v>
      </c>
    </row>
    <row r="41" spans="3:5" x14ac:dyDescent="0.3">
      <c r="C41" s="1" t="s">
        <v>29</v>
      </c>
      <c r="D41" s="1">
        <v>0</v>
      </c>
      <c r="E41" s="1" t="s">
        <v>33</v>
      </c>
    </row>
    <row r="42" spans="3:5" x14ac:dyDescent="0.3">
      <c r="C42" s="1" t="s">
        <v>36</v>
      </c>
      <c r="D42" s="1">
        <v>0</v>
      </c>
      <c r="E42" s="1" t="s">
        <v>40</v>
      </c>
    </row>
    <row r="43" spans="3:5" x14ac:dyDescent="0.3">
      <c r="C43" s="1" t="s">
        <v>43</v>
      </c>
      <c r="D43" s="1">
        <v>0</v>
      </c>
      <c r="E43" s="1" t="s">
        <v>47</v>
      </c>
    </row>
    <row r="44" spans="3:5" x14ac:dyDescent="0.3">
      <c r="C44" s="1" t="s">
        <v>50</v>
      </c>
      <c r="D44" s="1">
        <v>0</v>
      </c>
      <c r="E44" s="1" t="s">
        <v>54</v>
      </c>
    </row>
    <row r="45" spans="3:5" x14ac:dyDescent="0.3">
      <c r="C45" s="1" t="s">
        <v>57</v>
      </c>
      <c r="D45" s="1">
        <v>0</v>
      </c>
      <c r="E45" s="1" t="s">
        <v>61</v>
      </c>
    </row>
    <row r="46" spans="3:5" x14ac:dyDescent="0.3">
      <c r="C46" s="1" t="s">
        <v>64</v>
      </c>
      <c r="D46" s="1">
        <v>0</v>
      </c>
      <c r="E46" s="1" t="s">
        <v>68</v>
      </c>
    </row>
    <row r="47" spans="3:5" x14ac:dyDescent="0.3">
      <c r="C47" s="1" t="s">
        <v>71</v>
      </c>
      <c r="D47" s="1">
        <v>0</v>
      </c>
      <c r="E47" s="1" t="s">
        <v>75</v>
      </c>
    </row>
    <row r="48" spans="3:5" x14ac:dyDescent="0.3">
      <c r="C48" s="1" t="s">
        <v>78</v>
      </c>
      <c r="D48" s="1">
        <v>0</v>
      </c>
      <c r="E48" s="1" t="s">
        <v>82</v>
      </c>
    </row>
    <row r="49" spans="3:5" x14ac:dyDescent="0.3">
      <c r="C49" s="1" t="s">
        <v>85</v>
      </c>
      <c r="D49" s="1">
        <v>0</v>
      </c>
      <c r="E49" s="1" t="s">
        <v>89</v>
      </c>
    </row>
    <row r="50" spans="3:5" x14ac:dyDescent="0.3">
      <c r="C50" s="1" t="s">
        <v>91</v>
      </c>
      <c r="D50" s="1">
        <v>0</v>
      </c>
      <c r="E50" s="1" t="s">
        <v>95</v>
      </c>
    </row>
    <row r="51" spans="3:5" x14ac:dyDescent="0.3">
      <c r="C51" s="1" t="s">
        <v>98</v>
      </c>
      <c r="D51" s="1">
        <v>0</v>
      </c>
    </row>
    <row r="52" spans="3:5" x14ac:dyDescent="0.3">
      <c r="C52" s="1" t="s">
        <v>0</v>
      </c>
      <c r="D52" s="1">
        <v>1</v>
      </c>
      <c r="E52" s="1" t="s">
        <v>5</v>
      </c>
    </row>
    <row r="53" spans="3:5" x14ac:dyDescent="0.3">
      <c r="C53" s="1" t="s">
        <v>7</v>
      </c>
      <c r="D53" s="1">
        <v>1</v>
      </c>
      <c r="E53" s="1" t="s">
        <v>5</v>
      </c>
    </row>
    <row r="54" spans="3:5" x14ac:dyDescent="0.3">
      <c r="C54" s="1" t="s">
        <v>8</v>
      </c>
      <c r="D54" s="1">
        <v>1</v>
      </c>
      <c r="E54" s="1" t="s">
        <v>13</v>
      </c>
    </row>
    <row r="55" spans="3:5" x14ac:dyDescent="0.3">
      <c r="C55" s="1" t="s">
        <v>15</v>
      </c>
      <c r="D55" s="1">
        <v>1</v>
      </c>
      <c r="E55" s="1" t="s">
        <v>20</v>
      </c>
    </row>
    <row r="56" spans="3:5" x14ac:dyDescent="0.3">
      <c r="C56" s="1" t="s">
        <v>22</v>
      </c>
      <c r="D56" s="1">
        <v>1</v>
      </c>
      <c r="E56" s="1" t="s">
        <v>27</v>
      </c>
    </row>
    <row r="57" spans="3:5" x14ac:dyDescent="0.3">
      <c r="C57" s="1" t="s">
        <v>29</v>
      </c>
      <c r="D57" s="1">
        <v>1</v>
      </c>
      <c r="E57" s="1" t="s">
        <v>34</v>
      </c>
    </row>
    <row r="58" spans="3:5" x14ac:dyDescent="0.3">
      <c r="C58" s="1" t="s">
        <v>36</v>
      </c>
      <c r="D58" s="1">
        <v>1</v>
      </c>
      <c r="E58" s="1" t="s">
        <v>41</v>
      </c>
    </row>
    <row r="59" spans="3:5" x14ac:dyDescent="0.3">
      <c r="C59" s="1" t="s">
        <v>43</v>
      </c>
      <c r="D59" s="1">
        <v>1</v>
      </c>
      <c r="E59" s="1" t="s">
        <v>48</v>
      </c>
    </row>
    <row r="60" spans="3:5" x14ac:dyDescent="0.3">
      <c r="C60" s="1" t="s">
        <v>50</v>
      </c>
      <c r="D60" s="1">
        <v>1</v>
      </c>
      <c r="E60" s="1" t="s">
        <v>55</v>
      </c>
    </row>
    <row r="61" spans="3:5" x14ac:dyDescent="0.3">
      <c r="C61" s="1" t="s">
        <v>57</v>
      </c>
      <c r="D61" s="1">
        <v>1</v>
      </c>
      <c r="E61" s="1" t="s">
        <v>62</v>
      </c>
    </row>
    <row r="62" spans="3:5" x14ac:dyDescent="0.3">
      <c r="C62" s="1" t="s">
        <v>64</v>
      </c>
      <c r="D62" s="1">
        <v>1</v>
      </c>
      <c r="E62" s="1" t="s">
        <v>69</v>
      </c>
    </row>
    <row r="63" spans="3:5" x14ac:dyDescent="0.3">
      <c r="C63" s="1" t="s">
        <v>71</v>
      </c>
      <c r="D63" s="1">
        <v>1</v>
      </c>
      <c r="E63" s="1" t="s">
        <v>76</v>
      </c>
    </row>
    <row r="64" spans="3:5" x14ac:dyDescent="0.3">
      <c r="C64" s="1" t="s">
        <v>78</v>
      </c>
      <c r="D64" s="1">
        <v>1</v>
      </c>
      <c r="E64" s="1" t="s">
        <v>83</v>
      </c>
    </row>
    <row r="65" spans="3:5" x14ac:dyDescent="0.3">
      <c r="C65" s="1" t="s">
        <v>85</v>
      </c>
      <c r="D65" s="1">
        <v>1</v>
      </c>
      <c r="E65" s="1" t="s">
        <v>90</v>
      </c>
    </row>
    <row r="66" spans="3:5" x14ac:dyDescent="0.3">
      <c r="C66" s="1" t="s">
        <v>91</v>
      </c>
      <c r="D66" s="1">
        <v>1</v>
      </c>
      <c r="E66" s="1" t="s">
        <v>96</v>
      </c>
    </row>
    <row r="67" spans="3:5" x14ac:dyDescent="0.3">
      <c r="C67" s="1" t="s">
        <v>98</v>
      </c>
      <c r="D67" s="1">
        <v>1</v>
      </c>
    </row>
    <row r="68" spans="3:5" x14ac:dyDescent="0.3">
      <c r="C68" s="1" t="s">
        <v>0</v>
      </c>
      <c r="D68" s="1">
        <v>2</v>
      </c>
      <c r="E68" s="1" t="s">
        <v>6</v>
      </c>
    </row>
    <row r="69" spans="3:5" x14ac:dyDescent="0.3">
      <c r="C69" s="1" t="s">
        <v>7</v>
      </c>
      <c r="D69" s="1">
        <v>2</v>
      </c>
      <c r="E69" s="1" t="s">
        <v>197</v>
      </c>
    </row>
    <row r="70" spans="3:5" x14ac:dyDescent="0.3">
      <c r="C70" s="1" t="s">
        <v>8</v>
      </c>
      <c r="D70" s="1">
        <v>2</v>
      </c>
      <c r="E70" s="1" t="s">
        <v>14</v>
      </c>
    </row>
    <row r="71" spans="3:5" x14ac:dyDescent="0.3">
      <c r="C71" s="1" t="s">
        <v>15</v>
      </c>
      <c r="D71" s="1">
        <v>2</v>
      </c>
      <c r="E71" s="1" t="s">
        <v>21</v>
      </c>
    </row>
    <row r="72" spans="3:5" x14ac:dyDescent="0.3">
      <c r="C72" s="1" t="s">
        <v>22</v>
      </c>
      <c r="D72" s="1">
        <v>2</v>
      </c>
      <c r="E72" s="1" t="s">
        <v>28</v>
      </c>
    </row>
    <row r="73" spans="3:5" x14ac:dyDescent="0.3">
      <c r="C73" s="1" t="s">
        <v>29</v>
      </c>
      <c r="D73" s="1">
        <v>2</v>
      </c>
      <c r="E73" s="1" t="s">
        <v>35</v>
      </c>
    </row>
    <row r="74" spans="3:5" x14ac:dyDescent="0.3">
      <c r="C74" s="1" t="s">
        <v>36</v>
      </c>
      <c r="D74" s="1">
        <v>2</v>
      </c>
      <c r="E74" s="1" t="s">
        <v>42</v>
      </c>
    </row>
    <row r="75" spans="3:5" x14ac:dyDescent="0.3">
      <c r="C75" s="1" t="s">
        <v>43</v>
      </c>
      <c r="D75" s="1">
        <v>2</v>
      </c>
      <c r="E75" s="1" t="s">
        <v>49</v>
      </c>
    </row>
    <row r="76" spans="3:5" x14ac:dyDescent="0.3">
      <c r="C76" s="1" t="s">
        <v>50</v>
      </c>
      <c r="D76" s="1">
        <v>2</v>
      </c>
      <c r="E76" s="1" t="s">
        <v>56</v>
      </c>
    </row>
    <row r="77" spans="3:5" x14ac:dyDescent="0.3">
      <c r="C77" s="1" t="s">
        <v>57</v>
      </c>
      <c r="D77" s="1">
        <v>2</v>
      </c>
      <c r="E77" s="1" t="s">
        <v>63</v>
      </c>
    </row>
    <row r="78" spans="3:5" x14ac:dyDescent="0.3">
      <c r="C78" s="1" t="s">
        <v>64</v>
      </c>
      <c r="D78" s="1">
        <v>2</v>
      </c>
      <c r="E78" s="1" t="s">
        <v>70</v>
      </c>
    </row>
    <row r="79" spans="3:5" x14ac:dyDescent="0.3">
      <c r="C79" s="1" t="s">
        <v>71</v>
      </c>
      <c r="D79" s="1">
        <v>2</v>
      </c>
      <c r="E79" s="1" t="s">
        <v>77</v>
      </c>
    </row>
    <row r="80" spans="3:5" x14ac:dyDescent="0.3">
      <c r="C80" s="1" t="s">
        <v>78</v>
      </c>
      <c r="D80" s="1">
        <v>2</v>
      </c>
      <c r="E80" s="1" t="s">
        <v>84</v>
      </c>
    </row>
    <row r="81" spans="3:5" x14ac:dyDescent="0.3">
      <c r="C81" s="1" t="s">
        <v>85</v>
      </c>
      <c r="D81" s="1">
        <v>2</v>
      </c>
      <c r="E81" s="1" t="s">
        <v>80</v>
      </c>
    </row>
    <row r="82" spans="3:5" x14ac:dyDescent="0.3">
      <c r="C82" s="1" t="s">
        <v>91</v>
      </c>
      <c r="D82" s="1">
        <v>2</v>
      </c>
      <c r="E82" s="1" t="s">
        <v>97</v>
      </c>
    </row>
    <row r="83" spans="3:5" x14ac:dyDescent="0.3">
      <c r="C83" s="1" t="s">
        <v>98</v>
      </c>
      <c r="D83" s="1">
        <v>2</v>
      </c>
    </row>
    <row r="84" spans="3:5" x14ac:dyDescent="0.3">
      <c r="C84" s="1" t="s">
        <v>78</v>
      </c>
      <c r="D84" s="1">
        <v>2</v>
      </c>
      <c r="E84" s="1" t="s">
        <v>77</v>
      </c>
    </row>
    <row r="85" spans="3:5" x14ac:dyDescent="0.3">
      <c r="C85" s="1" t="s">
        <v>85</v>
      </c>
      <c r="D85" s="1">
        <v>2</v>
      </c>
      <c r="E85" s="1" t="s">
        <v>84</v>
      </c>
    </row>
    <row r="86" spans="3:5" x14ac:dyDescent="0.3">
      <c r="C86" s="1" t="s">
        <v>91</v>
      </c>
      <c r="D86" s="1">
        <v>2</v>
      </c>
      <c r="E86" s="1" t="s">
        <v>80</v>
      </c>
    </row>
    <row r="87" spans="3:5" x14ac:dyDescent="0.3">
      <c r="C87" s="1" t="s">
        <v>98</v>
      </c>
      <c r="D87" s="1">
        <v>2</v>
      </c>
      <c r="E87" s="1" t="s">
        <v>97</v>
      </c>
    </row>
    <row r="88" spans="3:5" x14ac:dyDescent="0.3">
      <c r="C88" s="1" t="s">
        <v>132</v>
      </c>
      <c r="D88" s="1">
        <v>2</v>
      </c>
    </row>
    <row r="89" spans="3:5" x14ac:dyDescent="0.3">
      <c r="C89" s="1" t="s">
        <v>29</v>
      </c>
      <c r="D89" s="1">
        <v>2</v>
      </c>
      <c r="E89" s="1" t="s">
        <v>290</v>
      </c>
    </row>
    <row r="90" spans="3:5" x14ac:dyDescent="0.3">
      <c r="C90" s="1" t="s">
        <v>36</v>
      </c>
      <c r="D90" s="1">
        <v>2</v>
      </c>
      <c r="E90" s="1" t="s">
        <v>291</v>
      </c>
    </row>
    <row r="91" spans="3:5" x14ac:dyDescent="0.3">
      <c r="C91" s="1" t="s">
        <v>43</v>
      </c>
      <c r="D91" s="1">
        <v>2</v>
      </c>
      <c r="E91" s="1" t="s">
        <v>292</v>
      </c>
    </row>
    <row r="92" spans="3:5" x14ac:dyDescent="0.3">
      <c r="C92" s="1" t="s">
        <v>50</v>
      </c>
      <c r="D92" s="1">
        <v>2</v>
      </c>
      <c r="E92" s="1" t="s">
        <v>293</v>
      </c>
    </row>
    <row r="93" spans="3:5" x14ac:dyDescent="0.3">
      <c r="C93" s="1" t="s">
        <v>57</v>
      </c>
      <c r="D93" s="1">
        <v>2</v>
      </c>
      <c r="E93" s="1" t="s">
        <v>294</v>
      </c>
    </row>
    <row r="94" spans="3:5" x14ac:dyDescent="0.3">
      <c r="C94" s="1" t="s">
        <v>64</v>
      </c>
      <c r="D94" s="1">
        <v>2</v>
      </c>
      <c r="E94" s="1" t="s">
        <v>295</v>
      </c>
    </row>
    <row r="95" spans="3:5" x14ac:dyDescent="0.3">
      <c r="C95" s="1" t="s">
        <v>71</v>
      </c>
      <c r="D95" s="1">
        <v>2</v>
      </c>
      <c r="E95" s="1" t="s">
        <v>296</v>
      </c>
    </row>
    <row r="96" spans="3:5" x14ac:dyDescent="0.3">
      <c r="C96" s="1" t="s">
        <v>78</v>
      </c>
      <c r="D96" s="1">
        <v>2</v>
      </c>
      <c r="E96" s="1" t="s">
        <v>297</v>
      </c>
    </row>
    <row r="97" spans="3:5" x14ac:dyDescent="0.3">
      <c r="C97" s="1" t="s">
        <v>85</v>
      </c>
      <c r="D97" s="1">
        <v>2</v>
      </c>
      <c r="E97" s="1" t="s">
        <v>243</v>
      </c>
    </row>
    <row r="98" spans="3:5" x14ac:dyDescent="0.3">
      <c r="C98" s="1" t="s">
        <v>91</v>
      </c>
      <c r="D98" s="1">
        <v>2</v>
      </c>
      <c r="E98" s="1" t="s">
        <v>298</v>
      </c>
    </row>
    <row r="99" spans="3:5" x14ac:dyDescent="0.3">
      <c r="C99" s="1" t="s">
        <v>98</v>
      </c>
      <c r="D99" s="1">
        <v>2</v>
      </c>
    </row>
    <row r="100" spans="3:5" x14ac:dyDescent="0.3">
      <c r="C100" s="1" t="s">
        <v>0</v>
      </c>
      <c r="D100" s="1">
        <v>3</v>
      </c>
      <c r="E100" s="1" t="s">
        <v>133</v>
      </c>
    </row>
    <row r="101" spans="3:5" x14ac:dyDescent="0.3">
      <c r="C101" s="1" t="s">
        <v>7</v>
      </c>
      <c r="D101" s="1">
        <v>3</v>
      </c>
    </row>
    <row r="102" spans="3:5" x14ac:dyDescent="0.3">
      <c r="C102" s="1" t="s">
        <v>8</v>
      </c>
      <c r="D102" s="1">
        <v>3</v>
      </c>
    </row>
    <row r="103" spans="3:5" x14ac:dyDescent="0.3">
      <c r="C103" s="1" t="s">
        <v>15</v>
      </c>
      <c r="D103" s="1">
        <v>3</v>
      </c>
    </row>
    <row r="104" spans="3:5" x14ac:dyDescent="0.3">
      <c r="C104" s="1" t="s">
        <v>22</v>
      </c>
      <c r="D104" s="1">
        <v>3</v>
      </c>
    </row>
    <row r="105" spans="3:5" x14ac:dyDescent="0.3">
      <c r="C105" s="1" t="s">
        <v>29</v>
      </c>
      <c r="D105" s="1">
        <v>3</v>
      </c>
    </row>
    <row r="106" spans="3:5" x14ac:dyDescent="0.3">
      <c r="C106" s="1" t="s">
        <v>36</v>
      </c>
      <c r="D106" s="1">
        <v>3</v>
      </c>
    </row>
    <row r="107" spans="3:5" x14ac:dyDescent="0.3">
      <c r="C107" s="1" t="s">
        <v>43</v>
      </c>
      <c r="D107" s="1">
        <v>3</v>
      </c>
    </row>
    <row r="108" spans="3:5" x14ac:dyDescent="0.3">
      <c r="C108" s="1" t="s">
        <v>50</v>
      </c>
      <c r="D108" s="1">
        <v>3</v>
      </c>
    </row>
    <row r="109" spans="3:5" x14ac:dyDescent="0.3">
      <c r="C109" s="1" t="s">
        <v>57</v>
      </c>
      <c r="D109" s="1">
        <v>3</v>
      </c>
    </row>
    <row r="110" spans="3:5" x14ac:dyDescent="0.3">
      <c r="C110" s="1" t="s">
        <v>64</v>
      </c>
      <c r="D110" s="1">
        <v>3</v>
      </c>
    </row>
    <row r="111" spans="3:5" x14ac:dyDescent="0.3">
      <c r="C111" s="1" t="s">
        <v>71</v>
      </c>
      <c r="D111" s="1">
        <v>3</v>
      </c>
    </row>
    <row r="112" spans="3:5" x14ac:dyDescent="0.3">
      <c r="C112" s="1" t="s">
        <v>78</v>
      </c>
      <c r="D112" s="1">
        <v>3</v>
      </c>
    </row>
    <row r="113" spans="3:4" x14ac:dyDescent="0.3">
      <c r="C113" s="1" t="s">
        <v>85</v>
      </c>
      <c r="D113" s="1">
        <v>3</v>
      </c>
    </row>
    <row r="114" spans="3:4" x14ac:dyDescent="0.3">
      <c r="C114" s="1" t="s">
        <v>91</v>
      </c>
      <c r="D114" s="1">
        <v>3</v>
      </c>
    </row>
    <row r="115" spans="3:4" x14ac:dyDescent="0.3">
      <c r="C115" s="1" t="s">
        <v>98</v>
      </c>
      <c r="D115" s="1">
        <v>3</v>
      </c>
    </row>
    <row r="116" spans="3:4" x14ac:dyDescent="0.3">
      <c r="C116" s="1" t="s">
        <v>64</v>
      </c>
      <c r="D116" s="1">
        <v>3</v>
      </c>
    </row>
    <row r="117" spans="3:4" x14ac:dyDescent="0.3">
      <c r="C117" s="1" t="s">
        <v>71</v>
      </c>
      <c r="D117" s="1">
        <v>3</v>
      </c>
    </row>
    <row r="118" spans="3:4" x14ac:dyDescent="0.3">
      <c r="C118" s="1" t="s">
        <v>78</v>
      </c>
      <c r="D118" s="1">
        <v>3</v>
      </c>
    </row>
    <row r="119" spans="3:4" x14ac:dyDescent="0.3">
      <c r="C119" s="1" t="s">
        <v>85</v>
      </c>
      <c r="D119" s="1">
        <v>3</v>
      </c>
    </row>
    <row r="120" spans="3:4" x14ac:dyDescent="0.3">
      <c r="C120" s="1" t="s">
        <v>91</v>
      </c>
      <c r="D120" s="1">
        <v>3</v>
      </c>
    </row>
    <row r="121" spans="3:4" x14ac:dyDescent="0.3">
      <c r="C121" s="1" t="s">
        <v>98</v>
      </c>
      <c r="D121" s="1">
        <v>3</v>
      </c>
    </row>
    <row r="122" spans="3:4" x14ac:dyDescent="0.3">
      <c r="C122" s="1" t="s">
        <v>132</v>
      </c>
      <c r="D122" s="1">
        <v>3</v>
      </c>
    </row>
  </sheetData>
  <phoneticPr fontId="4" type="noConversion"/>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Critères de sélection</vt:lpstr>
      <vt:lpstr>Evaluation</vt:lpstr>
      <vt:lpstr>Paramétrages</vt:lpstr>
      <vt:lpstr>HeaderEvaluation</vt:lpstr>
      <vt:lpstr>Langue</vt:lpstr>
      <vt:lpstr>LevelPriority</vt:lpstr>
      <vt:lpstr>PriorityLevel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2015-06-05T18:17:20Z</dcterms:created>
  <dcterms:modified xsi:type="dcterms:W3CDTF">2024-07-29T09:14:29Z</dcterms:modified>
</cp:coreProperties>
</file>
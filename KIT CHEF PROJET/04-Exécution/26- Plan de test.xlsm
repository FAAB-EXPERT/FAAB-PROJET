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D:\BGDP\Kit du chef de projet\04-Exécution\"/>
    </mc:Choice>
  </mc:AlternateContent>
  <xr:revisionPtr revIDLastSave="0" documentId="13_ncr:1_{0558119D-2ED4-43D2-BBD3-6E5169DC289B}" xr6:coauthVersionLast="47" xr6:coauthVersionMax="47" xr10:uidLastSave="{00000000-0000-0000-0000-000000000000}"/>
  <bookViews>
    <workbookView xWindow="-108" yWindow="-108" windowWidth="23256" windowHeight="12576" tabRatio="548" firstSheet="1" activeTab="1" xr2:uid="{00000000-000D-0000-FFFF-FFFF00000000}"/>
  </bookViews>
  <sheets>
    <sheet name="Guide d'utilisation" sheetId="3" state="veryHidden" r:id="rId1"/>
    <sheet name="Tests d'Intégration" sheetId="1" r:id="rId2"/>
    <sheet name="Tests de Consolidation" sheetId="5" r:id="rId3"/>
    <sheet name="Language" sheetId="6" state="veryHidden" r:id="rId4"/>
    <sheet name="Backend" sheetId="4" state="veryHidden" r:id="rId5"/>
  </sheets>
  <definedNames>
    <definedName name="Langue">'Tests d''Intégration'!$K$7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8" i="5" l="1"/>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19" i="4"/>
  <c r="B18" i="4"/>
  <c r="B17" i="4"/>
  <c r="B16" i="4"/>
  <c r="B15" i="4"/>
  <c r="L11" i="5"/>
  <c r="K11" i="5"/>
  <c r="J11" i="5"/>
  <c r="I11" i="5"/>
  <c r="H11" i="5"/>
  <c r="L10" i="5"/>
  <c r="K10" i="5"/>
  <c r="J10" i="5"/>
  <c r="I10" i="5"/>
  <c r="H10" i="5"/>
  <c r="B8" i="4"/>
  <c r="B7" i="4"/>
  <c r="B6" i="4"/>
  <c r="B5" i="4"/>
  <c r="B4" i="4"/>
  <c r="B21" i="4" l="1"/>
  <c r="B10" i="4"/>
  <c r="B9" i="4"/>
  <c r="C9" i="4" s="1"/>
  <c r="B20" i="4"/>
  <c r="C20" i="4" s="1"/>
  <c r="L11" i="1"/>
  <c r="K11" i="1"/>
  <c r="J11" i="1"/>
  <c r="I11" i="1"/>
  <c r="H11" i="1"/>
  <c r="L12" i="1"/>
  <c r="K12" i="1"/>
  <c r="J12" i="1"/>
  <c r="I12" i="1"/>
  <c r="H12" i="1"/>
  <c r="C21" i="4" l="1"/>
  <c r="C4" i="4"/>
  <c r="H15" i="1" s="1"/>
  <c r="C10" i="4"/>
  <c r="C6" i="4"/>
  <c r="J15" i="1" s="1"/>
  <c r="C5" i="4"/>
  <c r="I15" i="1" s="1"/>
  <c r="C8" i="4"/>
  <c r="L15" i="1" s="1"/>
  <c r="C7" i="4"/>
  <c r="K15" i="1" s="1"/>
  <c r="C15" i="4"/>
  <c r="H14" i="5" s="1"/>
  <c r="C19" i="4"/>
  <c r="L14" i="5" s="1"/>
  <c r="C18" i="4"/>
  <c r="K14" i="5" s="1"/>
  <c r="C17" i="4"/>
  <c r="J14" i="5" s="1"/>
  <c r="C16" i="4"/>
  <c r="I14" i="5" s="1"/>
  <c r="B22" i="4"/>
  <c r="C22" i="4" s="1"/>
  <c r="B11" i="4"/>
  <c r="C11" i="4" s="1"/>
</calcChain>
</file>

<file path=xl/sharedStrings.xml><?xml version="1.0" encoding="utf-8"?>
<sst xmlns="http://schemas.openxmlformats.org/spreadsheetml/2006/main" count="1332" uniqueCount="470">
  <si>
    <t>EN COURS</t>
  </si>
  <si>
    <t>EN ATTENTE</t>
  </si>
  <si>
    <t>PAS APPLICABLE</t>
  </si>
  <si>
    <t>Correction</t>
  </si>
  <si>
    <t>Inventaire physique</t>
  </si>
  <si>
    <t>Production</t>
  </si>
  <si>
    <t>Maintenance usine</t>
  </si>
  <si>
    <t>Planification production</t>
  </si>
  <si>
    <t>Planification détaillée</t>
  </si>
  <si>
    <t>Produits semi-finis</t>
  </si>
  <si>
    <t>Exécution</t>
  </si>
  <si>
    <t>Stockage</t>
  </si>
  <si>
    <t>Finances</t>
  </si>
  <si>
    <t>Facturation inter-compagnies</t>
  </si>
  <si>
    <t>Préparation nouvelle année</t>
  </si>
  <si>
    <t>Transferts inter-compagnies</t>
  </si>
  <si>
    <t>Comptabilité bancaire</t>
  </si>
  <si>
    <t>Notes de frais</t>
  </si>
  <si>
    <t>Déclaration TVA</t>
  </si>
  <si>
    <t>Paiement entrant</t>
  </si>
  <si>
    <t>Paiement sortant</t>
  </si>
  <si>
    <t>Gestion des plaintes</t>
  </si>
  <si>
    <t>Ventes</t>
  </si>
  <si>
    <t>Vente au personnel</t>
  </si>
  <si>
    <t>Retours</t>
  </si>
  <si>
    <t>Divers</t>
  </si>
  <si>
    <t>Achats</t>
  </si>
  <si>
    <t>Sources d'approvisionnement</t>
  </si>
  <si>
    <t>Consignations</t>
  </si>
  <si>
    <t>Matières premières inter-compagnies</t>
  </si>
  <si>
    <t>Rapports</t>
  </si>
  <si>
    <t>Analyses</t>
  </si>
  <si>
    <t>X</t>
  </si>
  <si>
    <t>A FAIRE</t>
  </si>
  <si>
    <t>soit</t>
  </si>
  <si>
    <t>Nom / Code projet</t>
  </si>
  <si>
    <t>Référence</t>
  </si>
  <si>
    <t>Chef de projet</t>
  </si>
  <si>
    <t>Numéro de version</t>
  </si>
  <si>
    <t>Service/Organisation</t>
  </si>
  <si>
    <t>Confassis S.A.</t>
  </si>
  <si>
    <t>Saisir mouvement d'immobilisation</t>
  </si>
  <si>
    <t>Modifier pièce d'immobilisation</t>
  </si>
  <si>
    <t>Afficher pièce d'immobilisation.</t>
  </si>
  <si>
    <t xml:space="preserve">Sortie immob. par vente sans client  </t>
  </si>
  <si>
    <t xml:space="preserve">Annuler poste indiv.d'immob. </t>
  </si>
  <si>
    <t xml:space="preserve">Amortissement non planifié </t>
  </si>
  <si>
    <t>Sortie immob. par vente avec client</t>
  </si>
  <si>
    <t xml:space="preserve">Dernière sortie sur complexe immob. </t>
  </si>
  <si>
    <t xml:space="preserve">Dériv. autom. caract. : accès </t>
  </si>
  <si>
    <t>Sortie immob. par mise au rebu</t>
  </si>
  <si>
    <t>Sortie immob. par mise au rebut</t>
  </si>
  <si>
    <t>Réévaluation comptable</t>
  </si>
  <si>
    <t>Revalorisation</t>
  </si>
  <si>
    <t>Ecriture correction sur domaines</t>
  </si>
  <si>
    <t>Comptabiliser pièce</t>
  </si>
  <si>
    <t>Comptabiliser pièce ds grp. ledgers</t>
  </si>
  <si>
    <t>Avoir dans exerc.suivant la facture</t>
  </si>
  <si>
    <t xml:space="preserve">Saisir avoir dans exerc.de facture  </t>
  </si>
  <si>
    <t xml:space="preserve">Encouragement à l'investissement </t>
  </si>
  <si>
    <t>Amortissement manuel</t>
  </si>
  <si>
    <t xml:space="preserve"> Transf.manuel prov. p. renouv.immob. </t>
  </si>
  <si>
    <t>Annulation mvt d'immob.via n° pièce</t>
  </si>
  <si>
    <t>Invest. Additionnel</t>
  </si>
  <si>
    <t>Investissement additionnel</t>
  </si>
  <si>
    <t>Saisir invest. additionnel</t>
  </si>
  <si>
    <t>Produit ultérieur</t>
  </si>
  <si>
    <t>Coûts ultérieurs</t>
  </si>
  <si>
    <t>Autre mouvement</t>
  </si>
  <si>
    <t>Analyse rapprochement FI-AA</t>
  </si>
  <si>
    <t xml:space="preserve">Transfert d'immob. inter-sociétés </t>
  </si>
  <si>
    <t>Transfert entre tableaux</t>
  </si>
  <si>
    <t>FINANCES</t>
  </si>
  <si>
    <t>Général</t>
  </si>
  <si>
    <t>Clôture</t>
  </si>
  <si>
    <t>Rapprochement des comptes</t>
  </si>
  <si>
    <t>Rapports SOX</t>
  </si>
  <si>
    <t>Rapports financiers</t>
  </si>
  <si>
    <t>Gestions des liquidités</t>
  </si>
  <si>
    <t>Gestion communications bancaires</t>
  </si>
  <si>
    <t>Vente des recevables</t>
  </si>
  <si>
    <t>Contrôle crédit</t>
  </si>
  <si>
    <t>Avances en espèces</t>
  </si>
  <si>
    <t>Rapports management</t>
  </si>
  <si>
    <t>Coûts de service</t>
  </si>
  <si>
    <t>Coûts inter-compagnies</t>
  </si>
  <si>
    <t>Préparation des prévisions</t>
  </si>
  <si>
    <t>Gestion des banques</t>
  </si>
  <si>
    <t>Enregistrement retours taxes</t>
  </si>
  <si>
    <t>Déclaration Intrastat/Extrastat</t>
  </si>
  <si>
    <t>Entrée manuelle Grand Livre</t>
  </si>
  <si>
    <t>Processus financiers inter-compagnies</t>
  </si>
  <si>
    <t>Journal entrées-sorties</t>
  </si>
  <si>
    <t>Collecte dettes</t>
  </si>
  <si>
    <t>Rapports banque centrale</t>
  </si>
  <si>
    <t>Vérification crédit</t>
  </si>
  <si>
    <t>Vérification crédit - statique et dynamique</t>
  </si>
  <si>
    <t>Commandes bloquées et enquêtes</t>
  </si>
  <si>
    <t>Crédit: relacher les commandes</t>
  </si>
  <si>
    <t>Crédit: annuler les comandes</t>
  </si>
  <si>
    <t>Enregistrement facture FI/CO</t>
  </si>
  <si>
    <t>Mouvements produits FI</t>
  </si>
  <si>
    <t>Transfert inter-sociétés</t>
  </si>
  <si>
    <t>VENTES</t>
  </si>
  <si>
    <t>Ventes standard</t>
  </si>
  <si>
    <t>Unités organisationnelles</t>
  </si>
  <si>
    <t>Données maître</t>
  </si>
  <si>
    <t>Prise de commande</t>
  </si>
  <si>
    <t>Détermination partenaires d'affaires</t>
  </si>
  <si>
    <t>Accords niveaux de services</t>
  </si>
  <si>
    <t>Stratégies de distribution</t>
  </si>
  <si>
    <t>Détermination codes produits</t>
  </si>
  <si>
    <t>Produits de substitution</t>
  </si>
  <si>
    <t>Documents de référence</t>
  </si>
  <si>
    <t>Vérification de disponibilité et planification commande</t>
  </si>
  <si>
    <t>Réserves client</t>
  </si>
  <si>
    <t>Détermination des prix et conditions</t>
  </si>
  <si>
    <t>Informations commande internationales hors UE</t>
  </si>
  <si>
    <t>Informations commande internationales dans UE</t>
  </si>
  <si>
    <t>Détermination impression documentation</t>
  </si>
  <si>
    <t>Détermination vendeur</t>
  </si>
  <si>
    <t>Détermination raison de la commande</t>
  </si>
  <si>
    <t>Détermination code rejet</t>
  </si>
  <si>
    <t>Facturation</t>
  </si>
  <si>
    <t>Export</t>
  </si>
  <si>
    <t>Prévisions de livraison</t>
  </si>
  <si>
    <t>Accords planification des commandes</t>
  </si>
  <si>
    <t>Correction commandes planifiées</t>
  </si>
  <si>
    <t>Paiement en espèces</t>
  </si>
  <si>
    <t>Paiement cartes de crédit</t>
  </si>
  <si>
    <t>Notes de crédit</t>
  </si>
  <si>
    <t>Notes de débit</t>
  </si>
  <si>
    <t>Divers crédit</t>
  </si>
  <si>
    <t>Divers débit</t>
  </si>
  <si>
    <t>Plaintes sous garantie</t>
  </si>
  <si>
    <t>Gestion retards</t>
  </si>
  <si>
    <t>Archivage</t>
  </si>
  <si>
    <t>Ventes en espèces</t>
  </si>
  <si>
    <t>Retour ventes en espèces</t>
  </si>
  <si>
    <t>Campagnes de ventes</t>
  </si>
  <si>
    <t>Demandes spéciales clients</t>
  </si>
  <si>
    <t>Très grosses commandes</t>
  </si>
  <si>
    <t>Portail B2B</t>
  </si>
  <si>
    <t>Portail CRM</t>
  </si>
  <si>
    <t>ACHATS</t>
  </si>
  <si>
    <t>Inventaire stock fournisseurs agréés</t>
  </si>
  <si>
    <t>Stock consignations</t>
  </si>
  <si>
    <t>Achats avec contrats</t>
  </si>
  <si>
    <t>Achats sans contrats</t>
  </si>
  <si>
    <t>Sous-contractants</t>
  </si>
  <si>
    <t>Achats via sous-contractants</t>
  </si>
  <si>
    <t>621 P2P - Prêts et emprunts</t>
  </si>
  <si>
    <t>Matières première inter-compagnies</t>
  </si>
  <si>
    <t>Semis-finis inter-compagnies</t>
  </si>
  <si>
    <t>Stocks sans source</t>
  </si>
  <si>
    <t>Stock avec source</t>
  </si>
  <si>
    <t xml:space="preserve">Pièces non codifiées </t>
  </si>
  <si>
    <t>Achats pour Ventes, Marketing ou RH</t>
  </si>
  <si>
    <t>Processus suivi services</t>
  </si>
  <si>
    <t>Achats sur catalogues avec bon de réception</t>
  </si>
  <si>
    <t>Gestion d'inventaire</t>
  </si>
  <si>
    <t>LOGISTIQUE</t>
  </si>
  <si>
    <t>Listes et rapports</t>
  </si>
  <si>
    <t>Ré-approvisionnement sociétés sœurs</t>
  </si>
  <si>
    <t>Sous-contractants avec transport</t>
  </si>
  <si>
    <t>Sous-contractants sans transport</t>
  </si>
  <si>
    <t>Montage externe</t>
  </si>
  <si>
    <t>Processus interne dépôt</t>
  </si>
  <si>
    <t>Mouvements Intrastat/Extrastat</t>
  </si>
  <si>
    <t>Chaîne d'approvisionnement</t>
  </si>
  <si>
    <t>Réapprovisionnement inter compagnies</t>
  </si>
  <si>
    <t>Gestion stock tiers</t>
  </si>
  <si>
    <t>Allocations produits</t>
  </si>
  <si>
    <t>Planification transports</t>
  </si>
  <si>
    <t>Interfaces</t>
  </si>
  <si>
    <t>Importations</t>
  </si>
  <si>
    <t>PRODUCTION</t>
  </si>
  <si>
    <t>Planification</t>
  </si>
  <si>
    <t>Planification besoins produits</t>
  </si>
  <si>
    <t>Exécution de production</t>
  </si>
  <si>
    <t>Spécifications produits</t>
  </si>
  <si>
    <t>Production commandes spéciales</t>
  </si>
  <si>
    <t>Réglages équipements</t>
  </si>
  <si>
    <t>Suivi projets usine</t>
  </si>
  <si>
    <t>Constructions</t>
  </si>
  <si>
    <t>Assemblage</t>
  </si>
  <si>
    <t>Péparation</t>
  </si>
  <si>
    <t>Kanban</t>
  </si>
  <si>
    <t>Inventaires</t>
  </si>
  <si>
    <t>RAPPORTS</t>
  </si>
  <si>
    <t>Rapports Financiers</t>
  </si>
  <si>
    <t>Rapports Ventes</t>
  </si>
  <si>
    <t>Logistique</t>
  </si>
  <si>
    <t>Rapports Logistique</t>
  </si>
  <si>
    <t>Rapport Production</t>
  </si>
  <si>
    <t>Rapports Achats</t>
  </si>
  <si>
    <t>Services</t>
  </si>
  <si>
    <t>Rapports Services</t>
  </si>
  <si>
    <t>Rapports paramétrables</t>
  </si>
  <si>
    <t xml:space="preserve"> </t>
  </si>
  <si>
    <t>Immobilisations</t>
  </si>
  <si>
    <t>Matières premières</t>
  </si>
  <si>
    <t>Utilisation du template du plan de tests</t>
  </si>
  <si>
    <t xml:space="preserve">1. Rendez-vous dans la feuille "Tests d'intégration" </t>
  </si>
  <si>
    <t>Livrables du projet:</t>
  </si>
  <si>
    <t>Thème:</t>
  </si>
  <si>
    <t>Scénario:</t>
  </si>
  <si>
    <t>Résultat attendu:</t>
  </si>
  <si>
    <t>CORRECT:</t>
  </si>
  <si>
    <t>FAUX:</t>
  </si>
  <si>
    <t>EN COURS:</t>
  </si>
  <si>
    <t>EN ATTENTE:</t>
  </si>
  <si>
    <t>Pas applicable:</t>
  </si>
  <si>
    <t>Erreur:</t>
  </si>
  <si>
    <t>Correction:</t>
  </si>
  <si>
    <t>Date:</t>
  </si>
  <si>
    <t>Regroupez les livrables par thème selon votre nomenclature (listes et rapports, immobilisations, général, ou autre)</t>
  </si>
  <si>
    <t xml:space="preserve">2. Rendez-vous dans la feuille "Tests de consolidation" </t>
  </si>
  <si>
    <t>Refaites exactement le même processus décrit pour le fonctionnement de la feuille "tests d'intégration"</t>
  </si>
  <si>
    <t>TOTAUX</t>
  </si>
  <si>
    <t>Pour chaque scénario, correspondent les résultats escomptés de leur exécution. Décrivez le résultat attendu pour chaque scénario.</t>
  </si>
  <si>
    <t>Lorsqu’un test est débuté mais pas terminé, il est noté comme « en cours ». Cochez (x) les éléments en cours.</t>
  </si>
  <si>
    <t>Lorsqu’un test est en cours de traitement, il est noté comme « en attente ». Cochez (x) les éléments en attente.</t>
  </si>
  <si>
    <t>Certains tests peuvent s’avérer sans intérêt pour cette période de tests en particulier. On les notera donc comme « non applicable ». Cochez ces éléments.</t>
  </si>
  <si>
    <t>Notez les corrections faites</t>
  </si>
  <si>
    <t>Décrivez les différents scénarios de tests pour chaque livrable</t>
  </si>
  <si>
    <t>Cochez (x) les cellules devant les résultats attendus que vous jugez corrects.</t>
  </si>
  <si>
    <t>Cochez (x) les cellules devant les résultats attendus que vous jugez faux.</t>
  </si>
  <si>
    <t>I. Exploitation du fichier</t>
  </si>
  <si>
    <t>Remplissez les colonnes suivantes:</t>
  </si>
  <si>
    <t>Mettez la date de correction</t>
  </si>
  <si>
    <t>Ajout d'une ligne</t>
  </si>
  <si>
    <t>Commencez par lister tous les livrables de votre projet. Référez-vous au document de suivi des livrables.</t>
  </si>
  <si>
    <t>Les cellules "Correct", "Faux", "En cours", "Reste à faire", "Pas applicable" affichent la somme des éléments cochés pour tout les scénarios. Le calcul est fait automatiquement.
Le taux d'avancement prend en compte automatiquement la somme des valeurs correctes, fausses, encours, et non applicables, en la divisant par la somme totale de tous les scénarios.</t>
  </si>
  <si>
    <t>En cas d’erreur, le code et la description de l’erreur doivent être notés et, après correction, le test sera répété jusqu’à ce qu’il soit correct.</t>
  </si>
  <si>
    <t>Pour ajouter une ligne, il suffit d'insérer une nouvelle ligne en bas du tableau au-dessus de la dernière ligne.</t>
  </si>
  <si>
    <t>SAP30 / CMRL</t>
  </si>
  <si>
    <t>Mme Dupont</t>
  </si>
  <si>
    <t>Stratégie2022/CMRL/Portfolio PF02</t>
  </si>
  <si>
    <t>V2.3</t>
  </si>
  <si>
    <t>Fait</t>
  </si>
  <si>
    <t>Non fait</t>
  </si>
  <si>
    <t>Total</t>
  </si>
  <si>
    <t>Tests d'Intégration</t>
  </si>
  <si>
    <t>Tests de Consolidation</t>
  </si>
  <si>
    <t>count</t>
  </si>
  <si>
    <t>pct</t>
  </si>
  <si>
    <t>Name</t>
  </si>
  <si>
    <t xml:space="preserve">      Plan de tests - Intégration </t>
  </si>
  <si>
    <t xml:space="preserve">     Plan de tests - Consolidation</t>
  </si>
  <si>
    <t>Stratégie2022/CMRL</t>
  </si>
  <si>
    <t>Conforme</t>
  </si>
  <si>
    <t>Non conforme</t>
  </si>
  <si>
    <t>Date de correction</t>
  </si>
  <si>
    <t>N</t>
  </si>
  <si>
    <t>isFull</t>
  </si>
  <si>
    <t>Français</t>
  </si>
  <si>
    <t>Anglais</t>
  </si>
  <si>
    <t>Langue</t>
  </si>
  <si>
    <t>Yes-No</t>
  </si>
  <si>
    <t>Yes</t>
  </si>
  <si>
    <t>User Guide</t>
  </si>
  <si>
    <t>No</t>
  </si>
  <si>
    <t>Project Name / Code</t>
  </si>
  <si>
    <t>Reference</t>
  </si>
  <si>
    <t>Creation Date</t>
  </si>
  <si>
    <t>Version Date</t>
  </si>
  <si>
    <t>Version Number</t>
  </si>
  <si>
    <t>Test Plan - Integration</t>
  </si>
  <si>
    <t>Integration Tests</t>
  </si>
  <si>
    <t>Consolidation Tests</t>
  </si>
  <si>
    <t>Project Deliverables</t>
  </si>
  <si>
    <t>Theme</t>
  </si>
  <si>
    <t>Scenario</t>
  </si>
  <si>
    <t>Expected Result</t>
  </si>
  <si>
    <t>Test Date</t>
  </si>
  <si>
    <t>Anomaly</t>
  </si>
  <si>
    <t>Correction Date</t>
  </si>
  <si>
    <t>Intercompany Billing</t>
  </si>
  <si>
    <t>Closure</t>
  </si>
  <si>
    <t>Year-End Preparation</t>
  </si>
  <si>
    <t>Account Reconciliation</t>
  </si>
  <si>
    <t>SOX Reports</t>
  </si>
  <si>
    <t>Financial Reports</t>
  </si>
  <si>
    <t>Intercompany Transfers</t>
  </si>
  <si>
    <t>Bank Accounting</t>
  </si>
  <si>
    <t>Cash Management</t>
  </si>
  <si>
    <t>Bank Communication Management</t>
  </si>
  <si>
    <t>Accounts Receivable Sales</t>
  </si>
  <si>
    <t>Expense Reports</t>
  </si>
  <si>
    <t>Credit Control</t>
  </si>
  <si>
    <t>Cash Advances</t>
  </si>
  <si>
    <t>Management Reports</t>
  </si>
  <si>
    <t>Service Costs</t>
  </si>
  <si>
    <t>Intercompany Costs</t>
  </si>
  <si>
    <t>Forecast Preparation</t>
  </si>
  <si>
    <t>Bank Management</t>
  </si>
  <si>
    <t>VAT Returns</t>
  </si>
  <si>
    <t>Intrastat/Extrastat Declaration</t>
  </si>
  <si>
    <t>Manual Journal Entry</t>
  </si>
  <si>
    <t>Intercompany Financial Processes</t>
  </si>
  <si>
    <t>Incoming Payments</t>
  </si>
  <si>
    <t>Outgoing Payments</t>
  </si>
  <si>
    <t>Journal Entry In/Out</t>
  </si>
  <si>
    <t>Debt Collection</t>
  </si>
  <si>
    <t>Complaint Management</t>
  </si>
  <si>
    <t>Central Bank Reporting</t>
  </si>
  <si>
    <t>Credit Verification</t>
  </si>
  <si>
    <t>Credit Verification - Static and Dynamic</t>
  </si>
  <si>
    <t>Blocked Orders and Investigations</t>
  </si>
  <si>
    <t>Credit Release Orders</t>
  </si>
  <si>
    <t>Credit Cancel Orders</t>
  </si>
  <si>
    <t>FI/CO Invoice Posting</t>
  </si>
  <si>
    <t>FI Product Movements</t>
  </si>
  <si>
    <t>Post Asset Transaction</t>
  </si>
  <si>
    <t>Modify Asset Transaction</t>
  </si>
  <si>
    <t>Display Asset Transaction</t>
  </si>
  <si>
    <t>Cancel Individual Asset Transaction</t>
  </si>
  <si>
    <t>Unplanned Depreciation</t>
  </si>
  <si>
    <t>Automatic Derivation Characteristics: Access</t>
  </si>
  <si>
    <t>Outgoing Asset Transaction with Customer</t>
  </si>
  <si>
    <t>Last Outgoing on Complex Asset</t>
  </si>
  <si>
    <t>Outgoing Asset Transaction without Customer</t>
  </si>
  <si>
    <t>Outgoing Asset Transaction by Scrap</t>
  </si>
  <si>
    <t>Accounting Revaluation</t>
  </si>
  <si>
    <t>Revaluation</t>
  </si>
  <si>
    <t>Correction Entry on Domains</t>
  </si>
  <si>
    <t>Document Postings</t>
  </si>
  <si>
    <t>Document Postings in Leading Ledgers</t>
  </si>
  <si>
    <t>Credit in Next Fiscal Year</t>
  </si>
  <si>
    <t>Credit Posting in Fiscal Year of Invoice</t>
  </si>
  <si>
    <t>Investment Incentive</t>
  </si>
  <si>
    <t>Manual Depreciation</t>
  </si>
  <si>
    <t>Transfer of Reserve for Additional Acquisition</t>
  </si>
  <si>
    <t>Reversal of Asset Transaction Using Document</t>
  </si>
  <si>
    <t>Additional Investment</t>
  </si>
  <si>
    <t>Enter Additional Investment</t>
  </si>
  <si>
    <t>Subsequent Revenue</t>
  </si>
  <si>
    <t>Subsequent Costs</t>
  </si>
  <si>
    <t>Other Movement</t>
  </si>
  <si>
    <t>FI-AA Reconciliation Analysis</t>
  </si>
  <si>
    <t>Transfer of Assets Between Companies</t>
  </si>
  <si>
    <t>Intercompany Asset Transfer</t>
  </si>
  <si>
    <t>Transfer between Table Types</t>
  </si>
  <si>
    <t>Standard Sales</t>
  </si>
  <si>
    <t>Organizational Units</t>
  </si>
  <si>
    <t>Master Data</t>
  </si>
  <si>
    <t>Order Entry</t>
  </si>
  <si>
    <t>Business Partner Determination</t>
  </si>
  <si>
    <t>Service Level Agreements</t>
  </si>
  <si>
    <t>Distribution Strategies</t>
  </si>
  <si>
    <t>Product Code Determination</t>
  </si>
  <si>
    <t>Substitute Products</t>
  </si>
  <si>
    <t>Reference Documents</t>
  </si>
  <si>
    <t>Availability Check and Order Planning</t>
  </si>
  <si>
    <t>Price and Condition Determination</t>
  </si>
  <si>
    <t>International Order Information (Non-EU)</t>
  </si>
  <si>
    <t>International Order Information (Within EU)</t>
  </si>
  <si>
    <t>Print Determination Documentation</t>
  </si>
  <si>
    <t>Seller Determination</t>
  </si>
  <si>
    <t>Order Reason Determination</t>
  </si>
  <si>
    <t>Rejection Code Determination</t>
  </si>
  <si>
    <t>Billing</t>
  </si>
  <si>
    <t>Delivery Forecast</t>
  </si>
  <si>
    <t>Order Planning Agreements</t>
  </si>
  <si>
    <t>Correct Planned Orders</t>
  </si>
  <si>
    <t>Cash Payment</t>
  </si>
  <si>
    <t>Credit Card Payment</t>
  </si>
  <si>
    <t>Employee Sales</t>
  </si>
  <si>
    <t>Returns</t>
  </si>
  <si>
    <t>Credit Memo</t>
  </si>
  <si>
    <t>Debit Memo</t>
  </si>
  <si>
    <t>Miscellaneous Credit</t>
  </si>
  <si>
    <t>Miscellaneous Debit</t>
  </si>
  <si>
    <t>Consignment</t>
  </si>
  <si>
    <t>Warranty Complaints</t>
  </si>
  <si>
    <t>Delay Management</t>
  </si>
  <si>
    <t>Customer Reserves</t>
  </si>
  <si>
    <t>Archiving</t>
  </si>
  <si>
    <t>Cash Sales</t>
  </si>
  <si>
    <t>Cash Sales Return</t>
  </si>
  <si>
    <t>Sales Campaigns</t>
  </si>
  <si>
    <t>Customer Special Requests</t>
  </si>
  <si>
    <t>Large Orders</t>
  </si>
  <si>
    <t>B2B Portal</t>
  </si>
  <si>
    <t>CRM Portal</t>
  </si>
  <si>
    <t>Sourcing</t>
  </si>
  <si>
    <t>Approved Supplier Inventory</t>
  </si>
  <si>
    <t>Consignment Stock</t>
  </si>
  <si>
    <t>Contract Purchase</t>
  </si>
  <si>
    <t>Non-Contract Purchase</t>
  </si>
  <si>
    <t>Subcontractors</t>
  </si>
  <si>
    <t>Subcontractor Purchase</t>
  </si>
  <si>
    <t>Raw Materials</t>
  </si>
  <si>
    <t>Intercompany Raw Materials</t>
  </si>
  <si>
    <t>Intercompany Semi-Finished Goods</t>
  </si>
  <si>
    <t>Sourceless Stocks</t>
  </si>
  <si>
    <t>Stock with Source</t>
  </si>
  <si>
    <t>Non-Coded Parts</t>
  </si>
  <si>
    <t>Purchases for Sales, Marketing, or HR</t>
  </si>
  <si>
    <t>Service Process Monitoring</t>
  </si>
  <si>
    <t>Catalog Purchases with Goods Receipt</t>
  </si>
  <si>
    <t>Inventory Management</t>
  </si>
  <si>
    <t>Reports</t>
  </si>
  <si>
    <t>Analysis</t>
  </si>
  <si>
    <t>Sister Company Replenishment</t>
  </si>
  <si>
    <t>Subcontractors with Transportation</t>
  </si>
  <si>
    <t>Subcontractors without Transportation</t>
  </si>
  <si>
    <t>External Assembly</t>
  </si>
  <si>
    <t>Physical Inventory</t>
  </si>
  <si>
    <t>Internal Warehouse Process</t>
  </si>
  <si>
    <t>Intrastat/Extrastat Movements</t>
  </si>
  <si>
    <t>Intercompany Replenishment</t>
  </si>
  <si>
    <t>Third-Party Stock Management</t>
  </si>
  <si>
    <t>Product Allocations</t>
  </si>
  <si>
    <t>Transport Planning</t>
  </si>
  <si>
    <t>Imports</t>
  </si>
  <si>
    <t>Plant Maintenance</t>
  </si>
  <si>
    <t>Product Requirement Planning</t>
  </si>
  <si>
    <t>Production Planning</t>
  </si>
  <si>
    <t>Detailed Planning</t>
  </si>
  <si>
    <t>Production Execution</t>
  </si>
  <si>
    <t>Product Specifications</t>
  </si>
  <si>
    <t>Special Order Production</t>
  </si>
  <si>
    <t>Equipment Setup</t>
  </si>
  <si>
    <t>Plant Project Monitoring</t>
  </si>
  <si>
    <t>Semi-Finished Goods</t>
  </si>
  <si>
    <t>Storage</t>
  </si>
  <si>
    <t>Construction</t>
  </si>
  <si>
    <t>Assembly</t>
  </si>
  <si>
    <t>Picking</t>
  </si>
  <si>
    <t>Inventory</t>
  </si>
  <si>
    <t>Sales Reports</t>
  </si>
  <si>
    <t>Logistics Reports</t>
  </si>
  <si>
    <t>Production Reports</t>
  </si>
  <si>
    <t>Purchasing Reports</t>
  </si>
  <si>
    <t>Services Reports</t>
  </si>
  <si>
    <t>Customizable Reports</t>
  </si>
  <si>
    <t>General</t>
  </si>
  <si>
    <t>Asset Management</t>
  </si>
  <si>
    <t>Lists and Reports</t>
  </si>
  <si>
    <t>Supply Chain</t>
  </si>
  <si>
    <t>Planning</t>
  </si>
  <si>
    <t>Execution</t>
  </si>
  <si>
    <t>Finance</t>
  </si>
  <si>
    <t>Sales</t>
  </si>
  <si>
    <t>Logistics</t>
  </si>
  <si>
    <t>Purchasing</t>
  </si>
  <si>
    <t>Miscellaneous</t>
  </si>
  <si>
    <t>Test Plan - Consolidation</t>
  </si>
  <si>
    <t>To Be Done</t>
  </si>
  <si>
    <t>which</t>
  </si>
  <si>
    <t>VAT Declaration</t>
  </si>
  <si>
    <t>Project Manager</t>
  </si>
  <si>
    <t>Service/Organization</t>
  </si>
  <si>
    <t>Conform</t>
  </si>
  <si>
    <t>Non-conform</t>
  </si>
  <si>
    <t>In progress</t>
  </si>
  <si>
    <t>Pending</t>
  </si>
  <si>
    <t>Not applicable</t>
  </si>
  <si>
    <t xml:space="preserve">     Plan de tests - Intégration </t>
  </si>
  <si>
    <t>Date de création</t>
  </si>
  <si>
    <t>Date de la version</t>
  </si>
  <si>
    <t>Guide d'utilisation</t>
  </si>
  <si>
    <t>Livrables du projet</t>
  </si>
  <si>
    <t>Thème</t>
  </si>
  <si>
    <t>Scénario</t>
  </si>
  <si>
    <t>Résultat attendu</t>
  </si>
  <si>
    <t>Date de Test</t>
  </si>
  <si>
    <t>Anomalie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</si>
</sst>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b/>
      <sz val="12"/>
      <color theme="1"/>
      <name val="Calibri"/>
      <family val="2"/>
      <scheme val="minor"/>
    </font>
    <font>
      <b/>
      <sz val="11"/>
      <color theme="1"/>
      <name val="Calibri"/>
      <family val="2"/>
      <scheme val="minor"/>
    </font>
    <font>
      <sz val="8"/>
      <name val="Calibri"/>
      <family val="2"/>
      <scheme val="minor"/>
    </font>
    <font>
      <sz val="11"/>
      <color theme="1"/>
      <name val="Calibri"/>
      <family val="2"/>
      <scheme val="minor"/>
    </font>
    <font>
      <sz val="11"/>
      <color theme="1"/>
      <name val="Candara"/>
      <family val="2"/>
    </font>
    <font>
      <b/>
      <sz val="11"/>
      <color theme="1"/>
      <name val="Candara"/>
      <family val="2"/>
    </font>
    <font>
      <b/>
      <sz val="12"/>
      <color rgb="FF439B69"/>
      <name val="Candara"/>
      <family val="2"/>
    </font>
    <font>
      <sz val="14"/>
      <color rgb="FFFF0000"/>
      <name val="Calibri"/>
      <family val="2"/>
    </font>
    <font>
      <sz val="12"/>
      <color theme="1"/>
      <name val="Candara"/>
      <family val="2"/>
    </font>
    <font>
      <b/>
      <sz val="12"/>
      <color theme="1"/>
      <name val="Candara"/>
      <family val="2"/>
    </font>
    <font>
      <b/>
      <sz val="16"/>
      <color theme="1"/>
      <name val="Candara"/>
      <family val="2"/>
    </font>
    <font>
      <sz val="12"/>
      <name val="Candara"/>
      <family val="2"/>
    </font>
    <font>
      <b/>
      <sz val="11"/>
      <color rgb="FF00B050"/>
      <name val="Calibri"/>
      <family val="2"/>
      <scheme val="minor"/>
    </font>
    <font>
      <sz val="11"/>
      <color theme="9" tint="-0.499984740745262"/>
      <name val="Calibri"/>
      <family val="2"/>
      <scheme val="minor"/>
    </font>
    <font>
      <sz val="11"/>
      <color rgb="FF005677"/>
      <name val="Calibri"/>
      <family val="2"/>
      <scheme val="minor"/>
    </font>
    <font>
      <sz val="11"/>
      <color theme="1" tint="0.34998626667073579"/>
      <name val="Calibri"/>
      <family val="2"/>
      <scheme val="minor"/>
    </font>
    <font>
      <sz val="10"/>
      <color theme="1" tint="0.34998626667073579"/>
      <name val="Calibri"/>
      <family val="2"/>
      <scheme val="minor"/>
    </font>
    <font>
      <b/>
      <sz val="11"/>
      <color theme="6" tint="-0.249977111117893"/>
      <name val="Calibri"/>
      <family val="2"/>
      <scheme val="minor"/>
    </font>
    <font>
      <sz val="10"/>
      <color theme="6" tint="-0.249977111117893"/>
      <name val="Calibri"/>
      <family val="2"/>
      <scheme val="minor"/>
    </font>
    <font>
      <b/>
      <sz val="16"/>
      <color theme="0"/>
      <name val="Calibri"/>
      <family val="2"/>
    </font>
    <font>
      <b/>
      <sz val="11"/>
      <color theme="1" tint="0.14999847407452621"/>
      <name val="Calibri"/>
      <family val="2"/>
      <scheme val="minor"/>
    </font>
    <font>
      <sz val="11"/>
      <color theme="1" tint="0.14999847407452621"/>
      <name val="Calibri"/>
      <family val="2"/>
      <scheme val="minor"/>
    </font>
    <font>
      <b/>
      <sz val="10"/>
      <color theme="1" tint="0.14999847407452621"/>
      <name val="Arial"/>
      <family val="2"/>
    </font>
    <font>
      <b/>
      <sz val="11"/>
      <color rgb="FF2C6646"/>
      <name val="Calibri"/>
      <family val="2"/>
      <scheme val="minor"/>
    </font>
    <font>
      <b/>
      <sz val="12"/>
      <color theme="1" tint="0.14999847407452621"/>
      <name val="Calibri"/>
      <family val="2"/>
      <scheme val="minor"/>
    </font>
    <font>
      <b/>
      <sz val="11"/>
      <color theme="9" tint="-0.499984740745262"/>
      <name val="Calibri"/>
      <family val="2"/>
      <scheme val="minor"/>
    </font>
    <font>
      <b/>
      <sz val="11"/>
      <color rgb="FFC00000"/>
      <name val="Calibri"/>
      <family val="2"/>
      <scheme val="minor"/>
    </font>
    <font>
      <b/>
      <sz val="11"/>
      <color theme="5"/>
      <name val="Calibri"/>
      <family val="2"/>
      <scheme val="minor"/>
    </font>
    <font>
      <b/>
      <sz val="11"/>
      <color rgb="FF002060"/>
      <name val="Calibri"/>
      <family val="2"/>
      <scheme val="minor"/>
    </font>
    <font>
      <b/>
      <sz val="11"/>
      <color theme="7" tint="-0.249977111117893"/>
      <name val="Calibri"/>
      <family val="2"/>
      <scheme val="minor"/>
    </font>
    <font>
      <b/>
      <sz val="11"/>
      <color theme="4" tint="-0.499984740745262"/>
      <name val="Calibri"/>
      <family val="2"/>
      <scheme val="minor"/>
    </font>
    <font>
      <b/>
      <sz val="12"/>
      <color rgb="FFD09A00"/>
      <name val="Calibri"/>
      <family val="2"/>
      <scheme val="minor"/>
    </font>
    <font>
      <b/>
      <sz val="11"/>
      <color rgb="FFD09A00"/>
      <name val="Calibri"/>
      <family val="2"/>
      <scheme val="minor"/>
    </font>
    <font>
      <b/>
      <sz val="12"/>
      <color theme="9" tint="-0.499984740745262"/>
      <name val="Calibri"/>
      <family val="2"/>
      <scheme val="minor"/>
    </font>
    <font>
      <b/>
      <sz val="12"/>
      <color rgb="FFC00000"/>
      <name val="Calibri"/>
      <family val="2"/>
      <scheme val="minor"/>
    </font>
    <font>
      <b/>
      <sz val="12"/>
      <color theme="4" tint="-0.499984740745262"/>
      <name val="Calibri"/>
      <family val="2"/>
      <scheme val="minor"/>
    </font>
    <font>
      <b/>
      <sz val="11"/>
      <color theme="9" tint="-0.249977111117893"/>
      <name val="Calibri"/>
      <family val="2"/>
      <scheme val="minor"/>
    </font>
    <font>
      <b/>
      <sz val="11"/>
      <color theme="0"/>
      <name val="Calibri"/>
      <family val="2"/>
      <scheme val="minor"/>
    </font>
    <font>
      <sz val="11"/>
      <color theme="0"/>
      <name val="Calibri"/>
      <family val="2"/>
      <scheme val="minor"/>
    </font>
    <font>
      <sz val="11"/>
      <color theme="1" tint="0.499984740745262"/>
      <name val="Calibri"/>
      <family val="2"/>
      <scheme val="minor"/>
    </font>
    <font>
      <sz val="11"/>
      <color theme="0"/>
      <name val="Candara"/>
      <family val="2"/>
    </font>
    <font>
      <b/>
      <sz val="14"/>
      <color theme="0"/>
      <name val="Calibri"/>
      <family val="2"/>
    </font>
  </fonts>
  <fills count="19">
    <fill>
      <patternFill patternType="none"/>
    </fill>
    <fill>
      <patternFill patternType="gray125"/>
    </fill>
    <fill>
      <patternFill patternType="solid">
        <fgColor theme="9" tint="0.59999389629810485"/>
        <bgColor indexed="64"/>
      </patternFill>
    </fill>
    <fill>
      <patternFill patternType="solid">
        <fgColor rgb="FFEDB4AB"/>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3F9FF"/>
        <bgColor indexed="64"/>
      </patternFill>
    </fill>
    <fill>
      <patternFill patternType="solid">
        <fgColor theme="0" tint="-4.9989318521683403E-2"/>
        <bgColor indexed="64"/>
      </patternFill>
    </fill>
    <fill>
      <patternFill patternType="solid">
        <fgColor rgb="FFE7F3FF"/>
        <bgColor indexed="64"/>
      </patternFill>
    </fill>
    <fill>
      <gradientFill degree="270">
        <stop position="0">
          <color rgb="FF62BD8A"/>
        </stop>
        <stop position="1">
          <color rgb="FF98D4B2"/>
        </stop>
      </gradientFill>
    </fill>
    <fill>
      <patternFill patternType="solid">
        <fgColor rgb="FFB9E1CB"/>
        <bgColor indexed="64"/>
      </patternFill>
    </fill>
    <fill>
      <patternFill patternType="solid">
        <fgColor theme="2" tint="-9.9978637043366805E-2"/>
        <bgColor indexed="64"/>
      </patternFill>
    </fill>
    <fill>
      <patternFill patternType="solid">
        <fgColor theme="9" tint="0.39997558519241921"/>
        <bgColor indexed="64"/>
      </patternFill>
    </fill>
    <fill>
      <patternFill patternType="lightDown">
        <fgColor theme="1"/>
        <bgColor theme="2" tint="-9.9948118533890809E-2"/>
      </patternFill>
    </fill>
    <fill>
      <patternFill patternType="lightDown">
        <fgColor theme="1"/>
        <bgColor theme="2" tint="-0.24994659260841701"/>
      </patternFill>
    </fill>
  </fills>
  <borders count="23">
    <border>
      <left/>
      <right/>
      <top/>
      <bottom/>
      <diagonal/>
    </border>
    <border>
      <left style="thin">
        <color theme="0"/>
      </left>
      <right style="thin">
        <color theme="0"/>
      </right>
      <top style="thin">
        <color theme="0"/>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bottom style="thin">
        <color rgb="FF91E0FF"/>
      </bottom>
      <diagonal/>
    </border>
    <border>
      <left style="thick">
        <color theme="0"/>
      </left>
      <right/>
      <top/>
      <bottom style="thin">
        <color rgb="FF91E0FF"/>
      </bottom>
      <diagonal/>
    </border>
    <border>
      <left/>
      <right/>
      <top/>
      <bottom style="thin">
        <color theme="0" tint="-0.14996795556505021"/>
      </bottom>
      <diagonal/>
    </border>
    <border>
      <left/>
      <right/>
      <top style="thin">
        <color rgb="FF91E0FF"/>
      </top>
      <bottom/>
      <diagonal/>
    </border>
    <border>
      <left style="thick">
        <color theme="0"/>
      </left>
      <right/>
      <top/>
      <bottom/>
      <diagonal/>
    </border>
    <border>
      <left/>
      <right/>
      <top/>
      <bottom style="thick">
        <color theme="0"/>
      </bottom>
      <diagonal/>
    </border>
    <border>
      <left/>
      <right/>
      <top style="thick">
        <color theme="0"/>
      </top>
      <bottom style="thick">
        <color theme="0"/>
      </bottom>
      <diagonal/>
    </border>
    <border>
      <left/>
      <right style="thin">
        <color theme="9" tint="0.39994506668294322"/>
      </right>
      <top style="thin">
        <color theme="9" tint="0.39994506668294322"/>
      </top>
      <bottom style="thin">
        <color theme="9" tint="0.39994506668294322"/>
      </bottom>
      <diagonal/>
    </border>
    <border>
      <left style="thin">
        <color theme="9" tint="0.39994506668294322"/>
      </left>
      <right/>
      <top style="thin">
        <color theme="9" tint="0.39994506668294322"/>
      </top>
      <bottom style="thin">
        <color theme="9" tint="0.39994506668294322"/>
      </bottom>
      <diagonal/>
    </border>
    <border>
      <left/>
      <right style="thin">
        <color theme="9" tint="0.39994506668294322"/>
      </right>
      <top style="thin">
        <color theme="9" tint="0.39994506668294322"/>
      </top>
      <bottom/>
      <diagonal/>
    </border>
    <border>
      <left style="thin">
        <color theme="9" tint="0.39994506668294322"/>
      </left>
      <right style="thin">
        <color theme="9" tint="0.39994506668294322"/>
      </right>
      <top style="thin">
        <color theme="9" tint="0.39994506668294322"/>
      </top>
      <bottom/>
      <diagonal/>
    </border>
    <border>
      <left style="thin">
        <color theme="9" tint="0.39994506668294322"/>
      </left>
      <right/>
      <top style="thin">
        <color theme="9" tint="0.39994506668294322"/>
      </top>
      <bottom/>
      <diagonal/>
    </border>
    <border>
      <left style="thin">
        <color theme="9"/>
      </left>
      <right style="thin">
        <color theme="9"/>
      </right>
      <top style="thin">
        <color theme="9"/>
      </top>
      <bottom style="thin">
        <color theme="9"/>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right/>
      <top style="thin">
        <color theme="0" tint="-0.14996795556505021"/>
      </top>
      <bottom style="thin">
        <color theme="0" tint="-0.14996795556505021"/>
      </bottom>
      <diagonal/>
    </border>
    <border>
      <left style="thin">
        <color theme="7" tint="0.79998168889431442"/>
      </left>
      <right style="thin">
        <color theme="7" tint="0.79998168889431442"/>
      </right>
      <top style="thin">
        <color theme="7" tint="0.79998168889431442"/>
      </top>
      <bottom style="thin">
        <color theme="7" tint="0.79998168889431442"/>
      </bottom>
      <diagonal/>
    </border>
    <border>
      <left/>
      <right style="thin">
        <color theme="9" tint="0.39994506668294322"/>
      </right>
      <top/>
      <bottom style="thin">
        <color theme="9" tint="0.39994506668294322"/>
      </bottom>
      <diagonal/>
    </border>
    <border>
      <left style="thin">
        <color theme="9"/>
      </left>
      <right style="thin">
        <color theme="9"/>
      </right>
      <top/>
      <bottom style="thin">
        <color theme="9"/>
      </bottom>
      <diagonal/>
    </border>
    <border>
      <left/>
      <right style="thin">
        <color theme="9"/>
      </right>
      <top/>
      <bottom style="thin">
        <color rgb="FF70AD47"/>
      </bottom>
      <diagonal/>
    </border>
  </borders>
  <cellStyleXfs count="3">
    <xf numFmtId="0" fontId="0" fillId="0" borderId="0"/>
    <xf numFmtId="0" fontId="4" fillId="0" borderId="0"/>
    <xf numFmtId="9" fontId="4" fillId="0" borderId="0" applyFont="0" applyFill="0" applyBorder="0" applyAlignment="0" applyProtection="0"/>
  </cellStyleXfs>
  <cellXfs count="135">
    <xf numFmtId="0" fontId="0" fillId="0" borderId="0" xfId="0"/>
    <xf numFmtId="0" fontId="0" fillId="0" borderId="0" xfId="0" applyAlignment="1">
      <alignment wrapText="1"/>
    </xf>
    <xf numFmtId="0" fontId="0" fillId="0" borderId="0" xfId="0" applyAlignment="1">
      <alignment horizontal="center" vertical="center"/>
    </xf>
    <xf numFmtId="0" fontId="5" fillId="7" borderId="0" xfId="1" applyFont="1" applyFill="1"/>
    <xf numFmtId="0" fontId="6" fillId="7" borderId="0" xfId="0" applyFont="1" applyFill="1" applyAlignment="1">
      <alignment vertical="center"/>
    </xf>
    <xf numFmtId="0" fontId="7" fillId="7" borderId="0" xfId="1" applyFont="1" applyFill="1" applyAlignment="1">
      <alignment vertical="center"/>
    </xf>
    <xf numFmtId="0" fontId="8" fillId="7" borderId="0" xfId="1" applyFont="1" applyFill="1" applyAlignment="1">
      <alignment horizontal="center" vertical="center" wrapText="1" readingOrder="1"/>
    </xf>
    <xf numFmtId="0" fontId="0" fillId="0" borderId="1" xfId="0" applyBorder="1"/>
    <xf numFmtId="0" fontId="0" fillId="0" borderId="1" xfId="0" applyBorder="1" applyAlignment="1">
      <alignment horizontal="center" vertical="center"/>
    </xf>
    <xf numFmtId="0" fontId="5" fillId="7" borderId="0" xfId="1" applyFont="1" applyFill="1" applyAlignment="1">
      <alignment horizontal="left"/>
    </xf>
    <xf numFmtId="0" fontId="0" fillId="0" borderId="1" xfId="0" applyBorder="1" applyAlignment="1">
      <alignment horizontal="left"/>
    </xf>
    <xf numFmtId="0" fontId="0" fillId="0" borderId="0" xfId="0" applyAlignment="1">
      <alignment horizontal="left"/>
    </xf>
    <xf numFmtId="0" fontId="5" fillId="7" borderId="0" xfId="1" applyFont="1" applyFill="1" applyAlignment="1">
      <alignment horizontal="center"/>
    </xf>
    <xf numFmtId="0" fontId="6" fillId="7" borderId="0" xfId="0" applyFont="1" applyFill="1" applyAlignment="1">
      <alignment horizontal="center" vertical="center"/>
    </xf>
    <xf numFmtId="0" fontId="5" fillId="7" borderId="0" xfId="0" applyFont="1" applyFill="1" applyAlignment="1">
      <alignment vertical="top"/>
    </xf>
    <xf numFmtId="0" fontId="9" fillId="7" borderId="0" xfId="0" applyFont="1" applyFill="1"/>
    <xf numFmtId="0" fontId="10" fillId="7" borderId="0" xfId="0" applyFont="1" applyFill="1"/>
    <xf numFmtId="0" fontId="10" fillId="7" borderId="0" xfId="0" applyFont="1" applyFill="1" applyAlignment="1">
      <alignment horizontal="left"/>
    </xf>
    <xf numFmtId="0" fontId="5" fillId="7" borderId="0" xfId="0" applyFont="1" applyFill="1"/>
    <xf numFmtId="0" fontId="10" fillId="7" borderId="0" xfId="0" applyFont="1" applyFill="1" applyAlignment="1">
      <alignment vertical="top"/>
    </xf>
    <xf numFmtId="0" fontId="11" fillId="7" borderId="0" xfId="0" applyFont="1" applyFill="1"/>
    <xf numFmtId="0" fontId="12" fillId="7" borderId="0" xfId="0" applyFont="1" applyFill="1"/>
    <xf numFmtId="0" fontId="9" fillId="7" borderId="0" xfId="0" applyFont="1" applyFill="1" applyAlignment="1">
      <alignment horizontal="left" wrapText="1"/>
    </xf>
    <xf numFmtId="0" fontId="12" fillId="7" borderId="0" xfId="0" applyFont="1" applyFill="1" applyAlignment="1">
      <alignment horizontal="left" wrapText="1"/>
    </xf>
    <xf numFmtId="0" fontId="15" fillId="10" borderId="3" xfId="0" applyFont="1" applyFill="1" applyBorder="1" applyAlignment="1">
      <alignment vertical="center"/>
    </xf>
    <xf numFmtId="0" fontId="17" fillId="11" borderId="5" xfId="0" applyFont="1" applyFill="1" applyBorder="1" applyAlignment="1">
      <alignment vertical="center"/>
    </xf>
    <xf numFmtId="14" fontId="17" fillId="11" borderId="5" xfId="0" applyNumberFormat="1" applyFont="1" applyFill="1" applyBorder="1" applyAlignment="1">
      <alignment horizontal="center" vertical="center"/>
    </xf>
    <xf numFmtId="0" fontId="18" fillId="12" borderId="0" xfId="0" applyFont="1" applyFill="1" applyAlignment="1">
      <alignment horizontal="center" vertical="center"/>
    </xf>
    <xf numFmtId="0" fontId="18" fillId="12" borderId="6" xfId="0" applyFont="1" applyFill="1" applyBorder="1" applyAlignment="1">
      <alignment horizontal="left" vertical="center"/>
    </xf>
    <xf numFmtId="0" fontId="18" fillId="12" borderId="6" xfId="0" applyFont="1" applyFill="1" applyBorder="1" applyAlignment="1">
      <alignment vertical="center"/>
    </xf>
    <xf numFmtId="0" fontId="19" fillId="11" borderId="0" xfId="0" applyFont="1" applyFill="1" applyAlignment="1">
      <alignment horizontal="center" vertical="center"/>
    </xf>
    <xf numFmtId="0" fontId="17" fillId="11" borderId="8" xfId="0" applyFont="1" applyFill="1" applyBorder="1" applyAlignment="1">
      <alignment vertical="center"/>
    </xf>
    <xf numFmtId="0" fontId="17" fillId="11" borderId="8" xfId="0" applyFont="1" applyFill="1" applyBorder="1" applyAlignment="1">
      <alignment horizontal="center" vertical="center"/>
    </xf>
    <xf numFmtId="0" fontId="20" fillId="13" borderId="9" xfId="0" applyFont="1" applyFill="1" applyBorder="1" applyAlignment="1">
      <alignment vertical="center"/>
    </xf>
    <xf numFmtId="0" fontId="21" fillId="0" borderId="10" xfId="0" applyFont="1" applyBorder="1"/>
    <xf numFmtId="0" fontId="21" fillId="0" borderId="2" xfId="0" applyFont="1" applyBorder="1" applyAlignment="1">
      <alignment horizontal="center"/>
    </xf>
    <xf numFmtId="0" fontId="22" fillId="0" borderId="2" xfId="0" applyFont="1" applyBorder="1" applyAlignment="1">
      <alignment horizontal="left" vertical="center"/>
    </xf>
    <xf numFmtId="0" fontId="22" fillId="0" borderId="2" xfId="0" applyFont="1" applyBorder="1"/>
    <xf numFmtId="0" fontId="22" fillId="0" borderId="2" xfId="0" applyFont="1" applyBorder="1" applyAlignment="1">
      <alignment horizontal="center" vertical="center"/>
    </xf>
    <xf numFmtId="0" fontId="22" fillId="0" borderId="11" xfId="0" applyFont="1" applyBorder="1"/>
    <xf numFmtId="0" fontId="22" fillId="0" borderId="2" xfId="0" applyFont="1" applyBorder="1" applyAlignment="1">
      <alignment horizontal="center"/>
    </xf>
    <xf numFmtId="0" fontId="23" fillId="0" borderId="10" xfId="0" applyFont="1" applyBorder="1"/>
    <xf numFmtId="0" fontId="21" fillId="0" borderId="12" xfId="0" applyFont="1" applyBorder="1"/>
    <xf numFmtId="0" fontId="22" fillId="0" borderId="13" xfId="0" applyFont="1" applyBorder="1" applyAlignment="1">
      <alignment horizontal="center"/>
    </xf>
    <xf numFmtId="0" fontId="22" fillId="0" borderId="13" xfId="0" applyFont="1" applyBorder="1" applyAlignment="1">
      <alignment horizontal="left" vertical="center"/>
    </xf>
    <xf numFmtId="0" fontId="22" fillId="0" borderId="13" xfId="0" applyFont="1" applyBorder="1"/>
    <xf numFmtId="0" fontId="22" fillId="0" borderId="13" xfId="0" applyFont="1" applyBorder="1" applyAlignment="1">
      <alignment horizontal="center" vertical="center"/>
    </xf>
    <xf numFmtId="0" fontId="22" fillId="0" borderId="14" xfId="0" applyFont="1" applyBorder="1"/>
    <xf numFmtId="0" fontId="24" fillId="14" borderId="15" xfId="0" applyFont="1" applyFill="1" applyBorder="1" applyAlignment="1">
      <alignment horizontal="center" vertical="center" wrapText="1"/>
    </xf>
    <xf numFmtId="0" fontId="22" fillId="8" borderId="2" xfId="0" applyFont="1" applyFill="1" applyBorder="1" applyAlignment="1">
      <alignment horizontal="center" vertical="center"/>
    </xf>
    <xf numFmtId="0" fontId="13" fillId="8" borderId="2" xfId="0" applyFont="1" applyFill="1" applyBorder="1" applyAlignment="1">
      <alignment horizontal="center" vertical="center"/>
    </xf>
    <xf numFmtId="0" fontId="28" fillId="9" borderId="2" xfId="0" applyFont="1" applyFill="1" applyBorder="1" applyAlignment="1">
      <alignment horizontal="center" vertical="center"/>
    </xf>
    <xf numFmtId="0" fontId="28" fillId="9" borderId="13" xfId="0" applyFont="1" applyFill="1" applyBorder="1" applyAlignment="1">
      <alignment horizontal="center" vertical="center"/>
    </xf>
    <xf numFmtId="0" fontId="21" fillId="15" borderId="2" xfId="0" applyFont="1" applyFill="1" applyBorder="1" applyAlignment="1">
      <alignment horizontal="center" vertical="center"/>
    </xf>
    <xf numFmtId="0" fontId="21" fillId="15" borderId="13" xfId="0" applyFont="1" applyFill="1" applyBorder="1" applyAlignment="1">
      <alignment horizontal="center" vertical="center"/>
    </xf>
    <xf numFmtId="0" fontId="29" fillId="6" borderId="2" xfId="0" applyFont="1" applyFill="1" applyBorder="1" applyAlignment="1">
      <alignment horizontal="center" vertical="center"/>
    </xf>
    <xf numFmtId="0" fontId="29" fillId="6" borderId="13" xfId="0" applyFont="1" applyFill="1" applyBorder="1" applyAlignment="1">
      <alignment horizontal="center" vertical="center"/>
    </xf>
    <xf numFmtId="0" fontId="30" fillId="4" borderId="2" xfId="0" applyFont="1" applyFill="1" applyBorder="1" applyAlignment="1">
      <alignment horizontal="center" vertical="center"/>
    </xf>
    <xf numFmtId="0" fontId="30" fillId="4" borderId="13" xfId="0" applyFont="1" applyFill="1" applyBorder="1" applyAlignment="1">
      <alignment horizontal="center" vertical="center"/>
    </xf>
    <xf numFmtId="0" fontId="1" fillId="0" borderId="0" xfId="0" applyFont="1" applyAlignment="1">
      <alignment horizontal="center"/>
    </xf>
    <xf numFmtId="0" fontId="1" fillId="0" borderId="0" xfId="0" applyFont="1" applyAlignment="1">
      <alignment horizontal="left" vertical="center"/>
    </xf>
    <xf numFmtId="0" fontId="1" fillId="0" borderId="0" xfId="0" applyFont="1"/>
    <xf numFmtId="9" fontId="1" fillId="0" borderId="0" xfId="0" applyNumberFormat="1" applyFont="1" applyAlignment="1">
      <alignment horizontal="center" vertical="center"/>
    </xf>
    <xf numFmtId="0" fontId="0" fillId="0" borderId="0" xfId="0" applyAlignment="1">
      <alignment horizontal="center"/>
    </xf>
    <xf numFmtId="0" fontId="0" fillId="0" borderId="0" xfId="0" applyAlignment="1">
      <alignment horizontal="left" vertical="center"/>
    </xf>
    <xf numFmtId="0" fontId="34" fillId="2" borderId="16" xfId="0" applyFont="1" applyFill="1" applyBorder="1" applyAlignment="1">
      <alignment horizontal="center" vertical="center"/>
    </xf>
    <xf numFmtId="0" fontId="26" fillId="2" borderId="16" xfId="0" applyFont="1" applyFill="1" applyBorder="1" applyAlignment="1">
      <alignment horizontal="center" vertical="center"/>
    </xf>
    <xf numFmtId="0" fontId="22" fillId="2" borderId="16" xfId="0" applyFont="1" applyFill="1" applyBorder="1"/>
    <xf numFmtId="0" fontId="22" fillId="2" borderId="16" xfId="0" applyFont="1" applyFill="1" applyBorder="1" applyAlignment="1">
      <alignment horizontal="center" vertical="center"/>
    </xf>
    <xf numFmtId="9" fontId="21" fillId="2" borderId="16" xfId="0" applyNumberFormat="1" applyFont="1" applyFill="1" applyBorder="1" applyAlignment="1">
      <alignment horizontal="center" vertical="center"/>
    </xf>
    <xf numFmtId="0" fontId="35" fillId="3" borderId="18" xfId="0" applyFont="1" applyFill="1" applyBorder="1" applyAlignment="1">
      <alignment horizontal="center" vertical="center"/>
    </xf>
    <xf numFmtId="0" fontId="27" fillId="3" borderId="18" xfId="0" applyFont="1" applyFill="1" applyBorder="1" applyAlignment="1">
      <alignment horizontal="center" vertical="center"/>
    </xf>
    <xf numFmtId="0" fontId="22" fillId="3" borderId="18" xfId="0" applyFont="1" applyFill="1" applyBorder="1"/>
    <xf numFmtId="0" fontId="22" fillId="3" borderId="18" xfId="0" applyFont="1" applyFill="1" applyBorder="1" applyAlignment="1">
      <alignment horizontal="center" vertical="center"/>
    </xf>
    <xf numFmtId="9" fontId="21" fillId="3" borderId="18" xfId="0" applyNumberFormat="1" applyFont="1" applyFill="1" applyBorder="1" applyAlignment="1">
      <alignment horizontal="center" vertical="center"/>
    </xf>
    <xf numFmtId="0" fontId="36" fillId="6" borderId="17" xfId="0" applyFont="1" applyFill="1" applyBorder="1" applyAlignment="1">
      <alignment horizontal="center" vertical="center"/>
    </xf>
    <xf numFmtId="0" fontId="31" fillId="6" borderId="17" xfId="0" applyFont="1" applyFill="1" applyBorder="1" applyAlignment="1">
      <alignment horizontal="center" vertical="center"/>
    </xf>
    <xf numFmtId="0" fontId="22" fillId="6" borderId="17" xfId="0" applyFont="1" applyFill="1" applyBorder="1"/>
    <xf numFmtId="0" fontId="22" fillId="6" borderId="17" xfId="0" applyFont="1" applyFill="1" applyBorder="1" applyAlignment="1">
      <alignment horizontal="center" vertical="center"/>
    </xf>
    <xf numFmtId="9" fontId="21" fillId="6" borderId="17" xfId="0" applyNumberFormat="1" applyFont="1" applyFill="1" applyBorder="1" applyAlignment="1">
      <alignment horizontal="center" vertical="center"/>
    </xf>
    <xf numFmtId="0" fontId="25" fillId="5" borderId="18" xfId="0" applyFont="1" applyFill="1" applyBorder="1" applyAlignment="1">
      <alignment horizontal="center" vertical="center"/>
    </xf>
    <xf numFmtId="0" fontId="21" fillId="5" borderId="18" xfId="0" applyFont="1" applyFill="1" applyBorder="1" applyAlignment="1">
      <alignment horizontal="center" vertical="center"/>
    </xf>
    <xf numFmtId="0" fontId="22" fillId="5" borderId="18" xfId="0" applyFont="1" applyFill="1" applyBorder="1" applyAlignment="1">
      <alignment horizontal="center" vertical="center"/>
    </xf>
    <xf numFmtId="9" fontId="21" fillId="5" borderId="18" xfId="0" applyNumberFormat="1" applyFont="1" applyFill="1" applyBorder="1" applyAlignment="1">
      <alignment horizontal="center" vertical="center"/>
    </xf>
    <xf numFmtId="0" fontId="32" fillId="4" borderId="19" xfId="0" applyFont="1" applyFill="1" applyBorder="1" applyAlignment="1">
      <alignment horizontal="center" vertical="center"/>
    </xf>
    <xf numFmtId="0" fontId="33" fillId="4" borderId="19" xfId="0" applyFont="1" applyFill="1" applyBorder="1" applyAlignment="1">
      <alignment horizontal="center" vertical="center"/>
    </xf>
    <xf numFmtId="0" fontId="22" fillId="4" borderId="19" xfId="0" applyFont="1" applyFill="1" applyBorder="1"/>
    <xf numFmtId="0" fontId="22" fillId="4" borderId="19" xfId="0" applyFont="1" applyFill="1" applyBorder="1" applyAlignment="1">
      <alignment horizontal="center" vertical="center"/>
    </xf>
    <xf numFmtId="9" fontId="21" fillId="4" borderId="19" xfId="0" applyNumberFormat="1" applyFont="1" applyFill="1" applyBorder="1" applyAlignment="1">
      <alignment horizontal="center" vertical="center"/>
    </xf>
    <xf numFmtId="1" fontId="0" fillId="0" borderId="0" xfId="2" applyNumberFormat="1" applyFont="1" applyAlignment="1">
      <alignment horizontal="center" vertical="center"/>
    </xf>
    <xf numFmtId="0" fontId="2" fillId="0" borderId="0" xfId="0" applyFont="1" applyAlignment="1">
      <alignment horizontal="left" vertical="center"/>
    </xf>
    <xf numFmtId="1" fontId="2" fillId="0" borderId="0" xfId="0" applyNumberFormat="1" applyFont="1" applyAlignment="1">
      <alignment horizontal="center" vertical="center"/>
    </xf>
    <xf numFmtId="1" fontId="2" fillId="0" borderId="0" xfId="2" applyNumberFormat="1" applyFont="1" applyAlignment="1">
      <alignment horizontal="center" vertical="center"/>
    </xf>
    <xf numFmtId="0" fontId="37" fillId="0" borderId="0" xfId="0" applyFont="1" applyAlignment="1">
      <alignment horizontal="center" vertical="center"/>
    </xf>
    <xf numFmtId="9" fontId="0" fillId="0" borderId="0" xfId="2" applyFont="1" applyAlignment="1">
      <alignment horizontal="center"/>
    </xf>
    <xf numFmtId="0" fontId="14" fillId="16" borderId="0" xfId="0" applyFont="1" applyFill="1" applyAlignment="1">
      <alignment vertical="center"/>
    </xf>
    <xf numFmtId="9" fontId="2" fillId="0" borderId="0" xfId="2" applyFont="1" applyAlignment="1">
      <alignment horizontal="center"/>
    </xf>
    <xf numFmtId="0" fontId="21" fillId="8" borderId="10" xfId="0" applyFont="1" applyFill="1" applyBorder="1"/>
    <xf numFmtId="0" fontId="21" fillId="8" borderId="2" xfId="0" applyFont="1" applyFill="1" applyBorder="1" applyAlignment="1">
      <alignment horizontal="center"/>
    </xf>
    <xf numFmtId="0" fontId="22" fillId="8" borderId="2" xfId="0" applyFont="1" applyFill="1" applyBorder="1" applyAlignment="1">
      <alignment horizontal="left" vertical="center"/>
    </xf>
    <xf numFmtId="0" fontId="18" fillId="12" borderId="7" xfId="0" applyFont="1" applyFill="1" applyBorder="1" applyAlignment="1">
      <alignment horizontal="left" vertical="center"/>
    </xf>
    <xf numFmtId="0" fontId="16" fillId="10" borderId="3" xfId="0" applyFont="1" applyFill="1" applyBorder="1" applyAlignment="1">
      <alignment horizontal="left" vertical="center"/>
    </xf>
    <xf numFmtId="0" fontId="42" fillId="13" borderId="9" xfId="0" applyFont="1" applyFill="1" applyBorder="1" applyAlignment="1">
      <alignment vertical="center"/>
    </xf>
    <xf numFmtId="0" fontId="18" fillId="12" borderId="7" xfId="0" applyFont="1" applyFill="1" applyBorder="1" applyAlignment="1">
      <alignment horizontal="center" vertical="center"/>
    </xf>
    <xf numFmtId="0" fontId="39" fillId="17" borderId="0" xfId="0" applyFont="1" applyFill="1"/>
    <xf numFmtId="0" fontId="0" fillId="17" borderId="0" xfId="0" applyFill="1"/>
    <xf numFmtId="0" fontId="41" fillId="17" borderId="0" xfId="1" applyFont="1" applyFill="1"/>
    <xf numFmtId="0" fontId="5" fillId="17" borderId="0" xfId="1" applyFont="1" applyFill="1"/>
    <xf numFmtId="0" fontId="38" fillId="17" borderId="0" xfId="0" applyFont="1" applyFill="1" applyAlignment="1">
      <alignment horizontal="center" vertical="center" wrapText="1"/>
    </xf>
    <xf numFmtId="0" fontId="24" fillId="17" borderId="22" xfId="0" applyFont="1" applyFill="1" applyBorder="1" applyAlignment="1">
      <alignment horizontal="center" vertical="center" wrapText="1"/>
    </xf>
    <xf numFmtId="0" fontId="39" fillId="17" borderId="0" xfId="0" applyFont="1" applyFill="1" applyAlignment="1">
      <alignment horizontal="center" vertical="center"/>
    </xf>
    <xf numFmtId="0" fontId="40" fillId="17" borderId="20" xfId="0" applyFont="1" applyFill="1" applyBorder="1" applyAlignment="1">
      <alignment horizontal="center" vertical="center"/>
    </xf>
    <xf numFmtId="0" fontId="40" fillId="17" borderId="10" xfId="0" applyFont="1" applyFill="1" applyBorder="1" applyAlignment="1">
      <alignment horizontal="center" vertical="center"/>
    </xf>
    <xf numFmtId="0" fontId="40" fillId="17" borderId="12" xfId="0" applyFont="1" applyFill="1" applyBorder="1" applyAlignment="1">
      <alignment horizontal="center" vertical="center"/>
    </xf>
    <xf numFmtId="0" fontId="39" fillId="18" borderId="0" xfId="0" applyFont="1" applyFill="1"/>
    <xf numFmtId="0" fontId="0" fillId="18" borderId="0" xfId="0" applyFill="1"/>
    <xf numFmtId="0" fontId="41" fillId="18" borderId="0" xfId="1" applyFont="1" applyFill="1"/>
    <xf numFmtId="0" fontId="5" fillId="18" borderId="0" xfId="1" applyFont="1" applyFill="1"/>
    <xf numFmtId="0" fontId="38" fillId="18" borderId="21" xfId="0" applyFont="1" applyFill="1" applyBorder="1" applyAlignment="1">
      <alignment horizontal="center" vertical="center" wrapText="1"/>
    </xf>
    <xf numFmtId="0" fontId="24" fillId="18" borderId="21" xfId="0" applyFont="1" applyFill="1" applyBorder="1" applyAlignment="1">
      <alignment horizontal="center" vertical="center" wrapText="1"/>
    </xf>
    <xf numFmtId="0" fontId="39" fillId="18" borderId="20" xfId="0" applyFont="1" applyFill="1" applyBorder="1" applyAlignment="1">
      <alignment horizontal="center" vertical="center"/>
    </xf>
    <xf numFmtId="0" fontId="40" fillId="18" borderId="20" xfId="0" applyFont="1" applyFill="1" applyBorder="1" applyAlignment="1">
      <alignment horizontal="center" vertical="center"/>
    </xf>
    <xf numFmtId="0" fontId="39" fillId="18" borderId="10" xfId="0" applyFont="1" applyFill="1" applyBorder="1" applyAlignment="1">
      <alignment horizontal="center" vertical="center"/>
    </xf>
    <xf numFmtId="0" fontId="40" fillId="18" borderId="10" xfId="0" applyFont="1" applyFill="1" applyBorder="1" applyAlignment="1">
      <alignment horizontal="center" vertical="center"/>
    </xf>
    <xf numFmtId="0" fontId="39" fillId="18" borderId="12" xfId="0" applyFont="1" applyFill="1" applyBorder="1" applyAlignment="1">
      <alignment horizontal="center" vertical="center"/>
    </xf>
    <xf numFmtId="0" fontId="40" fillId="18" borderId="12" xfId="0" applyFont="1" applyFill="1" applyBorder="1" applyAlignment="1">
      <alignment horizontal="center" vertical="center"/>
    </xf>
    <xf numFmtId="0" fontId="12" fillId="7" borderId="0" xfId="0" applyFont="1" applyFill="1" applyAlignment="1">
      <alignment horizontal="left" wrapText="1"/>
    </xf>
    <xf numFmtId="0" fontId="11" fillId="8" borderId="0" xfId="0" applyFont="1" applyFill="1" applyAlignment="1">
      <alignment horizontal="left" vertical="top"/>
    </xf>
    <xf numFmtId="0" fontId="9" fillId="7" borderId="0" xfId="0" applyFont="1" applyFill="1" applyAlignment="1">
      <alignment horizontal="left" wrapText="1"/>
    </xf>
    <xf numFmtId="0" fontId="16" fillId="10" borderId="3" xfId="0" applyFont="1" applyFill="1" applyBorder="1" applyAlignment="1">
      <alignment horizontal="left" vertical="center"/>
    </xf>
    <xf numFmtId="0" fontId="15" fillId="10" borderId="4" xfId="0" applyFont="1" applyFill="1" applyBorder="1" applyAlignment="1">
      <alignment horizontal="left" vertical="center"/>
    </xf>
    <xf numFmtId="0" fontId="15" fillId="10" borderId="3" xfId="0" applyFont="1" applyFill="1" applyBorder="1" applyAlignment="1">
      <alignment horizontal="left" vertical="center"/>
    </xf>
    <xf numFmtId="0" fontId="15" fillId="10" borderId="4" xfId="0" applyFont="1" applyFill="1" applyBorder="1" applyAlignment="1">
      <alignment horizontal="center" vertical="center"/>
    </xf>
    <xf numFmtId="0" fontId="15" fillId="10" borderId="3" xfId="0" applyFont="1" applyFill="1" applyBorder="1" applyAlignment="1">
      <alignment horizontal="center" vertical="center"/>
    </xf>
    <xf numFmtId="0" fontId="14" fillId="16" borderId="0" xfId="0" applyFont="1" applyFill="1" applyAlignment="1">
      <alignment horizontal="center" vertical="center"/>
    </xf>
  </cellXfs>
  <cellStyles count="3">
    <cellStyle name="Normal" xfId="0" builtinId="0"/>
    <cellStyle name="Normal 2" xfId="1" xr:uid="{00000000-0005-0000-0000-000001000000}"/>
    <cellStyle name="Percent" xfId="2" builtinId="5"/>
  </cellStyles>
  <dxfs count="47">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7" tint="-0.249977111117893"/>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1" tint="0.14999847407452621"/>
        <name val="Calibri"/>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rgb="FF002060"/>
        <name val="Calibri"/>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style="thin">
          <color theme="9" tint="0.39994506668294322"/>
        </top>
        <bottom style="thin">
          <color theme="9" tint="0.39994506668294322"/>
        </bottom>
      </border>
    </dxf>
    <dxf>
      <font>
        <b/>
        <i val="0"/>
        <strike val="0"/>
        <condense val="0"/>
        <extend val="0"/>
        <outline val="0"/>
        <shadow val="0"/>
        <u val="none"/>
        <vertAlign val="baseline"/>
        <sz val="11"/>
        <color theme="5"/>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right/>
        <top style="thin">
          <color theme="9" tint="0.39994506668294322"/>
        </top>
        <bottom style="thin">
          <color theme="9" tint="0.39994506668294322"/>
        </bottom>
      </border>
    </dxf>
    <dxf>
      <font>
        <b/>
        <i val="0"/>
        <strike val="0"/>
        <condense val="0"/>
        <extend val="0"/>
        <outline val="0"/>
        <shadow val="0"/>
        <u val="none"/>
        <vertAlign val="baseline"/>
        <sz val="11"/>
        <color rgb="FF00B050"/>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0" indent="0" justifyLastLine="0" shrinkToFit="0" readingOrder="0"/>
      <border diagonalUp="0" diagonalDown="0">
        <left style="thin">
          <color theme="9" tint="0.39994506668294322"/>
        </left>
        <right style="thin">
          <color theme="9" tint="0.39994506668294322"/>
        </right>
        <top style="thin">
          <color theme="9" tint="0.39994506668294322"/>
        </top>
        <bottom style="thin">
          <color theme="9" tint="0.39994506668294322"/>
        </bottom>
        <vertical/>
        <horizontal/>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val="0"/>
        <i val="0"/>
        <strike val="0"/>
        <condense val="0"/>
        <extend val="0"/>
        <outline val="0"/>
        <shadow val="0"/>
        <u val="none"/>
        <vertAlign val="baseline"/>
        <sz val="11"/>
        <color theme="1" tint="0.499984740745262"/>
        <name val="Calibri"/>
        <family val="2"/>
        <scheme val="minor"/>
      </font>
      <numFmt numFmtId="0" formatCode="General"/>
      <fill>
        <patternFill patternType="lightDown">
          <fgColor theme="1"/>
          <bgColor theme="2" tint="-9.9948118533890809E-2"/>
        </patternFill>
      </fill>
      <alignment horizontal="center" vertical="center" textRotation="0" wrapText="0" indent="0" justifyLastLine="0" shrinkToFit="0" readingOrder="0"/>
      <border diagonalUp="0" diagonalDown="0">
        <left/>
        <right style="thin">
          <color theme="9" tint="0.39994506668294322"/>
        </right>
        <top style="thin">
          <color theme="9" tint="0.39994506668294322"/>
        </top>
        <bottom style="thin">
          <color theme="9" tint="0.39994506668294322"/>
        </bottom>
      </border>
    </dxf>
    <dxf>
      <font>
        <strike val="0"/>
        <outline val="0"/>
        <shadow val="0"/>
        <u val="none"/>
        <vertAlign val="baseline"/>
        <sz val="11"/>
        <color theme="0"/>
        <family val="2"/>
      </font>
      <numFmt numFmtId="0" formatCode="General"/>
      <fill>
        <patternFill patternType="lightDown">
          <fgColor theme="1"/>
          <bgColor theme="2" tint="-9.9948118533890809E-2"/>
        </patternFill>
      </fill>
      <alignment horizontal="center" vertical="center" textRotation="0" wrapText="0" indent="0" justifyLastLine="0" shrinkToFit="0" readingOrder="0"/>
    </dxf>
    <dxf>
      <border>
        <top style="thin">
          <color rgb="FFA9D08E"/>
        </top>
      </border>
    </dxf>
    <dxf>
      <border diagonalUp="0" diagonalDown="0">
        <left style="thin">
          <color rgb="FFA9D08E"/>
        </left>
        <right style="thin">
          <color rgb="FFA9D08E"/>
        </right>
        <top style="thin">
          <color rgb="FFA9D08E"/>
        </top>
        <bottom style="thin">
          <color rgb="FFA9D08E"/>
        </bottom>
      </border>
    </dxf>
    <dxf>
      <font>
        <strike val="0"/>
        <outline val="0"/>
        <shadow val="0"/>
        <u val="none"/>
        <vertAlign val="baseline"/>
        <color rgb="FF262626"/>
        <family val="2"/>
      </font>
      <fill>
        <patternFill patternType="none">
          <fgColor rgb="FF000000"/>
          <bgColor auto="1"/>
        </patternFill>
      </fill>
    </dxf>
    <dxf>
      <border outline="0">
        <bottom style="thin">
          <color rgb="FF70AD47"/>
        </bottom>
      </border>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border diagonalUp="0" diagonalDown="0" outline="0">
        <left style="thin">
          <color theme="9"/>
        </left>
        <right style="thin">
          <color theme="9"/>
        </right>
        <top/>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7" tint="-0.249977111117893"/>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1" tint="0.14999847407452621"/>
        <name val="Calibri"/>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rgb="FF002060"/>
        <name val="Calibri"/>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style="thin">
          <color theme="9" tint="0.39994506668294322"/>
        </top>
        <bottom style="thin">
          <color theme="9" tint="0.39994506668294322"/>
        </bottom>
      </border>
    </dxf>
    <dxf>
      <font>
        <b/>
        <i val="0"/>
        <strike val="0"/>
        <condense val="0"/>
        <extend val="0"/>
        <outline val="0"/>
        <shadow val="0"/>
        <u val="none"/>
        <vertAlign val="baseline"/>
        <sz val="11"/>
        <color theme="5"/>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right/>
        <top style="thin">
          <color theme="9" tint="0.39994506668294322"/>
        </top>
        <bottom style="thin">
          <color theme="9" tint="0.39994506668294322"/>
        </bottom>
      </border>
    </dxf>
    <dxf>
      <font>
        <b/>
        <i val="0"/>
        <strike val="0"/>
        <condense val="0"/>
        <extend val="0"/>
        <outline val="0"/>
        <shadow val="0"/>
        <u val="none"/>
        <vertAlign val="baseline"/>
        <sz val="11"/>
        <color rgb="FF00B050"/>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0" indent="0" justifyLastLine="0" shrinkToFit="0" readingOrder="0"/>
      <border diagonalUp="0" diagonalDown="0">
        <left style="thin">
          <color theme="9" tint="0.39994506668294322"/>
        </left>
        <right style="thin">
          <color theme="9" tint="0.39994506668294322"/>
        </right>
        <top style="thin">
          <color theme="9" tint="0.39994506668294322"/>
        </top>
        <bottom style="thin">
          <color theme="9" tint="0.39994506668294322"/>
        </bottom>
        <vertical/>
        <horizontal/>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strike val="0"/>
        <outline val="0"/>
        <shadow val="0"/>
        <u val="none"/>
        <vertAlign val="baseline"/>
        <sz val="11"/>
        <color theme="1" tint="0.499984740745262"/>
        <name val="Calibri"/>
        <family val="2"/>
        <scheme val="minor"/>
      </font>
      <fill>
        <patternFill patternType="lightDown">
          <fgColor theme="1"/>
          <bgColor theme="2" tint="-0.24994659260841701"/>
        </patternFill>
      </fill>
      <alignment horizontal="center" vertical="center" textRotation="0" wrapText="0" indent="0" justifyLastLine="0" shrinkToFit="0" readingOrder="0"/>
      <border diagonalUp="0" diagonalDown="0">
        <left/>
        <right style="thin">
          <color theme="9" tint="0.39994506668294322"/>
        </right>
        <top style="thin">
          <color theme="9" tint="0.39994506668294322"/>
        </top>
        <bottom style="thin">
          <color theme="9" tint="0.39994506668294322"/>
        </bottom>
      </border>
    </dxf>
    <dxf>
      <font>
        <strike val="0"/>
        <outline val="0"/>
        <shadow val="0"/>
        <u val="none"/>
        <vertAlign val="baseline"/>
        <sz val="11"/>
        <color theme="0"/>
        <family val="2"/>
      </font>
      <numFmt numFmtId="0" formatCode="General"/>
      <fill>
        <patternFill patternType="lightDown">
          <fgColor theme="1"/>
          <bgColor theme="2" tint="-0.24994659260841701"/>
        </patternFill>
      </fill>
      <alignment horizontal="center" vertical="center" textRotation="0" wrapText="0" indent="0" justifyLastLine="0" shrinkToFit="0" readingOrder="0"/>
      <border diagonalUp="0" diagonalDown="0">
        <left/>
        <right style="thin">
          <color theme="9" tint="0.39994506668294322"/>
        </right>
        <top style="thin">
          <color theme="9" tint="0.39994506668294322"/>
        </top>
        <bottom style="thin">
          <color theme="9" tint="0.39994506668294322"/>
        </bottom>
      </border>
    </dxf>
    <dxf>
      <border>
        <top style="thin">
          <color theme="9" tint="0.39994506668294322"/>
        </top>
      </border>
    </dxf>
    <dxf>
      <border diagonalUp="0" diagonalDown="0">
        <left style="thin">
          <color theme="9" tint="0.39994506668294322"/>
        </left>
        <right style="thin">
          <color theme="9" tint="0.39994506668294322"/>
        </right>
        <top style="thin">
          <color theme="9" tint="0.39994506668294322"/>
        </top>
        <bottom style="thin">
          <color theme="9" tint="0.39994506668294322"/>
        </bottom>
      </border>
    </dxf>
    <dxf>
      <font>
        <strike val="0"/>
        <outline val="0"/>
        <shadow val="0"/>
        <u val="none"/>
        <vertAlign val="baseline"/>
        <color theme="1" tint="0.14999847407452621"/>
        <family val="2"/>
      </font>
      <fill>
        <patternFill patternType="none">
          <fgColor indexed="64"/>
          <bgColor auto="1"/>
        </patternFill>
      </fill>
    </dxf>
    <dxf>
      <border outline="0">
        <bottom style="thin">
          <color theme="9"/>
        </bottom>
      </border>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border diagonalUp="0" diagonalDown="0" outline="0">
        <left style="thin">
          <color theme="9"/>
        </left>
        <right style="thin">
          <color theme="9"/>
        </right>
        <top/>
        <bottom/>
      </border>
    </dxf>
  </dxfs>
  <tableStyles count="0" defaultTableStyle="TableStyleMedium2" defaultPivotStyle="PivotStyleLight16"/>
  <colors>
    <mruColors>
      <color rgb="FFD09A00"/>
      <color rgb="FF66B53F"/>
      <color rgb="FFEDB4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6"/>
                </a:solidFill>
              </a:rPr>
              <a:t>Progression</a:t>
            </a:r>
          </a:p>
        </c:rich>
      </c:tx>
      <c:layout>
        <c:manualLayout>
          <c:xMode val="edge"/>
          <c:yMode val="edge"/>
          <c:x val="0.34052300867282892"/>
          <c:y val="0.5559730033745782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20558420346913159"/>
          <c:y val="5.0522632039416123E-3"/>
          <c:w val="0.59518144471071555"/>
          <c:h val="0.99494750656167974"/>
        </c:manualLayout>
      </c:layout>
      <c:doughnutChart>
        <c:varyColors val="1"/>
        <c:ser>
          <c:idx val="0"/>
          <c:order val="0"/>
          <c:dPt>
            <c:idx val="0"/>
            <c:bubble3D val="0"/>
            <c:spPr>
              <a:noFill/>
              <a:ln w="19050">
                <a:noFill/>
              </a:ln>
              <a:effectLst/>
            </c:spPr>
            <c:extLst>
              <c:ext xmlns:c16="http://schemas.microsoft.com/office/drawing/2014/chart" uri="{C3380CC4-5D6E-409C-BE32-E72D297353CC}">
                <c16:uniqueId val="{00000001-56D7-4B10-95B5-192058CA9F18}"/>
              </c:ext>
            </c:extLst>
          </c:dPt>
          <c:dPt>
            <c:idx val="1"/>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9050">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6D7-4B10-95B5-192058CA9F18}"/>
              </c:ext>
            </c:extLst>
          </c:dPt>
          <c:dPt>
            <c:idx val="2"/>
            <c:bubble3D val="0"/>
            <c:spPr>
              <a:solidFill>
                <a:schemeClr val="accent6">
                  <a:alpha val="20000"/>
                </a:schemeClr>
              </a:solidFill>
              <a:ln w="12700" cap="flat" cmpd="sng" algn="ctr">
                <a:noFill/>
                <a:prstDash val="solid"/>
                <a:miter lim="800000"/>
              </a:ln>
              <a:effectLst/>
            </c:spPr>
            <c:extLst>
              <c:ext xmlns:c16="http://schemas.microsoft.com/office/drawing/2014/chart" uri="{C3380CC4-5D6E-409C-BE32-E72D297353CC}">
                <c16:uniqueId val="{00000005-56D7-4B10-95B5-192058CA9F18}"/>
              </c:ext>
            </c:extLst>
          </c:dPt>
          <c:cat>
            <c:strLit>
              <c:ptCount val="3"/>
              <c:pt idx="0">
                <c:v>Pct</c:v>
              </c:pt>
              <c:pt idx="1">
                <c:v>Fait</c:v>
              </c:pt>
              <c:pt idx="2">
                <c:v>Non Fait</c:v>
              </c:pt>
            </c:strLit>
          </c:cat>
          <c:val>
            <c:numRef>
              <c:f>Backend!$B$9:$B$11</c:f>
              <c:numCache>
                <c:formatCode>0</c:formatCode>
                <c:ptCount val="3"/>
                <c:pt idx="0">
                  <c:v>187</c:v>
                </c:pt>
                <c:pt idx="1">
                  <c:v>184</c:v>
                </c:pt>
                <c:pt idx="2">
                  <c:v>3</c:v>
                </c:pt>
              </c:numCache>
            </c:numRef>
          </c:val>
          <c:extLst>
            <c:ext xmlns:c16="http://schemas.microsoft.com/office/drawing/2014/chart" uri="{C3380CC4-5D6E-409C-BE32-E72D297353CC}">
              <c16:uniqueId val="{00000006-56D7-4B10-95B5-192058CA9F18}"/>
            </c:ext>
          </c:extLst>
        </c:ser>
        <c:dLbls>
          <c:showLegendKey val="0"/>
          <c:showVal val="0"/>
          <c:showCatName val="0"/>
          <c:showSerName val="0"/>
          <c:showPercent val="0"/>
          <c:showBubbleSize val="0"/>
          <c:showLeaderLines val="1"/>
        </c:dLbls>
        <c:firstSliceAng val="9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6"/>
                </a:solidFill>
              </a:rPr>
              <a:t>Progression</a:t>
            </a:r>
          </a:p>
        </c:rich>
      </c:tx>
      <c:layout>
        <c:manualLayout>
          <c:xMode val="edge"/>
          <c:yMode val="edge"/>
          <c:x val="0.34052300867282892"/>
          <c:y val="0.5559730033745782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20558420346913159"/>
          <c:y val="5.0522632039416123E-3"/>
          <c:w val="0.59518144471071555"/>
          <c:h val="0.99494750656167974"/>
        </c:manualLayout>
      </c:layout>
      <c:doughnutChart>
        <c:varyColors val="1"/>
        <c:ser>
          <c:idx val="0"/>
          <c:order val="0"/>
          <c:dPt>
            <c:idx val="0"/>
            <c:bubble3D val="0"/>
            <c:spPr>
              <a:noFill/>
              <a:ln w="19050">
                <a:noFill/>
              </a:ln>
              <a:effectLst/>
            </c:spPr>
            <c:extLst>
              <c:ext xmlns:c16="http://schemas.microsoft.com/office/drawing/2014/chart" uri="{C3380CC4-5D6E-409C-BE32-E72D297353CC}">
                <c16:uniqueId val="{00000001-DBF0-4481-9837-4B7CA45617F8}"/>
              </c:ext>
            </c:extLst>
          </c:dPt>
          <c:dPt>
            <c:idx val="1"/>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9050">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BF0-4481-9837-4B7CA45617F8}"/>
              </c:ext>
            </c:extLst>
          </c:dPt>
          <c:dPt>
            <c:idx val="2"/>
            <c:bubble3D val="0"/>
            <c:spPr>
              <a:solidFill>
                <a:schemeClr val="accent6">
                  <a:alpha val="20000"/>
                </a:schemeClr>
              </a:solidFill>
              <a:ln w="19050">
                <a:noFill/>
              </a:ln>
              <a:effectLst/>
            </c:spPr>
            <c:extLst>
              <c:ext xmlns:c16="http://schemas.microsoft.com/office/drawing/2014/chart" uri="{C3380CC4-5D6E-409C-BE32-E72D297353CC}">
                <c16:uniqueId val="{00000005-DBF0-4481-9837-4B7CA45617F8}"/>
              </c:ext>
            </c:extLst>
          </c:dPt>
          <c:cat>
            <c:strLit>
              <c:ptCount val="3"/>
              <c:pt idx="0">
                <c:v>Pct</c:v>
              </c:pt>
              <c:pt idx="1">
                <c:v>Fait</c:v>
              </c:pt>
              <c:pt idx="2">
                <c:v>Non Fait</c:v>
              </c:pt>
            </c:strLit>
          </c:cat>
          <c:val>
            <c:numRef>
              <c:f>Backend!$B$20:$B$22</c:f>
              <c:numCache>
                <c:formatCode>0</c:formatCode>
                <c:ptCount val="3"/>
                <c:pt idx="0">
                  <c:v>187</c:v>
                </c:pt>
                <c:pt idx="1">
                  <c:v>187</c:v>
                </c:pt>
                <c:pt idx="2">
                  <c:v>0</c:v>
                </c:pt>
              </c:numCache>
            </c:numRef>
          </c:val>
          <c:extLst>
            <c:ext xmlns:c16="http://schemas.microsoft.com/office/drawing/2014/chart" uri="{C3380CC4-5D6E-409C-BE32-E72D297353CC}">
              <c16:uniqueId val="{00000006-DBF0-4481-9837-4B7CA45617F8}"/>
            </c:ext>
          </c:extLst>
        </c:ser>
        <c:dLbls>
          <c:showLegendKey val="0"/>
          <c:showVal val="0"/>
          <c:showCatName val="0"/>
          <c:showSerName val="0"/>
          <c:showPercent val="0"/>
          <c:showBubbleSize val="0"/>
          <c:showLeaderLines val="1"/>
        </c:dLbls>
        <c:firstSliceAng val="9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2" dropStyle="combo" dx="26" fmlaLink="$K$7" fmlaRange="Language!$F$2:$F$3"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hyperlink" Target="https://blog-gestion-de-projet.com/docs/kit-management-projet/execution/plan-de-tests/" TargetMode="External"/><Relationship Id="rId2" Type="http://schemas.openxmlformats.org/officeDocument/2006/relationships/chart" Target="../charts/chart1.xml"/><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hyperlink" Target="https://blog-gestion-de-projet.com/docs/kit-management-projet/execution/plan-de-tests/" TargetMode="External"/><Relationship Id="rId2" Type="http://schemas.openxmlformats.org/officeDocument/2006/relationships/chart" Target="../charts/chart2.xml"/><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xdr:col>
      <xdr:colOff>30480</xdr:colOff>
      <xdr:row>15</xdr:row>
      <xdr:rowOff>0</xdr:rowOff>
    </xdr:from>
    <xdr:ext cx="5455920" cy="1355589"/>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13460" y="2087880"/>
          <a:ext cx="5455920" cy="1355589"/>
        </a:xfrm>
        <a:prstGeom prst="rect">
          <a:avLst/>
        </a:prstGeom>
      </xdr:spPr>
    </xdr:pic>
    <xdr:clientData/>
  </xdr:oneCellAnchor>
  <xdr:twoCellAnchor editAs="oneCell">
    <xdr:from>
      <xdr:col>1</xdr:col>
      <xdr:colOff>1706880</xdr:colOff>
      <xdr:row>41</xdr:row>
      <xdr:rowOff>83820</xdr:rowOff>
    </xdr:from>
    <xdr:to>
      <xdr:col>13</xdr:col>
      <xdr:colOff>255209</xdr:colOff>
      <xdr:row>45</xdr:row>
      <xdr:rowOff>147595</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89860" y="7909560"/>
          <a:ext cx="10549829" cy="856255"/>
        </a:xfrm>
        <a:prstGeom prst="rect">
          <a:avLst/>
        </a:prstGeom>
      </xdr:spPr>
    </xdr:pic>
    <xdr:clientData/>
  </xdr:twoCellAnchor>
  <xdr:twoCellAnchor>
    <xdr:from>
      <xdr:col>0</xdr:col>
      <xdr:colOff>952500</xdr:colOff>
      <xdr:row>52</xdr:row>
      <xdr:rowOff>167640</xdr:rowOff>
    </xdr:from>
    <xdr:to>
      <xdr:col>13</xdr:col>
      <xdr:colOff>289502</xdr:colOff>
      <xdr:row>64</xdr:row>
      <xdr:rowOff>12678</xdr:rowOff>
    </xdr:to>
    <xdr:grpSp>
      <xdr:nvGrpSpPr>
        <xdr:cNvPr id="7" name="Groupe 6">
          <a:extLst>
            <a:ext uri="{FF2B5EF4-FFF2-40B4-BE49-F238E27FC236}">
              <a16:creationId xmlns:a16="http://schemas.microsoft.com/office/drawing/2014/main" id="{00000000-0008-0000-0000-000007000000}"/>
            </a:ext>
          </a:extLst>
        </xdr:cNvPr>
        <xdr:cNvGrpSpPr/>
      </xdr:nvGrpSpPr>
      <xdr:grpSpPr>
        <a:xfrm>
          <a:off x="952500" y="10850880"/>
          <a:ext cx="12329102" cy="2100558"/>
          <a:chOff x="952500" y="9593580"/>
          <a:chExt cx="10690802" cy="2100558"/>
        </a:xfrm>
      </xdr:grpSpPr>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952500" y="9593580"/>
            <a:ext cx="10690802" cy="2100558"/>
          </a:xfrm>
          <a:prstGeom prst="rect">
            <a:avLst/>
          </a:prstGeom>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998220" y="11308080"/>
            <a:ext cx="10614660" cy="1600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0</xdr:colOff>
      <xdr:row>1</xdr:row>
      <xdr:rowOff>7621</xdr:rowOff>
    </xdr:from>
    <xdr:to>
      <xdr:col>1</xdr:col>
      <xdr:colOff>1912620</xdr:colOff>
      <xdr:row>3</xdr:row>
      <xdr:rowOff>166633</xdr:rowOff>
    </xdr:to>
    <xdr:pic>
      <xdr:nvPicPr>
        <xdr:cNvPr id="8" name="Picture 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99061"/>
          <a:ext cx="2895600" cy="524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944880</xdr:colOff>
      <xdr:row>6</xdr:row>
      <xdr:rowOff>91440</xdr:rowOff>
    </xdr:from>
    <xdr:to>
      <xdr:col>8</xdr:col>
      <xdr:colOff>289560</xdr:colOff>
      <xdr:row>6</xdr:row>
      <xdr:rowOff>335499</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191000" y="937260"/>
          <a:ext cx="5128260" cy="244059"/>
          <a:chOff x="3238500" y="815340"/>
          <a:chExt cx="4057200" cy="251285"/>
        </a:xfrm>
      </xdr:grpSpPr>
      <xdr:sp macro="[0]!NavBar" textlink="">
        <xdr:nvSpPr>
          <xdr:cNvPr id="10" name="BtnGuide">
            <a:extLst>
              <a:ext uri="{FF2B5EF4-FFF2-40B4-BE49-F238E27FC236}">
                <a16:creationId xmlns:a16="http://schemas.microsoft.com/office/drawing/2014/main" id="{00000000-0008-0000-0000-00000A000000}"/>
              </a:ext>
            </a:extLst>
          </xdr:cNvPr>
          <xdr:cNvSpPr/>
        </xdr:nvSpPr>
        <xdr:spPr>
          <a:xfrm>
            <a:off x="3238500" y="815340"/>
            <a:ext cx="122083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sp macro="[0]!NavBar" textlink="">
        <xdr:nvSpPr>
          <xdr:cNvPr id="11" name="BtnIntegration">
            <a:extLst>
              <a:ext uri="{FF2B5EF4-FFF2-40B4-BE49-F238E27FC236}">
                <a16:creationId xmlns:a16="http://schemas.microsoft.com/office/drawing/2014/main" id="{00000000-0008-0000-0000-00000B000000}"/>
              </a:ext>
            </a:extLst>
          </xdr:cNvPr>
          <xdr:cNvSpPr/>
        </xdr:nvSpPr>
        <xdr:spPr>
          <a:xfrm>
            <a:off x="4533793" y="818468"/>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100" b="0">
                <a:solidFill>
                  <a:schemeClr val="lt1"/>
                </a:solidFill>
                <a:effectLst/>
                <a:latin typeface="+mn-lt"/>
                <a:ea typeface="+mn-ea"/>
                <a:cs typeface="+mn-cs"/>
              </a:rPr>
              <a:t>Tests d'Intégration</a:t>
            </a:r>
            <a:endParaRPr lang="en-US" sz="1050">
              <a:effectLst/>
            </a:endParaRPr>
          </a:p>
        </xdr:txBody>
      </xdr:sp>
      <xdr:sp macro="[0]!NavBar" textlink="">
        <xdr:nvSpPr>
          <xdr:cNvPr id="12" name="BtnConsolidation">
            <a:extLst>
              <a:ext uri="{FF2B5EF4-FFF2-40B4-BE49-F238E27FC236}">
                <a16:creationId xmlns:a16="http://schemas.microsoft.com/office/drawing/2014/main" id="{00000000-0008-0000-0000-00000C000000}"/>
              </a:ext>
            </a:extLst>
          </xdr:cNvPr>
          <xdr:cNvSpPr/>
        </xdr:nvSpPr>
        <xdr:spPr>
          <a:xfrm>
            <a:off x="602030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Tests de Consolidation</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7621</xdr:rowOff>
    </xdr:from>
    <xdr:to>
      <xdr:col>2</xdr:col>
      <xdr:colOff>2583180</xdr:colOff>
      <xdr:row>5</xdr:row>
      <xdr:rowOff>29473</xdr:rowOff>
    </xdr:to>
    <xdr:pic>
      <xdr:nvPicPr>
        <xdr:cNvPr id="4" name="Picture 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9061"/>
          <a:ext cx="2583180" cy="524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2476500</xdr:colOff>
      <xdr:row>7</xdr:row>
      <xdr:rowOff>76200</xdr:rowOff>
    </xdr:from>
    <xdr:to>
      <xdr:col>4</xdr:col>
      <xdr:colOff>929640</xdr:colOff>
      <xdr:row>15</xdr:row>
      <xdr:rowOff>175260</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2476500" y="1310640"/>
          <a:ext cx="2796540" cy="1600200"/>
          <a:chOff x="6256020" y="-83820"/>
          <a:chExt cx="2804160" cy="1600200"/>
        </a:xfrm>
        <a:noFill/>
      </xdr:grpSpPr>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6256020" y="-83820"/>
          <a:ext cx="2804160" cy="1600200"/>
        </xdr:xfrm>
        <a:graphic>
          <a:graphicData uri="http://schemas.openxmlformats.org/drawingml/2006/chart">
            <c:chart xmlns:c="http://schemas.openxmlformats.org/drawingml/2006/chart" xmlns:r="http://schemas.openxmlformats.org/officeDocument/2006/relationships" r:id="rId2"/>
          </a:graphicData>
        </a:graphic>
      </xdr:graphicFrame>
      <xdr:sp macro="" textlink="Backend!$C$10">
        <xdr:nvSpPr>
          <xdr:cNvPr id="6" name="TextBox 5">
            <a:extLst>
              <a:ext uri="{FF2B5EF4-FFF2-40B4-BE49-F238E27FC236}">
                <a16:creationId xmlns:a16="http://schemas.microsoft.com/office/drawing/2014/main" id="{00000000-0008-0000-0100-000006000000}"/>
              </a:ext>
            </a:extLst>
          </xdr:cNvPr>
          <xdr:cNvSpPr txBox="1"/>
        </xdr:nvSpPr>
        <xdr:spPr>
          <a:xfrm>
            <a:off x="7292340" y="472440"/>
            <a:ext cx="784860" cy="2819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7B695E-885D-4C53-B065-C17DE29A4A08}" type="TxLink">
              <a:rPr lang="en-US" sz="1800" b="1" i="0" u="none" strike="noStrike">
                <a:solidFill>
                  <a:schemeClr val="accent6"/>
                </a:solidFill>
                <a:latin typeface="Impact" panose="020B0806030902050204" pitchFamily="34" charset="0"/>
                <a:ea typeface="Calibri"/>
                <a:cs typeface="Calibri"/>
              </a:rPr>
              <a:pPr algn="ctr"/>
              <a:t>98%</a:t>
            </a:fld>
            <a:endParaRPr lang="en-US" sz="1800" b="0" i="0" u="none" strike="noStrike">
              <a:solidFill>
                <a:schemeClr val="accent6"/>
              </a:solidFill>
              <a:latin typeface="Impact" panose="020B0806030902050204" pitchFamily="34" charset="0"/>
              <a:ea typeface="Calibri"/>
              <a:cs typeface="Calibri"/>
            </a:endParaRPr>
          </a:p>
        </xdr:txBody>
      </xdr:sp>
    </xdr:grpSp>
    <xdr:clientData/>
  </xdr:twoCellAnchor>
  <xdr:twoCellAnchor editAs="absolute">
    <xdr:from>
      <xdr:col>3</xdr:col>
      <xdr:colOff>1584960</xdr:colOff>
      <xdr:row>6</xdr:row>
      <xdr:rowOff>83820</xdr:rowOff>
    </xdr:from>
    <xdr:to>
      <xdr:col>4</xdr:col>
      <xdr:colOff>1365565</xdr:colOff>
      <xdr:row>6</xdr:row>
      <xdr:rowOff>324841</xdr:rowOff>
    </xdr:to>
    <xdr:sp macro="" textlink="">
      <xdr:nvSpPr>
        <xdr:cNvPr id="9" name="BtnGuide">
          <a:hlinkClick xmlns:r="http://schemas.openxmlformats.org/officeDocument/2006/relationships" r:id="rId3"/>
          <a:extLst>
            <a:ext uri="{FF2B5EF4-FFF2-40B4-BE49-F238E27FC236}">
              <a16:creationId xmlns:a16="http://schemas.microsoft.com/office/drawing/2014/main" id="{00000000-0008-0000-0100-000009000000}"/>
            </a:ext>
          </a:extLst>
        </xdr:cNvPr>
        <xdr:cNvSpPr/>
      </xdr:nvSpPr>
      <xdr:spPr>
        <a:xfrm>
          <a:off x="4175760" y="9296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1459545</xdr:colOff>
      <xdr:row>6</xdr:row>
      <xdr:rowOff>86858</xdr:rowOff>
    </xdr:from>
    <xdr:to>
      <xdr:col>5</xdr:col>
      <xdr:colOff>51028</xdr:colOff>
      <xdr:row>6</xdr:row>
      <xdr:rowOff>327879</xdr:rowOff>
    </xdr:to>
    <xdr:sp macro="[0]!NavBar" textlink="">
      <xdr:nvSpPr>
        <xdr:cNvPr id="10" name="BtnIntegration">
          <a:extLst>
            <a:ext uri="{FF2B5EF4-FFF2-40B4-BE49-F238E27FC236}">
              <a16:creationId xmlns:a16="http://schemas.microsoft.com/office/drawing/2014/main" id="{00000000-0008-0000-0100-00000A000000}"/>
            </a:ext>
          </a:extLst>
        </xdr:cNvPr>
        <xdr:cNvSpPr/>
      </xdr:nvSpPr>
      <xdr:spPr>
        <a:xfrm>
          <a:off x="5810565" y="932678"/>
          <a:ext cx="1769023"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100" b="0">
              <a:solidFill>
                <a:schemeClr val="lt1"/>
              </a:solidFill>
              <a:effectLst/>
              <a:latin typeface="+mn-lt"/>
              <a:ea typeface="+mn-ea"/>
              <a:cs typeface="+mn-cs"/>
            </a:rPr>
            <a:t>Tests d'Intégration</a:t>
          </a:r>
          <a:endParaRPr lang="en-US" sz="1050">
            <a:effectLst/>
          </a:endParaRPr>
        </a:p>
      </xdr:txBody>
    </xdr:sp>
    <xdr:clientData/>
  </xdr:twoCellAnchor>
  <xdr:twoCellAnchor editAs="absolute">
    <xdr:from>
      <xdr:col>5</xdr:col>
      <xdr:colOff>158151</xdr:colOff>
      <xdr:row>6</xdr:row>
      <xdr:rowOff>85153</xdr:rowOff>
    </xdr:from>
    <xdr:to>
      <xdr:col>5</xdr:col>
      <xdr:colOff>1767840</xdr:colOff>
      <xdr:row>6</xdr:row>
      <xdr:rowOff>326174</xdr:rowOff>
    </xdr:to>
    <xdr:sp macro="[0]!NavBar" textlink="">
      <xdr:nvSpPr>
        <xdr:cNvPr id="11" name="BtnConsolidation">
          <a:extLst>
            <a:ext uri="{FF2B5EF4-FFF2-40B4-BE49-F238E27FC236}">
              <a16:creationId xmlns:a16="http://schemas.microsoft.com/office/drawing/2014/main" id="{00000000-0008-0000-0100-00000B000000}"/>
            </a:ext>
          </a:extLst>
        </xdr:cNvPr>
        <xdr:cNvSpPr/>
      </xdr:nvSpPr>
      <xdr:spPr>
        <a:xfrm>
          <a:off x="7686711" y="930973"/>
          <a:ext cx="1609689"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Tests de Consolidation</a:t>
          </a:r>
        </a:p>
      </xdr:txBody>
    </xdr:sp>
    <xdr:clientData/>
  </xdr:twoCellAnchor>
  <mc:AlternateContent xmlns:mc="http://schemas.openxmlformats.org/markup-compatibility/2006">
    <mc:Choice xmlns:a14="http://schemas.microsoft.com/office/drawing/2010/main" Requires="a14">
      <xdr:twoCellAnchor editAs="oneCell">
        <xdr:from>
          <xdr:col>9</xdr:col>
          <xdr:colOff>914400</xdr:colOff>
          <xdr:row>6</xdr:row>
          <xdr:rowOff>99060</xdr:rowOff>
        </xdr:from>
        <xdr:to>
          <xdr:col>11</xdr:col>
          <xdr:colOff>784860</xdr:colOff>
          <xdr:row>6</xdr:row>
          <xdr:rowOff>304800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7621</xdr:rowOff>
    </xdr:from>
    <xdr:to>
      <xdr:col>3</xdr:col>
      <xdr:colOff>769620</xdr:colOff>
      <xdr:row>5</xdr:row>
      <xdr:rowOff>29473</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9061"/>
          <a:ext cx="2644140" cy="524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617220</xdr:colOff>
      <xdr:row>7</xdr:row>
      <xdr:rowOff>60960</xdr:rowOff>
    </xdr:from>
    <xdr:to>
      <xdr:col>4</xdr:col>
      <xdr:colOff>2225040</xdr:colOff>
      <xdr:row>15</xdr:row>
      <xdr:rowOff>160020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2491740" y="1310640"/>
          <a:ext cx="2804160" cy="1600200"/>
          <a:chOff x="6256020" y="-83820"/>
          <a:chExt cx="2804160" cy="1600200"/>
        </a:xfrm>
        <a:noFill/>
      </xdr:grpSpPr>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6256020" y="-83820"/>
          <a:ext cx="2804160" cy="1600200"/>
        </xdr:xfrm>
        <a:graphic>
          <a:graphicData uri="http://schemas.openxmlformats.org/drawingml/2006/chart">
            <c:chart xmlns:c="http://schemas.openxmlformats.org/drawingml/2006/chart" xmlns:r="http://schemas.openxmlformats.org/officeDocument/2006/relationships" r:id="rId2"/>
          </a:graphicData>
        </a:graphic>
      </xdr:graphicFrame>
      <xdr:sp macro="" textlink="Backend!$C$21">
        <xdr:nvSpPr>
          <xdr:cNvPr id="5" name="TextBox 4">
            <a:extLst>
              <a:ext uri="{FF2B5EF4-FFF2-40B4-BE49-F238E27FC236}">
                <a16:creationId xmlns:a16="http://schemas.microsoft.com/office/drawing/2014/main" id="{00000000-0008-0000-0200-000005000000}"/>
              </a:ext>
            </a:extLst>
          </xdr:cNvPr>
          <xdr:cNvSpPr txBox="1"/>
        </xdr:nvSpPr>
        <xdr:spPr>
          <a:xfrm>
            <a:off x="7292340" y="472440"/>
            <a:ext cx="784860" cy="2819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20BDF49-1CEA-4D45-B2EE-DEF96B1DFA28}" type="TxLink">
              <a:rPr lang="en-US" sz="1800" b="1" i="0" u="none" strike="noStrike">
                <a:solidFill>
                  <a:schemeClr val="accent6"/>
                </a:solidFill>
                <a:latin typeface="Impact" panose="020B0806030902050204" pitchFamily="34" charset="0"/>
                <a:ea typeface="Calibri"/>
                <a:cs typeface="Calibri"/>
              </a:rPr>
              <a:pPr algn="ctr"/>
              <a:t>100%</a:t>
            </a:fld>
            <a:endParaRPr lang="en-US" sz="3200" b="1" i="0" u="none" strike="noStrike">
              <a:solidFill>
                <a:schemeClr val="accent6"/>
              </a:solidFill>
              <a:latin typeface="Impact" panose="020B0806030902050204" pitchFamily="34" charset="0"/>
              <a:ea typeface="Calibri"/>
              <a:cs typeface="Calibri"/>
            </a:endParaRPr>
          </a:p>
        </xdr:txBody>
      </xdr:sp>
    </xdr:grpSp>
    <xdr:clientData/>
  </xdr:twoCellAnchor>
  <xdr:twoCellAnchor editAs="absolute">
    <xdr:from>
      <xdr:col>4</xdr:col>
      <xdr:colOff>1104900</xdr:colOff>
      <xdr:row>6</xdr:row>
      <xdr:rowOff>83820</xdr:rowOff>
    </xdr:from>
    <xdr:to>
      <xdr:col>4</xdr:col>
      <xdr:colOff>2645725</xdr:colOff>
      <xdr:row>6</xdr:row>
      <xdr:rowOff>324841</xdr:rowOff>
    </xdr:to>
    <xdr:sp macro="" textlink="">
      <xdr:nvSpPr>
        <xdr:cNvPr id="7" name="BtnGuide">
          <a:hlinkClick xmlns:r="http://schemas.openxmlformats.org/officeDocument/2006/relationships" r:id="rId3"/>
          <a:extLst>
            <a:ext uri="{FF2B5EF4-FFF2-40B4-BE49-F238E27FC236}">
              <a16:creationId xmlns:a16="http://schemas.microsoft.com/office/drawing/2014/main" id="{00000000-0008-0000-0200-000007000000}"/>
            </a:ext>
          </a:extLst>
        </xdr:cNvPr>
        <xdr:cNvSpPr/>
      </xdr:nvSpPr>
      <xdr:spPr>
        <a:xfrm>
          <a:off x="4175760" y="9296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2739705</xdr:colOff>
      <xdr:row>6</xdr:row>
      <xdr:rowOff>86858</xdr:rowOff>
    </xdr:from>
    <xdr:to>
      <xdr:col>6</xdr:col>
      <xdr:colOff>51028</xdr:colOff>
      <xdr:row>6</xdr:row>
      <xdr:rowOff>327879</xdr:rowOff>
    </xdr:to>
    <xdr:sp macro="[0]!NavBar" textlink="">
      <xdr:nvSpPr>
        <xdr:cNvPr id="8" name="BtnIntegration">
          <a:extLst>
            <a:ext uri="{FF2B5EF4-FFF2-40B4-BE49-F238E27FC236}">
              <a16:creationId xmlns:a16="http://schemas.microsoft.com/office/drawing/2014/main" id="{00000000-0008-0000-0200-000008000000}"/>
            </a:ext>
          </a:extLst>
        </xdr:cNvPr>
        <xdr:cNvSpPr/>
      </xdr:nvSpPr>
      <xdr:spPr>
        <a:xfrm>
          <a:off x="5810565" y="932678"/>
          <a:ext cx="1769023"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100" b="0">
              <a:solidFill>
                <a:schemeClr val="lt1"/>
              </a:solidFill>
              <a:effectLst/>
              <a:latin typeface="+mn-lt"/>
              <a:ea typeface="+mn-ea"/>
              <a:cs typeface="+mn-cs"/>
            </a:rPr>
            <a:t>Tests d'Intégration</a:t>
          </a:r>
          <a:endParaRPr lang="en-US" sz="1050">
            <a:effectLst/>
          </a:endParaRPr>
        </a:p>
      </xdr:txBody>
    </xdr:sp>
    <xdr:clientData/>
  </xdr:twoCellAnchor>
  <xdr:twoCellAnchor editAs="absolute">
    <xdr:from>
      <xdr:col>6</xdr:col>
      <xdr:colOff>158151</xdr:colOff>
      <xdr:row>6</xdr:row>
      <xdr:rowOff>85153</xdr:rowOff>
    </xdr:from>
    <xdr:to>
      <xdr:col>7</xdr:col>
      <xdr:colOff>723900</xdr:colOff>
      <xdr:row>6</xdr:row>
      <xdr:rowOff>326174</xdr:rowOff>
    </xdr:to>
    <xdr:sp macro="[0]!NavBar" textlink="">
      <xdr:nvSpPr>
        <xdr:cNvPr id="9" name="BtnConsolidation">
          <a:extLst>
            <a:ext uri="{FF2B5EF4-FFF2-40B4-BE49-F238E27FC236}">
              <a16:creationId xmlns:a16="http://schemas.microsoft.com/office/drawing/2014/main" id="{00000000-0008-0000-0200-000009000000}"/>
            </a:ext>
          </a:extLst>
        </xdr:cNvPr>
        <xdr:cNvSpPr/>
      </xdr:nvSpPr>
      <xdr:spPr>
        <a:xfrm>
          <a:off x="7686711" y="930973"/>
          <a:ext cx="1609689"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Tests de Consolidation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AB13EE-1A90-490C-98C5-3D96F0B389FE}" name="TabIntegration" displayName="TabIntegration" ref="A17:O204" totalsRowShown="0" headerRowDxfId="46" dataDxfId="44" headerRowBorderDxfId="45" tableBorderDxfId="43" totalsRowBorderDxfId="42">
  <autoFilter ref="A17:O204" xr:uid="{E2AB13EE-1A90-490C-98C5-3D96F0B389F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5" xr3:uid="{5CD419DC-1F27-40CC-B380-39B02E44BD46}" name="isFull" dataDxfId="41">
      <calculatedColumnFormula>IF(COUNTA(H18,I18,L18), 1,0)</calculatedColumnFormula>
    </tableColumn>
    <tableColumn id="14" xr3:uid="{4B257989-3BF4-454E-BE0D-811C119D58AD}" name="N" dataDxfId="40">
      <calculatedColumnFormula>ROW()-ROW(TabConsolidation[[#Headers],[N]])</calculatedColumnFormula>
    </tableColumn>
    <tableColumn id="1" xr3:uid="{09C997C6-1177-4145-9CCB-3AD620C31784}" name="Livrables du projet" dataDxfId="39"/>
    <tableColumn id="2" xr3:uid="{FA294B27-7E9E-4CB9-874D-B99DA3009094}" name="Thème" dataDxfId="38"/>
    <tableColumn id="3" xr3:uid="{D671EFDA-3912-4254-A3D2-C2DDF83822B1}" name="Scénario" dataDxfId="37"/>
    <tableColumn id="4" xr3:uid="{6B47F0E9-8C8B-4821-A5DC-0707C615AE6A}" name="Résultat attendu" dataDxfId="36"/>
    <tableColumn id="17" xr3:uid="{6BAD394A-5A9C-47A1-8046-A8B8B3346AF7}" name="Date de Test" dataDxfId="35"/>
    <tableColumn id="5" xr3:uid="{0EE8EC34-A5B0-429D-8DD6-3F3DCC6D34D9}" name="Conforme" dataDxfId="34"/>
    <tableColumn id="6" xr3:uid="{DD0EBACA-9E39-4476-B9D4-1C2041995FE4}" name="Non conforme" dataDxfId="33"/>
    <tableColumn id="7" xr3:uid="{4839BC06-2E86-4E90-B9AF-A66511C02FB2}" name="EN COURS" dataDxfId="32"/>
    <tableColumn id="8" xr3:uid="{ACB42BB9-A3FA-48D4-B01F-4D21E6AF5AA0}" name="EN ATTENTE" dataDxfId="31"/>
    <tableColumn id="9" xr3:uid="{0DFB4D6C-787B-4543-9A9C-6A30EBD9BAD1}" name="PAS APPLICABLE" dataDxfId="30"/>
    <tableColumn id="10" xr3:uid="{B66A43AE-6C3B-43FD-A715-C3E1FD6B86CE}" name="Anomalie" dataDxfId="29"/>
    <tableColumn id="11" xr3:uid="{0988FB2B-40C6-4868-809A-995EED2E3A4F}" name="Correction" dataDxfId="28"/>
    <tableColumn id="12" xr3:uid="{AE979E35-EC9D-4E83-A586-9F95FB44A095}" name="Date de correction" dataDxfId="27"/>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A6A368-A558-471C-B2FA-4CDF6A6B5A03}" name="TabConsolidation" displayName="TabConsolidation" ref="A17:O204" totalsRowShown="0" headerRowDxfId="26" dataDxfId="24" headerRowBorderDxfId="25" tableBorderDxfId="23" totalsRowBorderDxfId="22">
  <autoFilter ref="A17:O204" xr:uid="{E2AB13EE-1A90-490C-98C5-3D96F0B389F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6" xr3:uid="{0D119E88-5918-4D4D-988B-E26DE0845595}" name="isFull" dataDxfId="21">
      <calculatedColumnFormula>IF(COUNTA(H18,I18,L18), 1,0)</calculatedColumnFormula>
    </tableColumn>
    <tableColumn id="15" xr3:uid="{6815BD78-1068-4804-A96A-4BFB727D3285}" name="N" dataDxfId="20">
      <calculatedColumnFormula>ROW()-ROW(TabConsolidation[[#Headers],[N]])</calculatedColumnFormula>
    </tableColumn>
    <tableColumn id="1" xr3:uid="{AA11BEA5-5658-4DDC-B76D-0E0BBFB1C9A0}" name="Livrables du projet" dataDxfId="19"/>
    <tableColumn id="2" xr3:uid="{36A53490-06AA-4300-AF1D-796314AF9D75}" name="Thème" dataDxfId="18"/>
    <tableColumn id="3" xr3:uid="{A5C8A853-9360-4087-964E-21A0BB0E65D3}" name="Scénario" dataDxfId="17"/>
    <tableColumn id="4" xr3:uid="{6F7A29E0-F5A6-4D2D-AF4C-FE0D27AACDBA}" name="Résultat attendu" dataDxfId="16"/>
    <tableColumn id="18" xr3:uid="{4ADADE6B-8779-4701-8B34-0DB29F90C015}" name="Date de Test" dataDxfId="15"/>
    <tableColumn id="5" xr3:uid="{A9BCE0D1-D782-45E6-A77B-F592D6672F61}" name="Conforme" dataDxfId="14"/>
    <tableColumn id="6" xr3:uid="{82DF6533-0C6D-43AD-915B-33A7CE72169C}" name="Non conforme" dataDxfId="13"/>
    <tableColumn id="7" xr3:uid="{B5E673A6-3167-45A0-8EF2-3FD57ED2982A}" name="EN COURS" dataDxfId="12"/>
    <tableColumn id="8" xr3:uid="{4CD9D282-26F0-4D94-BFCC-9523FE60C4DB}" name="EN ATTENTE" dataDxfId="11"/>
    <tableColumn id="9" xr3:uid="{2F823F00-0C7E-496E-8498-0F93DD8DAB15}" name="PAS APPLICABLE" dataDxfId="10"/>
    <tableColumn id="10" xr3:uid="{D814A3DA-1FEE-4E76-8734-F1BBEDF8FDBF}" name="Anomalie" dataDxfId="9"/>
    <tableColumn id="11" xr3:uid="{893EC17E-214E-44A5-98E3-D61C402138BB}" name="Correction" dataDxfId="8"/>
    <tableColumn id="12" xr3:uid="{ABEE24C1-10C3-454A-9623-CE27C51A1AE8}" name="Date de correction" dataDxfId="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5965F9-D4BD-446C-9AF4-6EDC6EB7AFE8}" name="TabLangue" displayName="TabLangue" ref="A1:B205" totalsRowShown="0" headerRowDxfId="3" dataDxfId="2">
  <autoFilter ref="A1:B205" xr:uid="{755965F9-D4BD-446C-9AF4-6EDC6EB7AFE8}"/>
  <sortState xmlns:xlrd2="http://schemas.microsoft.com/office/spreadsheetml/2017/richdata2" ref="A2:B2">
    <sortCondition ref="A1:A2"/>
  </sortState>
  <tableColumns count="2">
    <tableColumn id="1" xr3:uid="{DA092485-FCC7-4640-A720-90C301B47B9F}" name="Français" dataDxfId="1"/>
    <tableColumn id="2" xr3:uid="{7D0361F3-F290-4155-AD7F-8D5BBFA1CB2A}" name="Anglais" dataDxfId="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498E82-C648-48FD-BF09-5DE0A2F9A233}" name="TabLang" displayName="TabLang" ref="F1:F3" totalsRowShown="0">
  <autoFilter ref="F1:F3" xr:uid="{43498E82-C648-48FD-BF09-5DE0A2F9A233}"/>
  <tableColumns count="1">
    <tableColumn id="1" xr3:uid="{EF323B39-CC91-4474-9188-5F5C989488AF}" name="Lang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86C5AD-8ABE-4110-A029-ABC4DBC728B3}" name="TabYesNo" displayName="TabYesNo" ref="H1:H3" totalsRowShown="0">
  <autoFilter ref="H1:H3" xr:uid="{5886C5AD-8ABE-4110-A029-ABC4DBC728B3}"/>
  <tableColumns count="1">
    <tableColumn id="1" xr3:uid="{5CF154F1-9173-493B-8128-A4BCDBE8E799}"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Guide">
    <tabColor rgb="FF0070C0"/>
  </sheetPr>
  <dimension ref="A1:R57"/>
  <sheetViews>
    <sheetView showGridLines="0" workbookViewId="0">
      <selection activeCell="G19" sqref="G19"/>
    </sheetView>
  </sheetViews>
  <sheetFormatPr defaultColWidth="11.44140625" defaultRowHeight="14.4" x14ac:dyDescent="0.3"/>
  <cols>
    <col min="1" max="1" width="14.33203125" style="18" customWidth="1"/>
    <col min="2" max="2" width="33" style="18" customWidth="1"/>
    <col min="3" max="3" width="17.88671875" style="18" customWidth="1"/>
    <col min="4" max="4" width="11.44140625" style="18"/>
    <col min="5" max="5" width="16.5546875" style="18" customWidth="1"/>
    <col min="6" max="6" width="11.44140625" style="18"/>
    <col min="7" max="7" width="13.33203125" style="18" customWidth="1"/>
    <col min="8" max="8" width="13.6640625" style="18" customWidth="1"/>
    <col min="9" max="9" width="12" style="18" customWidth="1"/>
    <col min="10" max="13" width="11.44140625" style="18"/>
    <col min="14" max="14" width="13.6640625" style="18" customWidth="1"/>
    <col min="15" max="16384" width="11.44140625" style="18"/>
  </cols>
  <sheetData>
    <row r="1" spans="1:16" customFormat="1" ht="7.2" customHeight="1" x14ac:dyDescent="0.3">
      <c r="B1" s="2"/>
      <c r="C1" s="11"/>
    </row>
    <row r="2" spans="1:16" customFormat="1" ht="19.95" customHeight="1" x14ac:dyDescent="0.3">
      <c r="B2" s="2"/>
      <c r="C2" s="24" t="s">
        <v>35</v>
      </c>
      <c r="D2" s="129" t="s">
        <v>236</v>
      </c>
      <c r="E2" s="129"/>
      <c r="G2" s="130" t="s">
        <v>37</v>
      </c>
      <c r="H2" s="131"/>
      <c r="I2" s="129" t="s">
        <v>237</v>
      </c>
      <c r="J2" s="129"/>
      <c r="L2" s="25" t="s">
        <v>461</v>
      </c>
      <c r="M2" s="25"/>
      <c r="N2" s="26">
        <v>44893</v>
      </c>
    </row>
    <row r="3" spans="1:16" customFormat="1" ht="14.4" hidden="1" customHeight="1" x14ac:dyDescent="0.3">
      <c r="B3" s="2"/>
      <c r="C3" s="27"/>
      <c r="D3" s="28"/>
      <c r="E3" s="28"/>
      <c r="G3" s="100"/>
      <c r="H3" s="100"/>
      <c r="I3" s="29"/>
      <c r="J3" s="29"/>
      <c r="L3" s="18"/>
      <c r="N3" s="30"/>
    </row>
    <row r="4" spans="1:16" customFormat="1" ht="19.95" customHeight="1" x14ac:dyDescent="0.3">
      <c r="B4" s="2"/>
      <c r="C4" s="24" t="s">
        <v>36</v>
      </c>
      <c r="D4" s="129" t="s">
        <v>250</v>
      </c>
      <c r="E4" s="129"/>
      <c r="G4" s="130" t="s">
        <v>39</v>
      </c>
      <c r="H4" s="131"/>
      <c r="I4" s="129" t="s">
        <v>40</v>
      </c>
      <c r="J4" s="129"/>
      <c r="L4" s="25" t="s">
        <v>462</v>
      </c>
      <c r="M4" s="25"/>
      <c r="N4" s="26"/>
    </row>
    <row r="5" spans="1:16" customFormat="1" ht="14.4" hidden="1" customHeight="1" x14ac:dyDescent="0.3">
      <c r="L5" s="18"/>
      <c r="N5" s="30"/>
    </row>
    <row r="6" spans="1:16" customFormat="1" ht="19.95" customHeight="1" thickBot="1" x14ac:dyDescent="0.35">
      <c r="L6" s="31" t="s">
        <v>38</v>
      </c>
      <c r="M6" s="31"/>
      <c r="N6" s="32" t="s">
        <v>239</v>
      </c>
    </row>
    <row r="7" spans="1:16" customFormat="1" ht="31.95" customHeight="1" thickTop="1" thickBot="1" x14ac:dyDescent="0.35">
      <c r="A7" s="33" t="s">
        <v>248</v>
      </c>
      <c r="B7" s="33"/>
      <c r="C7" s="33"/>
      <c r="D7" s="33"/>
      <c r="E7" s="33"/>
      <c r="F7" s="33"/>
      <c r="G7" s="33"/>
      <c r="H7" s="33"/>
      <c r="I7" s="33"/>
      <c r="J7" s="33"/>
      <c r="K7" s="33"/>
      <c r="L7" s="33"/>
      <c r="M7" s="33"/>
      <c r="N7" s="33"/>
      <c r="O7" s="33"/>
      <c r="P7" s="33"/>
    </row>
    <row r="8" spans="1:16" ht="15" thickTop="1" x14ac:dyDescent="0.3"/>
    <row r="14" spans="1:16" ht="21" x14ac:dyDescent="0.4">
      <c r="B14" s="20" t="s">
        <v>202</v>
      </c>
    </row>
    <row r="16" spans="1:16" x14ac:dyDescent="0.3">
      <c r="B16" s="14"/>
    </row>
    <row r="17" spans="2:18" x14ac:dyDescent="0.3">
      <c r="B17" s="14"/>
    </row>
    <row r="18" spans="2:18" x14ac:dyDescent="0.3">
      <c r="B18" s="14"/>
    </row>
    <row r="19" spans="2:18" x14ac:dyDescent="0.3">
      <c r="B19" s="14"/>
    </row>
    <row r="20" spans="2:18" x14ac:dyDescent="0.3">
      <c r="B20" s="14"/>
    </row>
    <row r="21" spans="2:18" x14ac:dyDescent="0.3">
      <c r="B21" s="14"/>
    </row>
    <row r="22" spans="2:18" x14ac:dyDescent="0.3">
      <c r="B22" s="14"/>
    </row>
    <row r="23" spans="2:18" x14ac:dyDescent="0.3">
      <c r="B23" s="14"/>
    </row>
    <row r="24" spans="2:18" x14ac:dyDescent="0.3">
      <c r="B24" s="14"/>
    </row>
    <row r="25" spans="2:18" ht="21" x14ac:dyDescent="0.3">
      <c r="B25" s="127" t="s">
        <v>228</v>
      </c>
      <c r="C25" s="127"/>
      <c r="D25" s="127"/>
      <c r="E25" s="127"/>
      <c r="F25" s="127"/>
      <c r="G25" s="127"/>
      <c r="H25" s="127"/>
      <c r="I25" s="127"/>
      <c r="J25" s="127"/>
      <c r="K25" s="127"/>
      <c r="L25" s="127"/>
      <c r="M25" s="127"/>
      <c r="N25" s="127"/>
      <c r="O25" s="127"/>
      <c r="P25" s="127"/>
    </row>
    <row r="26" spans="2:18" ht="15.6" x14ac:dyDescent="0.3">
      <c r="B26" s="16" t="s">
        <v>203</v>
      </c>
      <c r="C26" s="15"/>
      <c r="D26" s="15"/>
      <c r="E26" s="15"/>
      <c r="F26" s="15"/>
    </row>
    <row r="27" spans="2:18" ht="15.6" x14ac:dyDescent="0.3">
      <c r="B27" s="15" t="s">
        <v>229</v>
      </c>
      <c r="C27" s="15"/>
      <c r="D27" s="15"/>
      <c r="E27" s="15"/>
      <c r="F27" s="15"/>
    </row>
    <row r="28" spans="2:18" ht="15.6" x14ac:dyDescent="0.3">
      <c r="B28" s="16" t="s">
        <v>204</v>
      </c>
      <c r="C28" s="21" t="s">
        <v>232</v>
      </c>
      <c r="D28" s="15"/>
      <c r="E28" s="15"/>
      <c r="F28" s="15"/>
    </row>
    <row r="29" spans="2:18" ht="15.6" x14ac:dyDescent="0.3">
      <c r="B29" s="16" t="s">
        <v>205</v>
      </c>
      <c r="C29" s="15" t="s">
        <v>216</v>
      </c>
      <c r="D29" s="15"/>
      <c r="E29" s="15"/>
      <c r="F29" s="15"/>
    </row>
    <row r="30" spans="2:18" ht="15.6" x14ac:dyDescent="0.3">
      <c r="B30" s="16" t="s">
        <v>206</v>
      </c>
      <c r="C30" s="128" t="s">
        <v>225</v>
      </c>
      <c r="D30" s="128"/>
      <c r="E30" s="128"/>
      <c r="F30" s="128"/>
      <c r="G30" s="128"/>
      <c r="H30" s="128"/>
      <c r="I30" s="128"/>
      <c r="J30" s="128"/>
      <c r="K30" s="128"/>
      <c r="L30" s="128"/>
      <c r="M30" s="128"/>
      <c r="N30" s="128"/>
      <c r="O30" s="128"/>
      <c r="P30" s="128"/>
      <c r="Q30" s="128"/>
      <c r="R30" s="128"/>
    </row>
    <row r="31" spans="2:18" ht="15.6" x14ac:dyDescent="0.3">
      <c r="B31" s="16" t="s">
        <v>207</v>
      </c>
      <c r="C31" s="126" t="s">
        <v>220</v>
      </c>
      <c r="D31" s="126"/>
      <c r="E31" s="126"/>
      <c r="F31" s="126"/>
      <c r="G31" s="126"/>
      <c r="H31" s="126"/>
      <c r="I31" s="126"/>
      <c r="J31" s="126"/>
      <c r="K31" s="126"/>
      <c r="L31" s="126"/>
      <c r="M31" s="126"/>
      <c r="N31" s="126"/>
      <c r="O31" s="126"/>
      <c r="P31" s="126"/>
      <c r="Q31" s="22"/>
      <c r="R31" s="22"/>
    </row>
    <row r="32" spans="2:18" ht="15.6" x14ac:dyDescent="0.3">
      <c r="B32" s="16" t="s">
        <v>208</v>
      </c>
      <c r="C32" s="126" t="s">
        <v>226</v>
      </c>
      <c r="D32" s="126"/>
      <c r="E32" s="126"/>
      <c r="F32" s="126"/>
      <c r="G32" s="126"/>
      <c r="H32" s="126"/>
      <c r="I32" s="126"/>
      <c r="J32" s="126"/>
      <c r="K32" s="126"/>
      <c r="L32" s="126"/>
      <c r="M32" s="126"/>
      <c r="N32" s="126"/>
      <c r="O32" s="126"/>
      <c r="P32" s="126"/>
      <c r="Q32" s="22"/>
      <c r="R32" s="22"/>
    </row>
    <row r="33" spans="2:18" ht="15.6" x14ac:dyDescent="0.3">
      <c r="B33" s="17" t="s">
        <v>209</v>
      </c>
      <c r="C33" s="126" t="s">
        <v>227</v>
      </c>
      <c r="D33" s="126"/>
      <c r="E33" s="126"/>
      <c r="F33" s="126"/>
      <c r="G33" s="126"/>
      <c r="H33" s="126"/>
      <c r="I33" s="126"/>
      <c r="J33" s="126"/>
      <c r="K33" s="126"/>
      <c r="L33" s="126"/>
      <c r="M33" s="126"/>
      <c r="N33" s="126"/>
      <c r="O33" s="126"/>
      <c r="P33" s="126"/>
      <c r="Q33" s="22"/>
      <c r="R33" s="22"/>
    </row>
    <row r="34" spans="2:18" ht="15.6" x14ac:dyDescent="0.3">
      <c r="B34" s="16" t="s">
        <v>210</v>
      </c>
      <c r="C34" s="126" t="s">
        <v>221</v>
      </c>
      <c r="D34" s="126"/>
      <c r="E34" s="126"/>
      <c r="F34" s="126"/>
      <c r="G34" s="126"/>
      <c r="H34" s="126"/>
      <c r="I34" s="126"/>
      <c r="J34" s="126"/>
      <c r="K34" s="126"/>
      <c r="L34" s="126"/>
      <c r="M34" s="126"/>
      <c r="N34" s="126"/>
      <c r="O34" s="126"/>
      <c r="P34" s="126"/>
      <c r="Q34" s="22"/>
      <c r="R34" s="22"/>
    </row>
    <row r="35" spans="2:18" ht="15.6" x14ac:dyDescent="0.3">
      <c r="B35" s="16" t="s">
        <v>211</v>
      </c>
      <c r="C35" s="126" t="s">
        <v>222</v>
      </c>
      <c r="D35" s="126"/>
      <c r="E35" s="126"/>
      <c r="F35" s="126"/>
      <c r="G35" s="126"/>
      <c r="H35" s="126"/>
      <c r="I35" s="126"/>
      <c r="J35" s="126"/>
      <c r="K35" s="126"/>
      <c r="L35" s="126"/>
      <c r="M35" s="126"/>
      <c r="N35" s="126"/>
      <c r="O35" s="126"/>
      <c r="P35" s="126"/>
      <c r="Q35" s="22"/>
      <c r="R35" s="22"/>
    </row>
    <row r="36" spans="2:18" ht="15.6" x14ac:dyDescent="0.3">
      <c r="B36" s="16" t="s">
        <v>212</v>
      </c>
      <c r="C36" s="126" t="s">
        <v>223</v>
      </c>
      <c r="D36" s="126"/>
      <c r="E36" s="126"/>
      <c r="F36" s="126"/>
      <c r="G36" s="126"/>
      <c r="H36" s="126"/>
      <c r="I36" s="126"/>
      <c r="J36" s="126"/>
      <c r="K36" s="126"/>
      <c r="L36" s="126"/>
      <c r="M36" s="126"/>
      <c r="N36" s="126"/>
      <c r="O36" s="126"/>
      <c r="P36" s="126"/>
      <c r="Q36" s="22"/>
      <c r="R36" s="22"/>
    </row>
    <row r="37" spans="2:18" ht="15.6" x14ac:dyDescent="0.3">
      <c r="B37" s="16" t="s">
        <v>213</v>
      </c>
      <c r="C37" s="21" t="s">
        <v>234</v>
      </c>
      <c r="D37" s="22"/>
      <c r="E37" s="22"/>
      <c r="F37" s="22"/>
      <c r="G37" s="22"/>
      <c r="H37" s="22"/>
      <c r="I37" s="22"/>
      <c r="J37" s="22"/>
      <c r="K37" s="22"/>
      <c r="L37" s="22"/>
      <c r="M37" s="22"/>
      <c r="N37" s="22"/>
      <c r="O37" s="22"/>
      <c r="P37" s="22"/>
      <c r="Q37" s="22"/>
      <c r="R37" s="22"/>
    </row>
    <row r="38" spans="2:18" ht="15.6" x14ac:dyDescent="0.3">
      <c r="B38" s="16" t="s">
        <v>214</v>
      </c>
      <c r="C38" s="21" t="s">
        <v>224</v>
      </c>
      <c r="D38" s="22"/>
      <c r="E38" s="22"/>
      <c r="F38" s="22"/>
      <c r="G38" s="22"/>
      <c r="H38" s="22"/>
      <c r="I38" s="22"/>
      <c r="J38" s="22"/>
      <c r="K38" s="22"/>
      <c r="L38" s="22"/>
      <c r="M38" s="22"/>
      <c r="N38" s="22"/>
      <c r="O38" s="22"/>
      <c r="P38" s="22"/>
      <c r="Q38" s="22"/>
      <c r="R38" s="22"/>
    </row>
    <row r="39" spans="2:18" ht="15.6" x14ac:dyDescent="0.3">
      <c r="B39" s="16" t="s">
        <v>215</v>
      </c>
      <c r="C39" s="126" t="s">
        <v>230</v>
      </c>
      <c r="D39" s="126"/>
      <c r="E39" s="126"/>
      <c r="F39" s="126"/>
      <c r="G39" s="126"/>
      <c r="H39" s="126"/>
      <c r="I39" s="126"/>
      <c r="J39" s="126"/>
      <c r="K39" s="126"/>
      <c r="L39" s="126"/>
      <c r="M39" s="126"/>
      <c r="N39" s="126"/>
      <c r="O39" s="126"/>
      <c r="P39" s="126"/>
      <c r="Q39" s="22"/>
      <c r="R39" s="22"/>
    </row>
    <row r="40" spans="2:18" ht="15.6" x14ac:dyDescent="0.3">
      <c r="B40" s="16"/>
      <c r="C40" s="23"/>
      <c r="D40" s="23"/>
      <c r="E40" s="23"/>
      <c r="F40" s="23"/>
      <c r="G40" s="23"/>
      <c r="H40" s="23"/>
      <c r="I40" s="23"/>
      <c r="J40" s="23"/>
      <c r="K40" s="23"/>
      <c r="L40" s="23"/>
      <c r="M40" s="23"/>
      <c r="N40" s="23"/>
      <c r="O40" s="23"/>
      <c r="P40" s="23"/>
      <c r="Q40" s="22"/>
      <c r="R40" s="22"/>
    </row>
    <row r="41" spans="2:18" ht="66.599999999999994" customHeight="1" x14ac:dyDescent="0.3">
      <c r="B41" s="19" t="s">
        <v>219</v>
      </c>
      <c r="C41" s="126" t="s">
        <v>233</v>
      </c>
      <c r="D41" s="126"/>
      <c r="E41" s="126"/>
      <c r="F41" s="126"/>
      <c r="G41" s="126"/>
      <c r="H41" s="126"/>
      <c r="I41" s="126"/>
      <c r="J41" s="126"/>
      <c r="K41" s="126"/>
      <c r="L41" s="126"/>
      <c r="M41" s="126"/>
      <c r="N41" s="126"/>
      <c r="O41" s="126"/>
      <c r="P41" s="126"/>
      <c r="Q41" s="22"/>
      <c r="R41" s="22"/>
    </row>
    <row r="42" spans="2:18" ht="15.6" x14ac:dyDescent="0.3">
      <c r="B42" s="16"/>
      <c r="C42" s="23"/>
      <c r="D42" s="23"/>
      <c r="E42" s="23"/>
      <c r="F42" s="23"/>
      <c r="G42" s="23"/>
      <c r="H42" s="23"/>
      <c r="I42" s="23"/>
      <c r="J42" s="23"/>
      <c r="K42" s="23"/>
      <c r="L42" s="23"/>
      <c r="M42" s="23"/>
      <c r="N42" s="23"/>
      <c r="O42" s="23"/>
      <c r="P42" s="23"/>
      <c r="Q42" s="22"/>
      <c r="R42" s="22"/>
    </row>
    <row r="43" spans="2:18" ht="15.6" x14ac:dyDescent="0.3">
      <c r="B43" s="16"/>
      <c r="C43" s="23"/>
      <c r="D43" s="23"/>
      <c r="E43" s="23"/>
      <c r="F43" s="23"/>
      <c r="G43" s="23"/>
      <c r="H43" s="23"/>
      <c r="I43" s="23"/>
      <c r="J43" s="23"/>
      <c r="K43" s="23"/>
      <c r="L43" s="23"/>
      <c r="M43" s="23"/>
      <c r="N43" s="23"/>
      <c r="O43" s="23"/>
      <c r="P43" s="23"/>
      <c r="Q43" s="22"/>
      <c r="R43" s="22"/>
    </row>
    <row r="44" spans="2:18" ht="15.6" x14ac:dyDescent="0.3">
      <c r="B44" s="16"/>
      <c r="C44" s="23"/>
      <c r="D44" s="23"/>
      <c r="E44" s="23"/>
      <c r="F44" s="23"/>
      <c r="G44" s="23"/>
      <c r="H44" s="23"/>
      <c r="I44" s="23"/>
      <c r="J44" s="23"/>
      <c r="K44" s="23"/>
      <c r="L44" s="23"/>
      <c r="M44" s="23"/>
      <c r="N44" s="23"/>
      <c r="O44" s="23"/>
      <c r="P44" s="23"/>
      <c r="Q44" s="22"/>
      <c r="R44" s="22"/>
    </row>
    <row r="45" spans="2:18" ht="15.6" x14ac:dyDescent="0.3">
      <c r="B45" s="16"/>
      <c r="C45" s="23"/>
      <c r="D45" s="23"/>
      <c r="E45" s="23"/>
      <c r="F45" s="23"/>
      <c r="G45" s="23"/>
      <c r="H45" s="23"/>
      <c r="I45" s="23"/>
      <c r="J45" s="23"/>
      <c r="K45" s="23"/>
      <c r="L45" s="23"/>
      <c r="M45" s="23"/>
      <c r="N45" s="23"/>
      <c r="O45" s="23"/>
      <c r="P45" s="23"/>
      <c r="Q45" s="22"/>
      <c r="R45" s="22"/>
    </row>
    <row r="48" spans="2:18" ht="15.6" x14ac:dyDescent="0.3">
      <c r="B48" s="16" t="s">
        <v>217</v>
      </c>
    </row>
    <row r="49" spans="2:2" ht="15.6" x14ac:dyDescent="0.3">
      <c r="B49" s="15" t="s">
        <v>218</v>
      </c>
    </row>
    <row r="50" spans="2:2" ht="15.6" x14ac:dyDescent="0.3">
      <c r="B50" s="15"/>
    </row>
    <row r="51" spans="2:2" ht="15.6" x14ac:dyDescent="0.3">
      <c r="B51" s="16" t="s">
        <v>231</v>
      </c>
    </row>
    <row r="52" spans="2:2" ht="15.6" x14ac:dyDescent="0.3">
      <c r="B52" s="15" t="s">
        <v>235</v>
      </c>
    </row>
    <row r="54" spans="2:2" ht="15.6" x14ac:dyDescent="0.3">
      <c r="B54" s="15"/>
    </row>
    <row r="55" spans="2:2" ht="15.6" x14ac:dyDescent="0.3">
      <c r="B55" s="15"/>
    </row>
    <row r="56" spans="2:2" ht="15.6" x14ac:dyDescent="0.3">
      <c r="B56" s="15"/>
    </row>
    <row r="57" spans="2:2" ht="15.6" x14ac:dyDescent="0.3">
      <c r="B57" s="15"/>
    </row>
  </sheetData>
  <mergeCells count="16">
    <mergeCell ref="D2:E2"/>
    <mergeCell ref="G2:H2"/>
    <mergeCell ref="I2:J2"/>
    <mergeCell ref="D4:E4"/>
    <mergeCell ref="G4:H4"/>
    <mergeCell ref="I4:J4"/>
    <mergeCell ref="C36:P36"/>
    <mergeCell ref="C35:P35"/>
    <mergeCell ref="C39:P39"/>
    <mergeCell ref="C41:P41"/>
    <mergeCell ref="B25:P25"/>
    <mergeCell ref="C30:R30"/>
    <mergeCell ref="C31:P31"/>
    <mergeCell ref="C34:P34"/>
    <mergeCell ref="C32:P32"/>
    <mergeCell ref="C33:P3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Integration">
    <tabColor theme="5"/>
  </sheetPr>
  <dimension ref="A1:Q415"/>
  <sheetViews>
    <sheetView showGridLines="0" tabSelected="1" topLeftCell="C1" zoomScaleNormal="100" workbookViewId="0">
      <selection activeCell="C15" sqref="C15"/>
    </sheetView>
  </sheetViews>
  <sheetFormatPr defaultColWidth="0.109375" defaultRowHeight="14.4" x14ac:dyDescent="0.3"/>
  <cols>
    <col min="1" max="1" width="5.109375" style="114" hidden="1" customWidth="1"/>
    <col min="2" max="2" width="4" style="115" hidden="1" customWidth="1"/>
    <col min="3" max="3" width="37.6640625" bestFit="1" customWidth="1"/>
    <col min="4" max="4" width="25.6640625" style="2" bestFit="1" customWidth="1"/>
    <col min="5" max="5" width="46.33203125" style="11" bestFit="1" customWidth="1"/>
    <col min="6" max="6" width="30.6640625" bestFit="1" customWidth="1"/>
    <col min="7" max="7" width="11.33203125" bestFit="1" customWidth="1"/>
    <col min="8" max="8" width="9.6640625" customWidth="1"/>
    <col min="9" max="9" width="15.109375" bestFit="1" customWidth="1"/>
    <col min="10" max="10" width="12.33203125" bestFit="1" customWidth="1"/>
    <col min="11" max="11" width="11.5546875" customWidth="1"/>
    <col min="12" max="12" width="15.44140625" bestFit="1" customWidth="1"/>
    <col min="13" max="13" width="9" bestFit="1" customWidth="1"/>
    <col min="14" max="14" width="15.88671875" bestFit="1" customWidth="1"/>
    <col min="15" max="15" width="16.5546875" bestFit="1" customWidth="1"/>
    <col min="16" max="16" width="10.5546875" bestFit="1" customWidth="1"/>
  </cols>
  <sheetData>
    <row r="1" spans="1:16" ht="7.2" customHeight="1" x14ac:dyDescent="0.3"/>
    <row r="2" spans="1:16" ht="19.95" customHeight="1" x14ac:dyDescent="0.3">
      <c r="E2" s="24" t="s">
        <v>35</v>
      </c>
      <c r="F2" s="101" t="s">
        <v>236</v>
      </c>
      <c r="G2" s="24"/>
      <c r="H2" s="3"/>
      <c r="I2" s="132" t="s">
        <v>453</v>
      </c>
      <c r="J2" s="133"/>
      <c r="K2" s="129" t="s">
        <v>237</v>
      </c>
      <c r="L2" s="129"/>
      <c r="N2" s="25" t="s">
        <v>461</v>
      </c>
      <c r="O2" s="25"/>
      <c r="P2" s="26">
        <v>44893</v>
      </c>
    </row>
    <row r="3" spans="1:16" ht="14.4" hidden="1" customHeight="1" x14ac:dyDescent="0.3">
      <c r="E3" s="27"/>
      <c r="F3" s="28"/>
      <c r="G3" s="100"/>
      <c r="H3" s="3"/>
      <c r="I3" s="103"/>
      <c r="J3" s="103"/>
      <c r="K3" s="29"/>
      <c r="L3" s="29"/>
      <c r="N3" s="18"/>
      <c r="P3" s="30"/>
    </row>
    <row r="4" spans="1:16" ht="19.95" customHeight="1" x14ac:dyDescent="0.3">
      <c r="E4" s="24" t="s">
        <v>36</v>
      </c>
      <c r="F4" s="101" t="s">
        <v>238</v>
      </c>
      <c r="G4" s="24"/>
      <c r="H4" s="3"/>
      <c r="I4" s="132" t="s">
        <v>454</v>
      </c>
      <c r="J4" s="133"/>
      <c r="K4" s="129" t="s">
        <v>40</v>
      </c>
      <c r="L4" s="129"/>
      <c r="N4" s="25" t="s">
        <v>462</v>
      </c>
      <c r="O4" s="25"/>
      <c r="P4" s="26"/>
    </row>
    <row r="5" spans="1:16" ht="14.4" hidden="1" customHeight="1" x14ac:dyDescent="0.3">
      <c r="D5"/>
      <c r="E5"/>
      <c r="N5" s="18"/>
      <c r="P5" s="30"/>
    </row>
    <row r="6" spans="1:16" ht="19.95" customHeight="1" thickBot="1" x14ac:dyDescent="0.35">
      <c r="D6"/>
      <c r="E6"/>
      <c r="N6" s="31" t="s">
        <v>38</v>
      </c>
      <c r="O6" s="31"/>
      <c r="P6" s="32" t="s">
        <v>239</v>
      </c>
    </row>
    <row r="7" spans="1:16" ht="30.6" customHeight="1" thickTop="1" thickBot="1" x14ac:dyDescent="0.35">
      <c r="C7" s="33" t="s">
        <v>460</v>
      </c>
      <c r="D7" s="33"/>
      <c r="E7" s="33"/>
      <c r="F7" s="33"/>
      <c r="G7" s="33"/>
      <c r="H7" s="33"/>
      <c r="I7" s="33"/>
      <c r="J7" s="102" t="s">
        <v>258</v>
      </c>
      <c r="K7" s="33">
        <v>2</v>
      </c>
      <c r="L7" s="33"/>
      <c r="M7" s="33"/>
      <c r="N7" s="33"/>
      <c r="O7" s="33"/>
      <c r="P7" s="33"/>
    </row>
    <row r="8" spans="1:16" s="3" customFormat="1" ht="16.5" customHeight="1" thickTop="1" x14ac:dyDescent="0.3">
      <c r="A8" s="116"/>
      <c r="B8" s="117"/>
      <c r="D8" s="12"/>
      <c r="E8" s="9"/>
    </row>
    <row r="9" spans="1:16" s="3" customFormat="1" ht="5.0999999999999996" customHeight="1" x14ac:dyDescent="0.3">
      <c r="A9" s="116"/>
      <c r="B9" s="117"/>
      <c r="C9" s="4"/>
      <c r="D9" s="13"/>
      <c r="E9" s="9"/>
      <c r="K9" s="5"/>
      <c r="L9" s="5"/>
      <c r="M9" s="5"/>
    </row>
    <row r="10" spans="1:16" s="3" customFormat="1" ht="16.5" customHeight="1" x14ac:dyDescent="0.3">
      <c r="A10" s="116"/>
      <c r="B10" s="117"/>
      <c r="C10" s="6"/>
      <c r="D10" s="6"/>
      <c r="E10" s="9"/>
    </row>
    <row r="11" spans="1:16" ht="16.5" customHeight="1" x14ac:dyDescent="0.3">
      <c r="C11" s="7"/>
      <c r="D11" s="8"/>
      <c r="E11" s="10"/>
      <c r="H11" s="65">
        <f>COUNTA(TabIntegration[Conforme])</f>
        <v>173</v>
      </c>
      <c r="I11" s="70">
        <f>COUNTA(TabIntegration[Non conforme])</f>
        <v>8</v>
      </c>
      <c r="J11" s="75">
        <f>COUNTA(TabIntegration[EN COURS])</f>
        <v>1</v>
      </c>
      <c r="K11" s="80">
        <f>COUNTA(TabIntegration[EN ATTENTE])</f>
        <v>0</v>
      </c>
      <c r="L11" s="84">
        <f>COUNTA(TabIntegration[PAS APPLICABLE])</f>
        <v>3</v>
      </c>
    </row>
    <row r="12" spans="1:16" ht="16.5" customHeight="1" x14ac:dyDescent="0.3">
      <c r="C12" s="59"/>
      <c r="D12" s="60"/>
      <c r="E12" s="61"/>
      <c r="H12" s="66" t="str">
        <f>H17</f>
        <v>Conforme</v>
      </c>
      <c r="I12" s="71" t="str">
        <f>I17</f>
        <v>Non conforme</v>
      </c>
      <c r="J12" s="76" t="str">
        <f>J17</f>
        <v>EN COURS</v>
      </c>
      <c r="K12" s="81" t="str">
        <f>K17</f>
        <v>EN ATTENTE</v>
      </c>
      <c r="L12" s="85" t="str">
        <f>L17</f>
        <v>PAS APPLICABLE</v>
      </c>
    </row>
    <row r="13" spans="1:16" ht="16.5" customHeight="1" x14ac:dyDescent="0.3">
      <c r="C13" s="63"/>
      <c r="D13" s="64"/>
      <c r="E13"/>
      <c r="H13" s="67"/>
      <c r="I13" s="72"/>
      <c r="J13" s="77"/>
      <c r="K13" s="82"/>
      <c r="L13" s="86"/>
    </row>
    <row r="14" spans="1:16" ht="16.5" customHeight="1" x14ac:dyDescent="0.3">
      <c r="C14" s="63"/>
      <c r="D14" s="64"/>
      <c r="E14"/>
      <c r="H14" s="68" t="s">
        <v>34</v>
      </c>
      <c r="I14" s="73" t="s">
        <v>34</v>
      </c>
      <c r="J14" s="78" t="s">
        <v>34</v>
      </c>
      <c r="K14" s="82" t="s">
        <v>34</v>
      </c>
      <c r="L14" s="87" t="s">
        <v>34</v>
      </c>
    </row>
    <row r="15" spans="1:16" ht="16.5" customHeight="1" x14ac:dyDescent="0.3">
      <c r="C15" s="63"/>
      <c r="D15" s="62"/>
      <c r="E15"/>
      <c r="H15" s="69">
        <f>Backend!C4</f>
        <v>0.92513368983957223</v>
      </c>
      <c r="I15" s="74">
        <f>Backend!C5</f>
        <v>4.2780748663101602E-2</v>
      </c>
      <c r="J15" s="79">
        <f>Backend!C6</f>
        <v>5.3475935828877002E-3</v>
      </c>
      <c r="K15" s="83">
        <f>Backend!C7</f>
        <v>0</v>
      </c>
      <c r="L15" s="88">
        <f>Backend!C8</f>
        <v>1.6042780748663103E-2</v>
      </c>
      <c r="M15" s="2"/>
      <c r="N15" s="3"/>
      <c r="O15" s="3"/>
      <c r="P15" s="3"/>
    </row>
    <row r="16" spans="1:16" ht="21" customHeight="1" x14ac:dyDescent="0.3">
      <c r="C16" s="63"/>
      <c r="D16" s="64"/>
      <c r="E16"/>
      <c r="O16" s="3"/>
      <c r="P16" s="3"/>
    </row>
    <row r="17" spans="1:17" s="1" customFormat="1" ht="28.2" customHeight="1" x14ac:dyDescent="0.3">
      <c r="A17" s="118" t="s">
        <v>255</v>
      </c>
      <c r="B17" s="119" t="s">
        <v>254</v>
      </c>
      <c r="C17" s="48" t="s">
        <v>464</v>
      </c>
      <c r="D17" s="48" t="s">
        <v>465</v>
      </c>
      <c r="E17" s="48" t="s">
        <v>466</v>
      </c>
      <c r="F17" s="48" t="s">
        <v>467</v>
      </c>
      <c r="G17" s="48" t="s">
        <v>468</v>
      </c>
      <c r="H17" s="48" t="s">
        <v>251</v>
      </c>
      <c r="I17" s="48" t="s">
        <v>252</v>
      </c>
      <c r="J17" s="48" t="s">
        <v>0</v>
      </c>
      <c r="K17" s="48" t="s">
        <v>1</v>
      </c>
      <c r="L17" s="48" t="s">
        <v>2</v>
      </c>
      <c r="M17" s="48" t="s">
        <v>469</v>
      </c>
      <c r="N17" s="48" t="s">
        <v>3</v>
      </c>
      <c r="O17" s="48" t="s">
        <v>253</v>
      </c>
      <c r="Q17" s="3"/>
    </row>
    <row r="18" spans="1:17" x14ac:dyDescent="0.3">
      <c r="A18" s="120">
        <f t="shared" ref="A18:A49" si="0">IF(COUNTA(H18,I18,L18), 1,0)</f>
        <v>1</v>
      </c>
      <c r="B18" s="121">
        <f>ROW()-ROW(TabConsolidation[[#Headers],[N]])</f>
        <v>1</v>
      </c>
      <c r="C18" s="97" t="s">
        <v>72</v>
      </c>
      <c r="D18" s="98" t="s">
        <v>73</v>
      </c>
      <c r="E18" s="36" t="s">
        <v>13</v>
      </c>
      <c r="F18" s="38"/>
      <c r="G18" s="38"/>
      <c r="H18" s="50"/>
      <c r="I18" s="51"/>
      <c r="J18" s="55"/>
      <c r="K18" s="53"/>
      <c r="L18" s="57" t="s">
        <v>32</v>
      </c>
      <c r="M18" s="37"/>
      <c r="N18" s="37"/>
      <c r="O18" s="39"/>
      <c r="P18" s="3"/>
      <c r="Q18" s="3"/>
    </row>
    <row r="19" spans="1:17" x14ac:dyDescent="0.3">
      <c r="A19" s="122">
        <f t="shared" si="0"/>
        <v>1</v>
      </c>
      <c r="B19" s="123">
        <f>ROW()-ROW(TabConsolidation[[#Headers],[N]])</f>
        <v>2</v>
      </c>
      <c r="C19" s="34"/>
      <c r="D19" s="35"/>
      <c r="E19" s="36" t="s">
        <v>74</v>
      </c>
      <c r="F19" s="38"/>
      <c r="G19" s="38"/>
      <c r="H19" s="50"/>
      <c r="I19" s="51"/>
      <c r="J19" s="55"/>
      <c r="K19" s="53"/>
      <c r="L19" s="57" t="s">
        <v>32</v>
      </c>
      <c r="M19" s="37"/>
      <c r="N19" s="37"/>
      <c r="O19" s="39"/>
      <c r="P19" s="3"/>
      <c r="Q19" s="3"/>
    </row>
    <row r="20" spans="1:17" x14ac:dyDescent="0.3">
      <c r="A20" s="122">
        <f t="shared" si="0"/>
        <v>1</v>
      </c>
      <c r="B20" s="123">
        <f>ROW()-ROW(TabConsolidation[[#Headers],[N]])</f>
        <v>3</v>
      </c>
      <c r="C20" s="34"/>
      <c r="D20" s="35"/>
      <c r="E20" s="36" t="s">
        <v>14</v>
      </c>
      <c r="F20" s="38"/>
      <c r="G20" s="38"/>
      <c r="H20" s="50"/>
      <c r="I20" s="51"/>
      <c r="J20" s="55"/>
      <c r="K20" s="53"/>
      <c r="L20" s="57" t="s">
        <v>32</v>
      </c>
      <c r="M20" s="37"/>
      <c r="N20" s="37"/>
      <c r="O20" s="39"/>
      <c r="P20" s="3"/>
      <c r="Q20" s="3"/>
    </row>
    <row r="21" spans="1:17" x14ac:dyDescent="0.3">
      <c r="A21" s="122">
        <f t="shared" si="0"/>
        <v>0</v>
      </c>
      <c r="B21" s="123">
        <f>ROW()-ROW(TabConsolidation[[#Headers],[N]])</f>
        <v>4</v>
      </c>
      <c r="C21" s="34"/>
      <c r="D21" s="35"/>
      <c r="E21" s="36" t="s">
        <v>75</v>
      </c>
      <c r="F21" s="38"/>
      <c r="G21" s="38"/>
      <c r="H21" s="50"/>
      <c r="I21" s="51"/>
      <c r="J21" s="55" t="s">
        <v>32</v>
      </c>
      <c r="K21" s="53"/>
      <c r="L21" s="57"/>
      <c r="M21" s="37"/>
      <c r="N21" s="37"/>
      <c r="O21" s="39"/>
      <c r="P21" s="3"/>
      <c r="Q21" s="3"/>
    </row>
    <row r="22" spans="1:17" x14ac:dyDescent="0.3">
      <c r="A22" s="122">
        <f t="shared" si="0"/>
        <v>0</v>
      </c>
      <c r="B22" s="123">
        <f>ROW()-ROW(TabConsolidation[[#Headers],[N]])</f>
        <v>5</v>
      </c>
      <c r="C22" s="34"/>
      <c r="D22" s="35"/>
      <c r="E22" s="36" t="s">
        <v>76</v>
      </c>
      <c r="F22" s="38"/>
      <c r="G22" s="38"/>
      <c r="H22" s="50"/>
      <c r="I22" s="51"/>
      <c r="J22" s="55"/>
      <c r="K22" s="53"/>
      <c r="L22" s="57"/>
      <c r="M22" s="37"/>
      <c r="N22" s="37"/>
      <c r="O22" s="39"/>
      <c r="P22" s="3"/>
      <c r="Q22" s="3"/>
    </row>
    <row r="23" spans="1:17" x14ac:dyDescent="0.3">
      <c r="A23" s="122">
        <f t="shared" si="0"/>
        <v>0</v>
      </c>
      <c r="B23" s="123">
        <f>ROW()-ROW(TabConsolidation[[#Headers],[N]])</f>
        <v>6</v>
      </c>
      <c r="C23" s="34"/>
      <c r="D23" s="35"/>
      <c r="E23" s="36" t="s">
        <v>77</v>
      </c>
      <c r="F23" s="38"/>
      <c r="G23" s="38"/>
      <c r="H23" s="50"/>
      <c r="I23" s="51"/>
      <c r="J23" s="55"/>
      <c r="K23" s="53"/>
      <c r="L23" s="57"/>
      <c r="M23" s="37"/>
      <c r="N23" s="37"/>
      <c r="O23" s="39"/>
      <c r="P23" s="3"/>
      <c r="Q23" s="3"/>
    </row>
    <row r="24" spans="1:17" x14ac:dyDescent="0.3">
      <c r="A24" s="122">
        <f t="shared" si="0"/>
        <v>1</v>
      </c>
      <c r="B24" s="123">
        <f>ROW()-ROW(TabConsolidation[[#Headers],[N]])</f>
        <v>7</v>
      </c>
      <c r="C24" s="34"/>
      <c r="D24" s="35"/>
      <c r="E24" s="36" t="s">
        <v>15</v>
      </c>
      <c r="F24" s="38"/>
      <c r="G24" s="38"/>
      <c r="H24" s="50" t="s">
        <v>32</v>
      </c>
      <c r="I24" s="51"/>
      <c r="J24" s="55"/>
      <c r="K24" s="53"/>
      <c r="L24" s="57"/>
      <c r="M24" s="37"/>
      <c r="N24" s="37"/>
      <c r="O24" s="39"/>
      <c r="P24" s="3"/>
      <c r="Q24" s="3"/>
    </row>
    <row r="25" spans="1:17" x14ac:dyDescent="0.3">
      <c r="A25" s="122">
        <f t="shared" si="0"/>
        <v>1</v>
      </c>
      <c r="B25" s="123">
        <f>ROW()-ROW(TabConsolidation[[#Headers],[N]])</f>
        <v>8</v>
      </c>
      <c r="C25" s="34"/>
      <c r="D25" s="35"/>
      <c r="E25" s="36" t="s">
        <v>16</v>
      </c>
      <c r="F25" s="38"/>
      <c r="G25" s="38"/>
      <c r="H25" s="50"/>
      <c r="I25" s="51" t="s">
        <v>32</v>
      </c>
      <c r="J25" s="55"/>
      <c r="K25" s="53"/>
      <c r="L25" s="57"/>
      <c r="M25" s="37"/>
      <c r="N25" s="37"/>
      <c r="O25" s="39"/>
      <c r="P25" s="3"/>
      <c r="Q25" s="3"/>
    </row>
    <row r="26" spans="1:17" x14ac:dyDescent="0.3">
      <c r="A26" s="122">
        <f t="shared" si="0"/>
        <v>1</v>
      </c>
      <c r="B26" s="123">
        <f>ROW()-ROW(TabConsolidation[[#Headers],[N]])</f>
        <v>9</v>
      </c>
      <c r="C26" s="34"/>
      <c r="D26" s="35"/>
      <c r="E26" s="36" t="s">
        <v>78</v>
      </c>
      <c r="F26" s="38"/>
      <c r="G26" s="38"/>
      <c r="H26" s="50"/>
      <c r="I26" s="51" t="s">
        <v>32</v>
      </c>
      <c r="J26" s="55"/>
      <c r="K26" s="53"/>
      <c r="L26" s="57"/>
      <c r="M26" s="37"/>
      <c r="N26" s="37"/>
      <c r="O26" s="39"/>
      <c r="P26" s="3"/>
      <c r="Q26" s="3"/>
    </row>
    <row r="27" spans="1:17" x14ac:dyDescent="0.3">
      <c r="A27" s="122">
        <f t="shared" si="0"/>
        <v>1</v>
      </c>
      <c r="B27" s="123">
        <f>ROW()-ROW(TabConsolidation[[#Headers],[N]])</f>
        <v>10</v>
      </c>
      <c r="C27" s="34"/>
      <c r="D27" s="35"/>
      <c r="E27" s="36" t="s">
        <v>79</v>
      </c>
      <c r="F27" s="38"/>
      <c r="G27" s="38"/>
      <c r="H27" s="50"/>
      <c r="I27" s="51" t="s">
        <v>32</v>
      </c>
      <c r="J27" s="55"/>
      <c r="K27" s="53"/>
      <c r="L27" s="57"/>
      <c r="M27" s="37"/>
      <c r="N27" s="37"/>
      <c r="O27" s="39"/>
      <c r="P27" s="3"/>
      <c r="Q27" s="3"/>
    </row>
    <row r="28" spans="1:17" x14ac:dyDescent="0.3">
      <c r="A28" s="122">
        <f t="shared" si="0"/>
        <v>1</v>
      </c>
      <c r="B28" s="123">
        <f>ROW()-ROW(TabConsolidation[[#Headers],[N]])</f>
        <v>11</v>
      </c>
      <c r="C28" s="34"/>
      <c r="D28" s="35"/>
      <c r="E28" s="36" t="s">
        <v>80</v>
      </c>
      <c r="F28" s="38"/>
      <c r="G28" s="38"/>
      <c r="H28" s="50"/>
      <c r="I28" s="51" t="s">
        <v>32</v>
      </c>
      <c r="J28" s="55"/>
      <c r="K28" s="53"/>
      <c r="L28" s="57"/>
      <c r="M28" s="37"/>
      <c r="N28" s="37"/>
      <c r="O28" s="39"/>
      <c r="P28" s="3"/>
      <c r="Q28" s="3"/>
    </row>
    <row r="29" spans="1:17" x14ac:dyDescent="0.3">
      <c r="A29" s="122">
        <f t="shared" si="0"/>
        <v>1</v>
      </c>
      <c r="B29" s="123">
        <f>ROW()-ROW(TabConsolidation[[#Headers],[N]])</f>
        <v>12</v>
      </c>
      <c r="C29" s="34"/>
      <c r="D29" s="35"/>
      <c r="E29" s="36" t="s">
        <v>17</v>
      </c>
      <c r="F29" s="38"/>
      <c r="G29" s="38"/>
      <c r="H29" s="50"/>
      <c r="I29" s="51" t="s">
        <v>32</v>
      </c>
      <c r="J29" s="55"/>
      <c r="K29" s="53"/>
      <c r="L29" s="57"/>
      <c r="M29" s="37"/>
      <c r="N29" s="37"/>
      <c r="O29" s="39"/>
      <c r="P29" s="3"/>
      <c r="Q29" s="3"/>
    </row>
    <row r="30" spans="1:17" x14ac:dyDescent="0.3">
      <c r="A30" s="122">
        <f t="shared" si="0"/>
        <v>1</v>
      </c>
      <c r="B30" s="123">
        <f>ROW()-ROW(TabConsolidation[[#Headers],[N]])</f>
        <v>13</v>
      </c>
      <c r="C30" s="34"/>
      <c r="D30" s="35"/>
      <c r="E30" s="36" t="s">
        <v>81</v>
      </c>
      <c r="F30" s="38"/>
      <c r="G30" s="38"/>
      <c r="H30" s="50"/>
      <c r="I30" s="51" t="s">
        <v>32</v>
      </c>
      <c r="J30" s="55"/>
      <c r="K30" s="53"/>
      <c r="L30" s="57"/>
      <c r="M30" s="37"/>
      <c r="N30" s="37"/>
      <c r="O30" s="39"/>
      <c r="P30" s="3"/>
      <c r="Q30" s="3"/>
    </row>
    <row r="31" spans="1:17" x14ac:dyDescent="0.3">
      <c r="A31" s="122">
        <f t="shared" si="0"/>
        <v>1</v>
      </c>
      <c r="B31" s="123">
        <f>ROW()-ROW(TabConsolidation[[#Headers],[N]])</f>
        <v>14</v>
      </c>
      <c r="C31" s="34"/>
      <c r="D31" s="35"/>
      <c r="E31" s="36" t="s">
        <v>82</v>
      </c>
      <c r="F31" s="38"/>
      <c r="G31" s="38"/>
      <c r="H31" s="50"/>
      <c r="I31" s="51" t="s">
        <v>32</v>
      </c>
      <c r="J31" s="55"/>
      <c r="K31" s="53"/>
      <c r="L31" s="57"/>
      <c r="M31" s="37"/>
      <c r="N31" s="37"/>
      <c r="O31" s="39"/>
      <c r="P31" s="3"/>
      <c r="Q31" s="3"/>
    </row>
    <row r="32" spans="1:17" x14ac:dyDescent="0.3">
      <c r="A32" s="122">
        <f t="shared" si="0"/>
        <v>1</v>
      </c>
      <c r="B32" s="123">
        <f>ROW()-ROW(TabConsolidation[[#Headers],[N]])</f>
        <v>15</v>
      </c>
      <c r="C32" s="34"/>
      <c r="D32" s="35"/>
      <c r="E32" s="36" t="s">
        <v>83</v>
      </c>
      <c r="F32" s="38"/>
      <c r="G32" s="38"/>
      <c r="H32" s="50"/>
      <c r="I32" s="51" t="s">
        <v>32</v>
      </c>
      <c r="J32" s="55"/>
      <c r="K32" s="53"/>
      <c r="L32" s="57"/>
      <c r="M32" s="37"/>
      <c r="N32" s="37"/>
      <c r="O32" s="39"/>
      <c r="P32" s="3"/>
      <c r="Q32" s="3"/>
    </row>
    <row r="33" spans="1:17" x14ac:dyDescent="0.3">
      <c r="A33" s="122">
        <f t="shared" si="0"/>
        <v>1</v>
      </c>
      <c r="B33" s="123">
        <f>ROW()-ROW(TabConsolidation[[#Headers],[N]])</f>
        <v>16</v>
      </c>
      <c r="C33" s="34"/>
      <c r="D33" s="35"/>
      <c r="E33" s="36" t="s">
        <v>84</v>
      </c>
      <c r="F33" s="38"/>
      <c r="G33" s="38"/>
      <c r="H33" s="50" t="s">
        <v>32</v>
      </c>
      <c r="I33" s="51"/>
      <c r="J33" s="55"/>
      <c r="K33" s="53"/>
      <c r="L33" s="57"/>
      <c r="M33" s="37"/>
      <c r="N33" s="37"/>
      <c r="O33" s="39"/>
      <c r="P33" s="3"/>
      <c r="Q33" s="3"/>
    </row>
    <row r="34" spans="1:17" x14ac:dyDescent="0.3">
      <c r="A34" s="122">
        <f t="shared" si="0"/>
        <v>1</v>
      </c>
      <c r="B34" s="123">
        <f>ROW()-ROW(TabConsolidation[[#Headers],[N]])</f>
        <v>17</v>
      </c>
      <c r="C34" s="34"/>
      <c r="D34" s="35"/>
      <c r="E34" s="36" t="s">
        <v>85</v>
      </c>
      <c r="F34" s="38"/>
      <c r="G34" s="38"/>
      <c r="H34" s="50" t="s">
        <v>32</v>
      </c>
      <c r="I34" s="51"/>
      <c r="J34" s="55"/>
      <c r="K34" s="53"/>
      <c r="L34" s="57"/>
      <c r="M34" s="37"/>
      <c r="N34" s="37"/>
      <c r="O34" s="39"/>
      <c r="P34" s="3"/>
      <c r="Q34" s="3"/>
    </row>
    <row r="35" spans="1:17" x14ac:dyDescent="0.3">
      <c r="A35" s="122">
        <f t="shared" si="0"/>
        <v>1</v>
      </c>
      <c r="B35" s="123">
        <f>ROW()-ROW(TabConsolidation[[#Headers],[N]])</f>
        <v>18</v>
      </c>
      <c r="C35" s="34"/>
      <c r="D35" s="35"/>
      <c r="E35" s="36" t="s">
        <v>86</v>
      </c>
      <c r="F35" s="38"/>
      <c r="G35" s="38"/>
      <c r="H35" s="50" t="s">
        <v>32</v>
      </c>
      <c r="I35" s="51"/>
      <c r="J35" s="55"/>
      <c r="K35" s="53"/>
      <c r="L35" s="57"/>
      <c r="M35" s="37"/>
      <c r="N35" s="37"/>
      <c r="O35" s="39"/>
      <c r="P35" s="3"/>
      <c r="Q35" s="3"/>
    </row>
    <row r="36" spans="1:17" x14ac:dyDescent="0.3">
      <c r="A36" s="122">
        <f t="shared" si="0"/>
        <v>1</v>
      </c>
      <c r="B36" s="123">
        <f>ROW()-ROW(TabConsolidation[[#Headers],[N]])</f>
        <v>19</v>
      </c>
      <c r="C36" s="34"/>
      <c r="D36" s="35"/>
      <c r="E36" s="36" t="s">
        <v>87</v>
      </c>
      <c r="F36" s="38"/>
      <c r="G36" s="38"/>
      <c r="H36" s="50" t="s">
        <v>32</v>
      </c>
      <c r="I36" s="51"/>
      <c r="J36" s="55"/>
      <c r="K36" s="53"/>
      <c r="L36" s="57"/>
      <c r="M36" s="37"/>
      <c r="N36" s="37"/>
      <c r="O36" s="39"/>
      <c r="P36" s="3"/>
      <c r="Q36" s="3"/>
    </row>
    <row r="37" spans="1:17" x14ac:dyDescent="0.3">
      <c r="A37" s="122">
        <f t="shared" si="0"/>
        <v>1</v>
      </c>
      <c r="B37" s="123">
        <f>ROW()-ROW(TabConsolidation[[#Headers],[N]])</f>
        <v>20</v>
      </c>
      <c r="C37" s="34"/>
      <c r="D37" s="35"/>
      <c r="E37" s="36" t="s">
        <v>88</v>
      </c>
      <c r="F37" s="38"/>
      <c r="G37" s="38"/>
      <c r="H37" s="50" t="s">
        <v>32</v>
      </c>
      <c r="I37" s="51"/>
      <c r="J37" s="55"/>
      <c r="K37" s="53"/>
      <c r="L37" s="57"/>
      <c r="M37" s="37"/>
      <c r="N37" s="37"/>
      <c r="O37" s="39"/>
      <c r="P37" s="3"/>
      <c r="Q37" s="3"/>
    </row>
    <row r="38" spans="1:17" x14ac:dyDescent="0.3">
      <c r="A38" s="122">
        <f t="shared" si="0"/>
        <v>1</v>
      </c>
      <c r="B38" s="123">
        <f>ROW()-ROW(TabConsolidation[[#Headers],[N]])</f>
        <v>21</v>
      </c>
      <c r="C38" s="34"/>
      <c r="D38" s="35"/>
      <c r="E38" s="36" t="s">
        <v>18</v>
      </c>
      <c r="F38" s="38"/>
      <c r="G38" s="38"/>
      <c r="H38" s="50" t="s">
        <v>32</v>
      </c>
      <c r="I38" s="51"/>
      <c r="J38" s="55"/>
      <c r="K38" s="53"/>
      <c r="L38" s="57"/>
      <c r="M38" s="37"/>
      <c r="N38" s="37"/>
      <c r="O38" s="39"/>
      <c r="P38" s="3"/>
      <c r="Q38" s="3"/>
    </row>
    <row r="39" spans="1:17" x14ac:dyDescent="0.3">
      <c r="A39" s="122">
        <f t="shared" si="0"/>
        <v>1</v>
      </c>
      <c r="B39" s="123">
        <f>ROW()-ROW(TabConsolidation[[#Headers],[N]])</f>
        <v>22</v>
      </c>
      <c r="C39" s="34"/>
      <c r="D39" s="35"/>
      <c r="E39" s="36" t="s">
        <v>89</v>
      </c>
      <c r="F39" s="38"/>
      <c r="G39" s="38"/>
      <c r="H39" s="50" t="s">
        <v>32</v>
      </c>
      <c r="I39" s="51"/>
      <c r="J39" s="55"/>
      <c r="K39" s="53"/>
      <c r="L39" s="57"/>
      <c r="M39" s="37"/>
      <c r="N39" s="37"/>
      <c r="O39" s="39"/>
      <c r="P39" s="3"/>
      <c r="Q39" s="3"/>
    </row>
    <row r="40" spans="1:17" x14ac:dyDescent="0.3">
      <c r="A40" s="122">
        <f t="shared" si="0"/>
        <v>1</v>
      </c>
      <c r="B40" s="123">
        <f>ROW()-ROW(TabConsolidation[[#Headers],[N]])</f>
        <v>23</v>
      </c>
      <c r="C40" s="34"/>
      <c r="D40" s="35"/>
      <c r="E40" s="36" t="s">
        <v>90</v>
      </c>
      <c r="F40" s="38"/>
      <c r="G40" s="38"/>
      <c r="H40" s="50" t="s">
        <v>32</v>
      </c>
      <c r="I40" s="51"/>
      <c r="J40" s="55"/>
      <c r="K40" s="53"/>
      <c r="L40" s="57"/>
      <c r="M40" s="37"/>
      <c r="N40" s="37"/>
      <c r="O40" s="39"/>
      <c r="P40" s="3"/>
      <c r="Q40" s="3"/>
    </row>
    <row r="41" spans="1:17" x14ac:dyDescent="0.3">
      <c r="A41" s="122">
        <f t="shared" si="0"/>
        <v>1</v>
      </c>
      <c r="B41" s="123">
        <f>ROW()-ROW(TabConsolidation[[#Headers],[N]])</f>
        <v>24</v>
      </c>
      <c r="C41" s="34"/>
      <c r="D41" s="35"/>
      <c r="E41" s="36" t="s">
        <v>91</v>
      </c>
      <c r="F41" s="38"/>
      <c r="G41" s="38"/>
      <c r="H41" s="50" t="s">
        <v>32</v>
      </c>
      <c r="I41" s="51"/>
      <c r="J41" s="55"/>
      <c r="K41" s="53"/>
      <c r="L41" s="57"/>
      <c r="M41" s="37"/>
      <c r="N41" s="37"/>
      <c r="O41" s="39"/>
      <c r="P41" s="3"/>
      <c r="Q41" s="3"/>
    </row>
    <row r="42" spans="1:17" x14ac:dyDescent="0.3">
      <c r="A42" s="122">
        <f t="shared" si="0"/>
        <v>1</v>
      </c>
      <c r="B42" s="123">
        <f>ROW()-ROW(TabConsolidation[[#Headers],[N]])</f>
        <v>25</v>
      </c>
      <c r="C42" s="34"/>
      <c r="D42" s="35"/>
      <c r="E42" s="36" t="s">
        <v>19</v>
      </c>
      <c r="F42" s="38"/>
      <c r="G42" s="38"/>
      <c r="H42" s="50" t="s">
        <v>32</v>
      </c>
      <c r="I42" s="51"/>
      <c r="J42" s="55"/>
      <c r="K42" s="53"/>
      <c r="L42" s="57"/>
      <c r="M42" s="37"/>
      <c r="N42" s="37"/>
      <c r="O42" s="39"/>
      <c r="P42" s="3"/>
      <c r="Q42" s="3"/>
    </row>
    <row r="43" spans="1:17" x14ac:dyDescent="0.3">
      <c r="A43" s="122">
        <f t="shared" si="0"/>
        <v>1</v>
      </c>
      <c r="B43" s="123">
        <f>ROW()-ROW(TabConsolidation[[#Headers],[N]])</f>
        <v>26</v>
      </c>
      <c r="C43" s="34"/>
      <c r="D43" s="35"/>
      <c r="E43" s="36" t="s">
        <v>20</v>
      </c>
      <c r="F43" s="38"/>
      <c r="G43" s="38"/>
      <c r="H43" s="50" t="s">
        <v>32</v>
      </c>
      <c r="I43" s="51"/>
      <c r="J43" s="55"/>
      <c r="K43" s="53"/>
      <c r="L43" s="57"/>
      <c r="M43" s="37"/>
      <c r="N43" s="37"/>
      <c r="O43" s="39"/>
      <c r="P43" s="3"/>
      <c r="Q43" s="3"/>
    </row>
    <row r="44" spans="1:17" x14ac:dyDescent="0.3">
      <c r="A44" s="122">
        <f t="shared" si="0"/>
        <v>1</v>
      </c>
      <c r="B44" s="123">
        <f>ROW()-ROW(TabConsolidation[[#Headers],[N]])</f>
        <v>27</v>
      </c>
      <c r="C44" s="34"/>
      <c r="D44" s="35"/>
      <c r="E44" s="36" t="s">
        <v>92</v>
      </c>
      <c r="F44" s="38"/>
      <c r="G44" s="38"/>
      <c r="H44" s="50" t="s">
        <v>32</v>
      </c>
      <c r="I44" s="51"/>
      <c r="J44" s="55"/>
      <c r="K44" s="53"/>
      <c r="L44" s="57"/>
      <c r="M44" s="37"/>
      <c r="N44" s="37"/>
      <c r="O44" s="39"/>
      <c r="P44" s="3"/>
      <c r="Q44" s="3"/>
    </row>
    <row r="45" spans="1:17" x14ac:dyDescent="0.3">
      <c r="A45" s="122">
        <f t="shared" si="0"/>
        <v>1</v>
      </c>
      <c r="B45" s="123">
        <f>ROW()-ROW(TabConsolidation[[#Headers],[N]])</f>
        <v>28</v>
      </c>
      <c r="C45" s="34"/>
      <c r="D45" s="35"/>
      <c r="E45" s="36" t="s">
        <v>93</v>
      </c>
      <c r="F45" s="38"/>
      <c r="G45" s="38"/>
      <c r="H45" s="50" t="s">
        <v>32</v>
      </c>
      <c r="I45" s="51"/>
      <c r="J45" s="55"/>
      <c r="K45" s="53"/>
      <c r="L45" s="57"/>
      <c r="M45" s="37"/>
      <c r="N45" s="37"/>
      <c r="O45" s="39"/>
      <c r="P45" s="3"/>
      <c r="Q45" s="3"/>
    </row>
    <row r="46" spans="1:17" x14ac:dyDescent="0.3">
      <c r="A46" s="122">
        <f t="shared" si="0"/>
        <v>1</v>
      </c>
      <c r="B46" s="123">
        <f>ROW()-ROW(TabConsolidation[[#Headers],[N]])</f>
        <v>29</v>
      </c>
      <c r="C46" s="34"/>
      <c r="D46" s="35"/>
      <c r="E46" s="36" t="s">
        <v>21</v>
      </c>
      <c r="F46" s="38"/>
      <c r="G46" s="38"/>
      <c r="H46" s="50" t="s">
        <v>32</v>
      </c>
      <c r="I46" s="51"/>
      <c r="J46" s="55"/>
      <c r="K46" s="53"/>
      <c r="L46" s="57"/>
      <c r="M46" s="37"/>
      <c r="N46" s="37"/>
      <c r="O46" s="39"/>
      <c r="P46" s="3"/>
      <c r="Q46" s="3"/>
    </row>
    <row r="47" spans="1:17" x14ac:dyDescent="0.3">
      <c r="A47" s="122">
        <f t="shared" si="0"/>
        <v>1</v>
      </c>
      <c r="B47" s="123">
        <f>ROW()-ROW(TabConsolidation[[#Headers],[N]])</f>
        <v>30</v>
      </c>
      <c r="C47" s="34"/>
      <c r="D47" s="35"/>
      <c r="E47" s="36" t="s">
        <v>94</v>
      </c>
      <c r="F47" s="38"/>
      <c r="G47" s="38"/>
      <c r="H47" s="50" t="s">
        <v>32</v>
      </c>
      <c r="I47" s="51"/>
      <c r="J47" s="55"/>
      <c r="K47" s="53"/>
      <c r="L47" s="57"/>
      <c r="M47" s="37"/>
      <c r="N47" s="37"/>
      <c r="O47" s="39"/>
      <c r="P47" s="3"/>
      <c r="Q47" s="3"/>
    </row>
    <row r="48" spans="1:17" x14ac:dyDescent="0.3">
      <c r="A48" s="122">
        <f t="shared" si="0"/>
        <v>1</v>
      </c>
      <c r="B48" s="123">
        <f>ROW()-ROW(TabConsolidation[[#Headers],[N]])</f>
        <v>31</v>
      </c>
      <c r="C48" s="34"/>
      <c r="D48" s="35"/>
      <c r="E48" s="36" t="s">
        <v>95</v>
      </c>
      <c r="F48" s="38"/>
      <c r="G48" s="38"/>
      <c r="H48" s="50" t="s">
        <v>32</v>
      </c>
      <c r="I48" s="51"/>
      <c r="J48" s="55"/>
      <c r="K48" s="53"/>
      <c r="L48" s="57"/>
      <c r="M48" s="37"/>
      <c r="N48" s="37"/>
      <c r="O48" s="39"/>
      <c r="P48" s="3"/>
      <c r="Q48" s="3"/>
    </row>
    <row r="49" spans="1:17" x14ac:dyDescent="0.3">
      <c r="A49" s="122">
        <f t="shared" si="0"/>
        <v>1</v>
      </c>
      <c r="B49" s="123">
        <f>ROW()-ROW(TabConsolidation[[#Headers],[N]])</f>
        <v>32</v>
      </c>
      <c r="C49" s="34"/>
      <c r="D49" s="35"/>
      <c r="E49" s="36" t="s">
        <v>96</v>
      </c>
      <c r="F49" s="38"/>
      <c r="G49" s="38"/>
      <c r="H49" s="50" t="s">
        <v>32</v>
      </c>
      <c r="I49" s="51"/>
      <c r="J49" s="55"/>
      <c r="K49" s="53"/>
      <c r="L49" s="57"/>
      <c r="M49" s="37"/>
      <c r="N49" s="37"/>
      <c r="O49" s="39"/>
      <c r="P49" s="3"/>
      <c r="Q49" s="3"/>
    </row>
    <row r="50" spans="1:17" x14ac:dyDescent="0.3">
      <c r="A50" s="122">
        <f t="shared" ref="A50:A81" si="1">IF(COUNTA(H50,I50,L50), 1,0)</f>
        <v>1</v>
      </c>
      <c r="B50" s="123">
        <f>ROW()-ROW(TabConsolidation[[#Headers],[N]])</f>
        <v>33</v>
      </c>
      <c r="C50" s="34"/>
      <c r="D50" s="35"/>
      <c r="E50" s="36" t="s">
        <v>97</v>
      </c>
      <c r="F50" s="38"/>
      <c r="G50" s="38"/>
      <c r="H50" s="50" t="s">
        <v>32</v>
      </c>
      <c r="I50" s="51"/>
      <c r="J50" s="55"/>
      <c r="K50" s="53"/>
      <c r="L50" s="57"/>
      <c r="M50" s="37"/>
      <c r="N50" s="37"/>
      <c r="O50" s="39"/>
      <c r="P50" s="3"/>
      <c r="Q50" s="3"/>
    </row>
    <row r="51" spans="1:17" x14ac:dyDescent="0.3">
      <c r="A51" s="122">
        <f t="shared" si="1"/>
        <v>1</v>
      </c>
      <c r="B51" s="123">
        <f>ROW()-ROW(TabConsolidation[[#Headers],[N]])</f>
        <v>34</v>
      </c>
      <c r="C51" s="34"/>
      <c r="D51" s="35"/>
      <c r="E51" s="36" t="s">
        <v>98</v>
      </c>
      <c r="F51" s="38"/>
      <c r="G51" s="38"/>
      <c r="H51" s="50" t="s">
        <v>32</v>
      </c>
      <c r="I51" s="51"/>
      <c r="J51" s="55"/>
      <c r="K51" s="53"/>
      <c r="L51" s="57"/>
      <c r="M51" s="37"/>
      <c r="N51" s="37"/>
      <c r="O51" s="39"/>
      <c r="P51" s="3"/>
      <c r="Q51" s="3"/>
    </row>
    <row r="52" spans="1:17" x14ac:dyDescent="0.3">
      <c r="A52" s="122">
        <f t="shared" si="1"/>
        <v>1</v>
      </c>
      <c r="B52" s="123">
        <f>ROW()-ROW(TabConsolidation[[#Headers],[N]])</f>
        <v>35</v>
      </c>
      <c r="C52" s="34"/>
      <c r="D52" s="35"/>
      <c r="E52" s="36" t="s">
        <v>99</v>
      </c>
      <c r="F52" s="38"/>
      <c r="G52" s="38"/>
      <c r="H52" s="50" t="s">
        <v>32</v>
      </c>
      <c r="I52" s="51"/>
      <c r="J52" s="55"/>
      <c r="K52" s="53"/>
      <c r="L52" s="57"/>
      <c r="M52" s="37"/>
      <c r="N52" s="37"/>
      <c r="O52" s="39"/>
      <c r="P52" s="3"/>
      <c r="Q52" s="3"/>
    </row>
    <row r="53" spans="1:17" x14ac:dyDescent="0.3">
      <c r="A53" s="122">
        <f t="shared" si="1"/>
        <v>1</v>
      </c>
      <c r="B53" s="123">
        <f>ROW()-ROW(TabConsolidation[[#Headers],[N]])</f>
        <v>36</v>
      </c>
      <c r="C53" s="34"/>
      <c r="D53" s="35"/>
      <c r="E53" s="36" t="s">
        <v>100</v>
      </c>
      <c r="F53" s="38"/>
      <c r="G53" s="38"/>
      <c r="H53" s="50" t="s">
        <v>32</v>
      </c>
      <c r="I53" s="51"/>
      <c r="J53" s="55"/>
      <c r="K53" s="53"/>
      <c r="L53" s="57"/>
      <c r="M53" s="37"/>
      <c r="N53" s="37"/>
      <c r="O53" s="39"/>
      <c r="P53" s="3"/>
      <c r="Q53" s="3"/>
    </row>
    <row r="54" spans="1:17" x14ac:dyDescent="0.3">
      <c r="A54" s="122">
        <f t="shared" si="1"/>
        <v>1</v>
      </c>
      <c r="B54" s="123">
        <f>ROW()-ROW(TabConsolidation[[#Headers],[N]])</f>
        <v>37</v>
      </c>
      <c r="C54" s="34"/>
      <c r="D54" s="35"/>
      <c r="E54" s="36" t="s">
        <v>101</v>
      </c>
      <c r="F54" s="38"/>
      <c r="G54" s="38"/>
      <c r="H54" s="50" t="s">
        <v>32</v>
      </c>
      <c r="I54" s="51"/>
      <c r="J54" s="55"/>
      <c r="K54" s="53"/>
      <c r="L54" s="57"/>
      <c r="M54" s="37"/>
      <c r="N54" s="37"/>
      <c r="O54" s="39"/>
      <c r="P54" s="3"/>
      <c r="Q54" s="3"/>
    </row>
    <row r="55" spans="1:17" x14ac:dyDescent="0.3">
      <c r="A55" s="122">
        <f t="shared" si="1"/>
        <v>1</v>
      </c>
      <c r="B55" s="123">
        <f>ROW()-ROW(TabConsolidation[[#Headers],[N]])</f>
        <v>38</v>
      </c>
      <c r="C55" s="34"/>
      <c r="D55" s="98" t="s">
        <v>200</v>
      </c>
      <c r="E55" s="99" t="s">
        <v>41</v>
      </c>
      <c r="F55" s="49"/>
      <c r="G55" s="38"/>
      <c r="H55" s="50" t="s">
        <v>32</v>
      </c>
      <c r="I55" s="51"/>
      <c r="J55" s="55"/>
      <c r="K55" s="53"/>
      <c r="L55" s="57"/>
      <c r="M55" s="37"/>
      <c r="N55" s="37"/>
      <c r="O55" s="39"/>
      <c r="P55" s="3"/>
      <c r="Q55" s="3"/>
    </row>
    <row r="56" spans="1:17" x14ac:dyDescent="0.3">
      <c r="A56" s="122">
        <f t="shared" si="1"/>
        <v>1</v>
      </c>
      <c r="B56" s="123">
        <f>ROW()-ROW(TabConsolidation[[#Headers],[N]])</f>
        <v>39</v>
      </c>
      <c r="C56" s="34"/>
      <c r="D56" s="35"/>
      <c r="E56" s="36" t="s">
        <v>42</v>
      </c>
      <c r="F56" s="38"/>
      <c r="G56" s="38"/>
      <c r="H56" s="50" t="s">
        <v>32</v>
      </c>
      <c r="I56" s="51"/>
      <c r="J56" s="55"/>
      <c r="K56" s="53"/>
      <c r="L56" s="57"/>
      <c r="M56" s="37"/>
      <c r="N56" s="37"/>
      <c r="O56" s="39"/>
      <c r="P56" s="3"/>
      <c r="Q56" s="3"/>
    </row>
    <row r="57" spans="1:17" x14ac:dyDescent="0.3">
      <c r="A57" s="122">
        <f t="shared" si="1"/>
        <v>1</v>
      </c>
      <c r="B57" s="123">
        <f>ROW()-ROW(TabConsolidation[[#Headers],[N]])</f>
        <v>40</v>
      </c>
      <c r="C57" s="34"/>
      <c r="D57" s="35"/>
      <c r="E57" s="36" t="s">
        <v>43</v>
      </c>
      <c r="F57" s="38"/>
      <c r="G57" s="38"/>
      <c r="H57" s="50" t="s">
        <v>32</v>
      </c>
      <c r="I57" s="51"/>
      <c r="J57" s="55"/>
      <c r="K57" s="53"/>
      <c r="L57" s="57"/>
      <c r="M57" s="37"/>
      <c r="N57" s="37"/>
      <c r="O57" s="39"/>
      <c r="P57" s="3"/>
      <c r="Q57" s="3"/>
    </row>
    <row r="58" spans="1:17" x14ac:dyDescent="0.3">
      <c r="A58" s="122">
        <f t="shared" si="1"/>
        <v>1</v>
      </c>
      <c r="B58" s="123">
        <f>ROW()-ROW(TabConsolidation[[#Headers],[N]])</f>
        <v>41</v>
      </c>
      <c r="C58" s="34"/>
      <c r="D58" s="35"/>
      <c r="E58" s="36" t="s">
        <v>45</v>
      </c>
      <c r="F58" s="38"/>
      <c r="G58" s="38"/>
      <c r="H58" s="50" t="s">
        <v>32</v>
      </c>
      <c r="I58" s="51"/>
      <c r="J58" s="55"/>
      <c r="K58" s="53"/>
      <c r="L58" s="57"/>
      <c r="M58" s="37"/>
      <c r="N58" s="37"/>
      <c r="O58" s="39"/>
      <c r="P58" s="3"/>
      <c r="Q58" s="3"/>
    </row>
    <row r="59" spans="1:17" x14ac:dyDescent="0.3">
      <c r="A59" s="122">
        <f t="shared" si="1"/>
        <v>1</v>
      </c>
      <c r="B59" s="123">
        <f>ROW()-ROW(TabConsolidation[[#Headers],[N]])</f>
        <v>42</v>
      </c>
      <c r="C59" s="34"/>
      <c r="D59" s="35"/>
      <c r="E59" s="36" t="s">
        <v>46</v>
      </c>
      <c r="F59" s="38"/>
      <c r="G59" s="38"/>
      <c r="H59" s="50" t="s">
        <v>32</v>
      </c>
      <c r="I59" s="51"/>
      <c r="J59" s="55"/>
      <c r="K59" s="53"/>
      <c r="L59" s="57"/>
      <c r="M59" s="37"/>
      <c r="N59" s="37"/>
      <c r="O59" s="39"/>
      <c r="P59" s="3"/>
      <c r="Q59" s="3"/>
    </row>
    <row r="60" spans="1:17" x14ac:dyDescent="0.3">
      <c r="A60" s="122">
        <f t="shared" si="1"/>
        <v>1</v>
      </c>
      <c r="B60" s="123">
        <f>ROW()-ROW(TabConsolidation[[#Headers],[N]])</f>
        <v>43</v>
      </c>
      <c r="C60" s="34"/>
      <c r="D60" s="35"/>
      <c r="E60" s="36" t="s">
        <v>47</v>
      </c>
      <c r="F60" s="38"/>
      <c r="G60" s="38"/>
      <c r="H60" s="50" t="s">
        <v>32</v>
      </c>
      <c r="I60" s="51"/>
      <c r="J60" s="55"/>
      <c r="K60" s="53"/>
      <c r="L60" s="57"/>
      <c r="M60" s="37"/>
      <c r="N60" s="37"/>
      <c r="O60" s="39"/>
      <c r="P60" s="3"/>
      <c r="Q60" s="3"/>
    </row>
    <row r="61" spans="1:17" x14ac:dyDescent="0.3">
      <c r="A61" s="122">
        <f t="shared" si="1"/>
        <v>1</v>
      </c>
      <c r="B61" s="123">
        <f>ROW()-ROW(TabConsolidation[[#Headers],[N]])</f>
        <v>44</v>
      </c>
      <c r="C61" s="34"/>
      <c r="D61" s="35"/>
      <c r="E61" s="36" t="s">
        <v>49</v>
      </c>
      <c r="F61" s="38"/>
      <c r="G61" s="38"/>
      <c r="H61" s="50" t="s">
        <v>32</v>
      </c>
      <c r="I61" s="51"/>
      <c r="J61" s="55"/>
      <c r="K61" s="53"/>
      <c r="L61" s="57"/>
      <c r="M61" s="37"/>
      <c r="N61" s="37"/>
      <c r="O61" s="39"/>
      <c r="P61" s="3"/>
      <c r="Q61" s="3"/>
    </row>
    <row r="62" spans="1:17" x14ac:dyDescent="0.3">
      <c r="A62" s="122">
        <f t="shared" si="1"/>
        <v>1</v>
      </c>
      <c r="B62" s="123">
        <f>ROW()-ROW(TabConsolidation[[#Headers],[N]])</f>
        <v>45</v>
      </c>
      <c r="C62" s="34"/>
      <c r="D62" s="35"/>
      <c r="E62" s="36" t="s">
        <v>47</v>
      </c>
      <c r="F62" s="38"/>
      <c r="G62" s="38"/>
      <c r="H62" s="50" t="s">
        <v>32</v>
      </c>
      <c r="I62" s="51"/>
      <c r="J62" s="55"/>
      <c r="K62" s="53"/>
      <c r="L62" s="57"/>
      <c r="M62" s="37"/>
      <c r="N62" s="37"/>
      <c r="O62" s="39"/>
      <c r="P62" s="3"/>
      <c r="Q62" s="3"/>
    </row>
    <row r="63" spans="1:17" x14ac:dyDescent="0.3">
      <c r="A63" s="122">
        <f t="shared" si="1"/>
        <v>1</v>
      </c>
      <c r="B63" s="123">
        <f>ROW()-ROW(TabConsolidation[[#Headers],[N]])</f>
        <v>46</v>
      </c>
      <c r="C63" s="34"/>
      <c r="D63" s="35"/>
      <c r="E63" s="36" t="s">
        <v>48</v>
      </c>
      <c r="F63" s="38"/>
      <c r="G63" s="38"/>
      <c r="H63" s="50" t="s">
        <v>32</v>
      </c>
      <c r="I63" s="51"/>
      <c r="J63" s="55"/>
      <c r="K63" s="53"/>
      <c r="L63" s="57"/>
      <c r="M63" s="37"/>
      <c r="N63" s="37"/>
      <c r="O63" s="39"/>
      <c r="P63" s="3"/>
      <c r="Q63" s="3"/>
    </row>
    <row r="64" spans="1:17" x14ac:dyDescent="0.3">
      <c r="A64" s="122">
        <f t="shared" si="1"/>
        <v>1</v>
      </c>
      <c r="B64" s="123">
        <f>ROW()-ROW(TabConsolidation[[#Headers],[N]])</f>
        <v>47</v>
      </c>
      <c r="C64" s="34"/>
      <c r="D64" s="35"/>
      <c r="E64" s="36" t="s">
        <v>44</v>
      </c>
      <c r="F64" s="38"/>
      <c r="G64" s="38"/>
      <c r="H64" s="50" t="s">
        <v>32</v>
      </c>
      <c r="I64" s="51"/>
      <c r="J64" s="55"/>
      <c r="K64" s="53"/>
      <c r="L64" s="57"/>
      <c r="M64" s="37"/>
      <c r="N64" s="37"/>
      <c r="O64" s="39"/>
      <c r="P64" s="3"/>
      <c r="Q64" s="3"/>
    </row>
    <row r="65" spans="1:17" x14ac:dyDescent="0.3">
      <c r="A65" s="122">
        <f t="shared" si="1"/>
        <v>1</v>
      </c>
      <c r="B65" s="123">
        <f>ROW()-ROW(TabConsolidation[[#Headers],[N]])</f>
        <v>48</v>
      </c>
      <c r="C65" s="34"/>
      <c r="D65" s="35"/>
      <c r="E65" s="36" t="s">
        <v>51</v>
      </c>
      <c r="F65" s="38"/>
      <c r="G65" s="38"/>
      <c r="H65" s="50" t="s">
        <v>32</v>
      </c>
      <c r="I65" s="51"/>
      <c r="J65" s="55"/>
      <c r="K65" s="53"/>
      <c r="L65" s="57"/>
      <c r="M65" s="37"/>
      <c r="N65" s="37"/>
      <c r="O65" s="39"/>
      <c r="P65" s="3"/>
      <c r="Q65" s="3"/>
    </row>
    <row r="66" spans="1:17" x14ac:dyDescent="0.3">
      <c r="A66" s="122">
        <f t="shared" si="1"/>
        <v>1</v>
      </c>
      <c r="B66" s="123">
        <f>ROW()-ROW(TabConsolidation[[#Headers],[N]])</f>
        <v>49</v>
      </c>
      <c r="C66" s="34"/>
      <c r="D66" s="35"/>
      <c r="E66" s="36" t="s">
        <v>51</v>
      </c>
      <c r="F66" s="38"/>
      <c r="G66" s="38"/>
      <c r="H66" s="50" t="s">
        <v>32</v>
      </c>
      <c r="I66" s="51"/>
      <c r="J66" s="55"/>
      <c r="K66" s="53"/>
      <c r="L66" s="57"/>
      <c r="M66" s="37"/>
      <c r="N66" s="37"/>
      <c r="O66" s="39"/>
      <c r="P66" s="3"/>
      <c r="Q66" s="3"/>
    </row>
    <row r="67" spans="1:17" x14ac:dyDescent="0.3">
      <c r="A67" s="122">
        <f t="shared" si="1"/>
        <v>1</v>
      </c>
      <c r="B67" s="123">
        <f>ROW()-ROW(TabConsolidation[[#Headers],[N]])</f>
        <v>50</v>
      </c>
      <c r="C67" s="34"/>
      <c r="D67" s="35"/>
      <c r="E67" s="36" t="s">
        <v>52</v>
      </c>
      <c r="F67" s="38"/>
      <c r="G67" s="38"/>
      <c r="H67" s="50" t="s">
        <v>32</v>
      </c>
      <c r="I67" s="51"/>
      <c r="J67" s="55"/>
      <c r="K67" s="53"/>
      <c r="L67" s="57"/>
      <c r="M67" s="37"/>
      <c r="N67" s="37"/>
      <c r="O67" s="39"/>
      <c r="P67" s="3"/>
      <c r="Q67" s="3"/>
    </row>
    <row r="68" spans="1:17" x14ac:dyDescent="0.3">
      <c r="A68" s="122">
        <f t="shared" si="1"/>
        <v>1</v>
      </c>
      <c r="B68" s="123">
        <f>ROW()-ROW(TabConsolidation[[#Headers],[N]])</f>
        <v>51</v>
      </c>
      <c r="C68" s="34"/>
      <c r="D68" s="35"/>
      <c r="E68" s="36" t="s">
        <v>53</v>
      </c>
      <c r="F68" s="38"/>
      <c r="G68" s="38"/>
      <c r="H68" s="50" t="s">
        <v>32</v>
      </c>
      <c r="I68" s="51"/>
      <c r="J68" s="55"/>
      <c r="K68" s="53"/>
      <c r="L68" s="57"/>
      <c r="M68" s="37"/>
      <c r="N68" s="37"/>
      <c r="O68" s="39"/>
      <c r="P68" s="3"/>
      <c r="Q68" s="3"/>
    </row>
    <row r="69" spans="1:17" x14ac:dyDescent="0.3">
      <c r="A69" s="122">
        <f t="shared" si="1"/>
        <v>1</v>
      </c>
      <c r="B69" s="123">
        <f>ROW()-ROW(TabConsolidation[[#Headers],[N]])</f>
        <v>52</v>
      </c>
      <c r="C69" s="34"/>
      <c r="D69" s="35"/>
      <c r="E69" s="36" t="s">
        <v>54</v>
      </c>
      <c r="F69" s="38"/>
      <c r="G69" s="38"/>
      <c r="H69" s="50" t="s">
        <v>32</v>
      </c>
      <c r="I69" s="51"/>
      <c r="J69" s="55"/>
      <c r="K69" s="53"/>
      <c r="L69" s="57"/>
      <c r="M69" s="37"/>
      <c r="N69" s="37"/>
      <c r="O69" s="39"/>
      <c r="P69" s="3"/>
      <c r="Q69" s="3"/>
    </row>
    <row r="70" spans="1:17" x14ac:dyDescent="0.3">
      <c r="A70" s="122">
        <f t="shared" si="1"/>
        <v>1</v>
      </c>
      <c r="B70" s="123">
        <f>ROW()-ROW(TabConsolidation[[#Headers],[N]])</f>
        <v>53</v>
      </c>
      <c r="C70" s="34"/>
      <c r="D70" s="35"/>
      <c r="E70" s="36" t="s">
        <v>55</v>
      </c>
      <c r="F70" s="38"/>
      <c r="G70" s="38"/>
      <c r="H70" s="50" t="s">
        <v>32</v>
      </c>
      <c r="I70" s="51"/>
      <c r="J70" s="55"/>
      <c r="K70" s="53"/>
      <c r="L70" s="57"/>
      <c r="M70" s="37"/>
      <c r="N70" s="37"/>
      <c r="O70" s="39"/>
      <c r="P70" s="3"/>
      <c r="Q70" s="3"/>
    </row>
    <row r="71" spans="1:17" x14ac:dyDescent="0.3">
      <c r="A71" s="122">
        <f t="shared" si="1"/>
        <v>1</v>
      </c>
      <c r="B71" s="123">
        <f>ROW()-ROW(TabConsolidation[[#Headers],[N]])</f>
        <v>54</v>
      </c>
      <c r="C71" s="34"/>
      <c r="D71" s="35"/>
      <c r="E71" s="36" t="s">
        <v>56</v>
      </c>
      <c r="F71" s="38"/>
      <c r="G71" s="38"/>
      <c r="H71" s="50" t="s">
        <v>32</v>
      </c>
      <c r="I71" s="51"/>
      <c r="J71" s="55"/>
      <c r="K71" s="53"/>
      <c r="L71" s="57"/>
      <c r="M71" s="37"/>
      <c r="N71" s="37"/>
      <c r="O71" s="39"/>
      <c r="P71" s="3"/>
      <c r="Q71" s="3"/>
    </row>
    <row r="72" spans="1:17" x14ac:dyDescent="0.3">
      <c r="A72" s="122">
        <f t="shared" si="1"/>
        <v>1</v>
      </c>
      <c r="B72" s="123">
        <f>ROW()-ROW(TabConsolidation[[#Headers],[N]])</f>
        <v>55</v>
      </c>
      <c r="C72" s="34"/>
      <c r="D72" s="35"/>
      <c r="E72" s="36" t="s">
        <v>57</v>
      </c>
      <c r="F72" s="38"/>
      <c r="G72" s="38"/>
      <c r="H72" s="50" t="s">
        <v>32</v>
      </c>
      <c r="I72" s="51"/>
      <c r="J72" s="55"/>
      <c r="K72" s="53"/>
      <c r="L72" s="57"/>
      <c r="M72" s="37"/>
      <c r="N72" s="37"/>
      <c r="O72" s="39"/>
      <c r="P72" s="3"/>
      <c r="Q72" s="3"/>
    </row>
    <row r="73" spans="1:17" x14ac:dyDescent="0.3">
      <c r="A73" s="122">
        <f t="shared" si="1"/>
        <v>1</v>
      </c>
      <c r="B73" s="123">
        <f>ROW()-ROW(TabConsolidation[[#Headers],[N]])</f>
        <v>56</v>
      </c>
      <c r="C73" s="34"/>
      <c r="D73" s="35"/>
      <c r="E73" s="36" t="s">
        <v>58</v>
      </c>
      <c r="F73" s="38"/>
      <c r="G73" s="38"/>
      <c r="H73" s="50" t="s">
        <v>32</v>
      </c>
      <c r="I73" s="51"/>
      <c r="J73" s="55"/>
      <c r="K73" s="53"/>
      <c r="L73" s="57"/>
      <c r="M73" s="37"/>
      <c r="N73" s="37"/>
      <c r="O73" s="39"/>
      <c r="P73" s="3"/>
      <c r="Q73" s="3"/>
    </row>
    <row r="74" spans="1:17" x14ac:dyDescent="0.3">
      <c r="A74" s="122">
        <f t="shared" si="1"/>
        <v>1</v>
      </c>
      <c r="B74" s="123">
        <f>ROW()-ROW(TabConsolidation[[#Headers],[N]])</f>
        <v>57</v>
      </c>
      <c r="C74" s="34"/>
      <c r="D74" s="35"/>
      <c r="E74" s="36" t="s">
        <v>59</v>
      </c>
      <c r="F74" s="38"/>
      <c r="G74" s="38"/>
      <c r="H74" s="50" t="s">
        <v>32</v>
      </c>
      <c r="I74" s="51"/>
      <c r="J74" s="55"/>
      <c r="K74" s="53"/>
      <c r="L74" s="57"/>
      <c r="M74" s="37"/>
      <c r="N74" s="37"/>
      <c r="O74" s="39"/>
      <c r="P74" s="3"/>
      <c r="Q74" s="3"/>
    </row>
    <row r="75" spans="1:17" x14ac:dyDescent="0.3">
      <c r="A75" s="122">
        <f t="shared" si="1"/>
        <v>1</v>
      </c>
      <c r="B75" s="123">
        <f>ROW()-ROW(TabConsolidation[[#Headers],[N]])</f>
        <v>58</v>
      </c>
      <c r="C75" s="34"/>
      <c r="D75" s="35"/>
      <c r="E75" s="36" t="s">
        <v>60</v>
      </c>
      <c r="F75" s="38"/>
      <c r="G75" s="38"/>
      <c r="H75" s="50" t="s">
        <v>32</v>
      </c>
      <c r="I75" s="51"/>
      <c r="J75" s="55"/>
      <c r="K75" s="53"/>
      <c r="L75" s="57"/>
      <c r="M75" s="37"/>
      <c r="N75" s="37"/>
      <c r="O75" s="39"/>
      <c r="P75" s="3"/>
      <c r="Q75" s="3"/>
    </row>
    <row r="76" spans="1:17" x14ac:dyDescent="0.3">
      <c r="A76" s="122">
        <f t="shared" si="1"/>
        <v>1</v>
      </c>
      <c r="B76" s="123">
        <f>ROW()-ROW(TabConsolidation[[#Headers],[N]])</f>
        <v>59</v>
      </c>
      <c r="C76" s="34"/>
      <c r="D76" s="35"/>
      <c r="E76" s="36" t="s">
        <v>61</v>
      </c>
      <c r="F76" s="38"/>
      <c r="G76" s="38"/>
      <c r="H76" s="50" t="s">
        <v>32</v>
      </c>
      <c r="I76" s="51"/>
      <c r="J76" s="55"/>
      <c r="K76" s="53"/>
      <c r="L76" s="57"/>
      <c r="M76" s="37"/>
      <c r="N76" s="37"/>
      <c r="O76" s="39"/>
      <c r="P76" s="3"/>
      <c r="Q76" s="3"/>
    </row>
    <row r="77" spans="1:17" x14ac:dyDescent="0.3">
      <c r="A77" s="122">
        <f t="shared" si="1"/>
        <v>1</v>
      </c>
      <c r="B77" s="123">
        <f>ROW()-ROW(TabConsolidation[[#Headers],[N]])</f>
        <v>60</v>
      </c>
      <c r="C77" s="34"/>
      <c r="D77" s="35"/>
      <c r="E77" s="36" t="s">
        <v>62</v>
      </c>
      <c r="F77" s="38"/>
      <c r="G77" s="38"/>
      <c r="H77" s="50" t="s">
        <v>32</v>
      </c>
      <c r="I77" s="51"/>
      <c r="J77" s="55"/>
      <c r="K77" s="53"/>
      <c r="L77" s="57"/>
      <c r="M77" s="37"/>
      <c r="N77" s="37"/>
      <c r="O77" s="39"/>
      <c r="P77" s="3"/>
      <c r="Q77" s="3"/>
    </row>
    <row r="78" spans="1:17" x14ac:dyDescent="0.3">
      <c r="A78" s="122">
        <f t="shared" si="1"/>
        <v>1</v>
      </c>
      <c r="B78" s="123">
        <f>ROW()-ROW(TabConsolidation[[#Headers],[N]])</f>
        <v>61</v>
      </c>
      <c r="C78" s="34"/>
      <c r="D78" s="35"/>
      <c r="E78" s="36" t="s">
        <v>64</v>
      </c>
      <c r="F78" s="38"/>
      <c r="G78" s="38"/>
      <c r="H78" s="50" t="s">
        <v>32</v>
      </c>
      <c r="I78" s="51"/>
      <c r="J78" s="55"/>
      <c r="K78" s="53"/>
      <c r="L78" s="57"/>
      <c r="M78" s="37"/>
      <c r="N78" s="37"/>
      <c r="O78" s="39"/>
      <c r="P78" s="3"/>
      <c r="Q78" s="3"/>
    </row>
    <row r="79" spans="1:17" x14ac:dyDescent="0.3">
      <c r="A79" s="122">
        <f t="shared" si="1"/>
        <v>1</v>
      </c>
      <c r="B79" s="123">
        <f>ROW()-ROW(TabConsolidation[[#Headers],[N]])</f>
        <v>62</v>
      </c>
      <c r="C79" s="34"/>
      <c r="D79" s="35"/>
      <c r="E79" s="36" t="s">
        <v>64</v>
      </c>
      <c r="F79" s="38"/>
      <c r="G79" s="38"/>
      <c r="H79" s="50" t="s">
        <v>32</v>
      </c>
      <c r="I79" s="51"/>
      <c r="J79" s="55"/>
      <c r="K79" s="53"/>
      <c r="L79" s="57"/>
      <c r="M79" s="37"/>
      <c r="N79" s="37"/>
      <c r="O79" s="39"/>
      <c r="P79" s="3"/>
      <c r="Q79" s="3"/>
    </row>
    <row r="80" spans="1:17" x14ac:dyDescent="0.3">
      <c r="A80" s="122">
        <f t="shared" si="1"/>
        <v>1</v>
      </c>
      <c r="B80" s="123">
        <f>ROW()-ROW(TabConsolidation[[#Headers],[N]])</f>
        <v>63</v>
      </c>
      <c r="C80" s="34"/>
      <c r="D80" s="35"/>
      <c r="E80" s="36" t="s">
        <v>65</v>
      </c>
      <c r="F80" s="38"/>
      <c r="G80" s="38"/>
      <c r="H80" s="50" t="s">
        <v>32</v>
      </c>
      <c r="I80" s="51"/>
      <c r="J80" s="55"/>
      <c r="K80" s="53"/>
      <c r="L80" s="57"/>
      <c r="M80" s="37"/>
      <c r="N80" s="37"/>
      <c r="O80" s="39"/>
      <c r="P80" s="3"/>
      <c r="Q80" s="3"/>
    </row>
    <row r="81" spans="1:17" x14ac:dyDescent="0.3">
      <c r="A81" s="122">
        <f t="shared" si="1"/>
        <v>1</v>
      </c>
      <c r="B81" s="123">
        <f>ROW()-ROW(TabConsolidation[[#Headers],[N]])</f>
        <v>64</v>
      </c>
      <c r="C81" s="34"/>
      <c r="D81" s="35"/>
      <c r="E81" s="36" t="s">
        <v>66</v>
      </c>
      <c r="F81" s="38"/>
      <c r="G81" s="38"/>
      <c r="H81" s="50" t="s">
        <v>32</v>
      </c>
      <c r="I81" s="51"/>
      <c r="J81" s="55"/>
      <c r="K81" s="53"/>
      <c r="L81" s="57"/>
      <c r="M81" s="37"/>
      <c r="N81" s="37"/>
      <c r="O81" s="39"/>
      <c r="P81" s="3"/>
      <c r="Q81" s="3"/>
    </row>
    <row r="82" spans="1:17" x14ac:dyDescent="0.3">
      <c r="A82" s="122">
        <f t="shared" ref="A82:A113" si="2">IF(COUNTA(H82,I82,L82), 1,0)</f>
        <v>1</v>
      </c>
      <c r="B82" s="123">
        <f>ROW()-ROW(TabConsolidation[[#Headers],[N]])</f>
        <v>65</v>
      </c>
      <c r="C82" s="34"/>
      <c r="D82" s="35"/>
      <c r="E82" s="36" t="s">
        <v>67</v>
      </c>
      <c r="F82" s="38"/>
      <c r="G82" s="38"/>
      <c r="H82" s="50" t="s">
        <v>32</v>
      </c>
      <c r="I82" s="51"/>
      <c r="J82" s="55"/>
      <c r="K82" s="53"/>
      <c r="L82" s="57"/>
      <c r="M82" s="37"/>
      <c r="N82" s="37"/>
      <c r="O82" s="39"/>
      <c r="P82" s="3"/>
      <c r="Q82" s="3"/>
    </row>
    <row r="83" spans="1:17" x14ac:dyDescent="0.3">
      <c r="A83" s="122">
        <f t="shared" si="2"/>
        <v>1</v>
      </c>
      <c r="B83" s="123">
        <f>ROW()-ROW(TabConsolidation[[#Headers],[N]])</f>
        <v>66</v>
      </c>
      <c r="C83" s="34"/>
      <c r="D83" s="35"/>
      <c r="E83" s="36" t="s">
        <v>68</v>
      </c>
      <c r="F83" s="38"/>
      <c r="G83" s="38"/>
      <c r="H83" s="50" t="s">
        <v>32</v>
      </c>
      <c r="I83" s="51"/>
      <c r="J83" s="55"/>
      <c r="K83" s="53"/>
      <c r="L83" s="57"/>
      <c r="M83" s="37"/>
      <c r="N83" s="37"/>
      <c r="O83" s="39"/>
      <c r="P83" s="3"/>
      <c r="Q83" s="3"/>
    </row>
    <row r="84" spans="1:17" x14ac:dyDescent="0.3">
      <c r="A84" s="122">
        <f t="shared" si="2"/>
        <v>1</v>
      </c>
      <c r="B84" s="123">
        <f>ROW()-ROW(TabConsolidation[[#Headers],[N]])</f>
        <v>67</v>
      </c>
      <c r="C84" s="34"/>
      <c r="D84" s="35"/>
      <c r="E84" s="36" t="s">
        <v>68</v>
      </c>
      <c r="F84" s="38"/>
      <c r="G84" s="38"/>
      <c r="H84" s="50" t="s">
        <v>32</v>
      </c>
      <c r="I84" s="51"/>
      <c r="J84" s="55"/>
      <c r="K84" s="53"/>
      <c r="L84" s="57"/>
      <c r="M84" s="37"/>
      <c r="N84" s="37"/>
      <c r="O84" s="39"/>
      <c r="P84" s="3"/>
      <c r="Q84" s="3"/>
    </row>
    <row r="85" spans="1:17" x14ac:dyDescent="0.3">
      <c r="A85" s="122">
        <f t="shared" si="2"/>
        <v>1</v>
      </c>
      <c r="B85" s="123">
        <f>ROW()-ROW(TabConsolidation[[#Headers],[N]])</f>
        <v>68</v>
      </c>
      <c r="C85" s="34"/>
      <c r="D85" s="35"/>
      <c r="E85" s="36" t="s">
        <v>69</v>
      </c>
      <c r="F85" s="38"/>
      <c r="G85" s="38"/>
      <c r="H85" s="50" t="s">
        <v>32</v>
      </c>
      <c r="I85" s="51"/>
      <c r="J85" s="55"/>
      <c r="K85" s="53"/>
      <c r="L85" s="57"/>
      <c r="M85" s="37"/>
      <c r="N85" s="37"/>
      <c r="O85" s="39"/>
      <c r="P85" s="3"/>
      <c r="Q85" s="3"/>
    </row>
    <row r="86" spans="1:17" x14ac:dyDescent="0.3">
      <c r="A86" s="122">
        <f t="shared" si="2"/>
        <v>1</v>
      </c>
      <c r="B86" s="123">
        <f>ROW()-ROW(TabConsolidation[[#Headers],[N]])</f>
        <v>69</v>
      </c>
      <c r="C86" s="34"/>
      <c r="D86" s="35"/>
      <c r="E86" s="36" t="s">
        <v>69</v>
      </c>
      <c r="F86" s="38"/>
      <c r="G86" s="38"/>
      <c r="H86" s="50" t="s">
        <v>32</v>
      </c>
      <c r="I86" s="51"/>
      <c r="J86" s="55"/>
      <c r="K86" s="53"/>
      <c r="L86" s="57"/>
      <c r="M86" s="37"/>
      <c r="N86" s="37"/>
      <c r="O86" s="39"/>
      <c r="P86" s="3"/>
      <c r="Q86" s="3"/>
    </row>
    <row r="87" spans="1:17" x14ac:dyDescent="0.3">
      <c r="A87" s="122">
        <f t="shared" si="2"/>
        <v>1</v>
      </c>
      <c r="B87" s="123">
        <f>ROW()-ROW(TabConsolidation[[#Headers],[N]])</f>
        <v>70</v>
      </c>
      <c r="C87" s="34"/>
      <c r="D87" s="35"/>
      <c r="E87" s="36" t="s">
        <v>70</v>
      </c>
      <c r="F87" s="38"/>
      <c r="G87" s="38"/>
      <c r="H87" s="50" t="s">
        <v>32</v>
      </c>
      <c r="I87" s="51"/>
      <c r="J87" s="55"/>
      <c r="K87" s="53"/>
      <c r="L87" s="57"/>
      <c r="M87" s="37"/>
      <c r="N87" s="37"/>
      <c r="O87" s="39"/>
      <c r="P87" s="3"/>
      <c r="Q87" s="3"/>
    </row>
    <row r="88" spans="1:17" x14ac:dyDescent="0.3">
      <c r="A88" s="122">
        <f t="shared" si="2"/>
        <v>1</v>
      </c>
      <c r="B88" s="123">
        <f>ROW()-ROW(TabConsolidation[[#Headers],[N]])</f>
        <v>71</v>
      </c>
      <c r="C88" s="34"/>
      <c r="D88" s="35"/>
      <c r="E88" s="36" t="s">
        <v>102</v>
      </c>
      <c r="F88" s="38"/>
      <c r="G88" s="38"/>
      <c r="H88" s="50" t="s">
        <v>32</v>
      </c>
      <c r="I88" s="51"/>
      <c r="J88" s="55"/>
      <c r="K88" s="53"/>
      <c r="L88" s="57"/>
      <c r="M88" s="37"/>
      <c r="N88" s="37"/>
      <c r="O88" s="39"/>
      <c r="P88" s="3"/>
      <c r="Q88" s="3"/>
    </row>
    <row r="89" spans="1:17" x14ac:dyDescent="0.3">
      <c r="A89" s="122">
        <f t="shared" si="2"/>
        <v>1</v>
      </c>
      <c r="B89" s="123">
        <f>ROW()-ROW(TabConsolidation[[#Headers],[N]])</f>
        <v>72</v>
      </c>
      <c r="C89" s="34"/>
      <c r="D89" s="35"/>
      <c r="E89" s="36" t="s">
        <v>71</v>
      </c>
      <c r="F89" s="38"/>
      <c r="G89" s="38"/>
      <c r="H89" s="50" t="s">
        <v>32</v>
      </c>
      <c r="I89" s="51"/>
      <c r="J89" s="55"/>
      <c r="K89" s="53"/>
      <c r="L89" s="57"/>
      <c r="M89" s="37"/>
      <c r="N89" s="37"/>
      <c r="O89" s="39"/>
      <c r="P89" s="3"/>
      <c r="Q89" s="3"/>
    </row>
    <row r="90" spans="1:17" x14ac:dyDescent="0.3">
      <c r="A90" s="122">
        <f t="shared" si="2"/>
        <v>1</v>
      </c>
      <c r="B90" s="123">
        <f>ROW()-ROW(TabConsolidation[[#Headers],[N]])</f>
        <v>73</v>
      </c>
      <c r="C90" s="97" t="s">
        <v>103</v>
      </c>
      <c r="D90" s="98" t="s">
        <v>73</v>
      </c>
      <c r="E90" s="99" t="s">
        <v>104</v>
      </c>
      <c r="F90" s="49"/>
      <c r="G90" s="38"/>
      <c r="H90" s="50" t="s">
        <v>32</v>
      </c>
      <c r="I90" s="51"/>
      <c r="J90" s="55"/>
      <c r="K90" s="53"/>
      <c r="L90" s="57"/>
      <c r="M90" s="37"/>
      <c r="N90" s="37"/>
      <c r="O90" s="39"/>
      <c r="P90" s="3"/>
      <c r="Q90" s="3"/>
    </row>
    <row r="91" spans="1:17" x14ac:dyDescent="0.3">
      <c r="A91" s="122">
        <f t="shared" si="2"/>
        <v>1</v>
      </c>
      <c r="B91" s="123">
        <f>ROW()-ROW(TabConsolidation[[#Headers],[N]])</f>
        <v>74</v>
      </c>
      <c r="C91" s="34"/>
      <c r="D91" s="35"/>
      <c r="E91" s="36" t="s">
        <v>105</v>
      </c>
      <c r="F91" s="38"/>
      <c r="G91" s="38"/>
      <c r="H91" s="50" t="s">
        <v>32</v>
      </c>
      <c r="I91" s="51"/>
      <c r="J91" s="55"/>
      <c r="K91" s="53"/>
      <c r="L91" s="57"/>
      <c r="M91" s="37"/>
      <c r="N91" s="37"/>
      <c r="O91" s="39"/>
      <c r="P91" s="3"/>
      <c r="Q91" s="3"/>
    </row>
    <row r="92" spans="1:17" x14ac:dyDescent="0.3">
      <c r="A92" s="122">
        <f t="shared" si="2"/>
        <v>1</v>
      </c>
      <c r="B92" s="123">
        <f>ROW()-ROW(TabConsolidation[[#Headers],[N]])</f>
        <v>75</v>
      </c>
      <c r="C92" s="34"/>
      <c r="D92" s="35"/>
      <c r="E92" s="36" t="s">
        <v>106</v>
      </c>
      <c r="F92" s="38"/>
      <c r="G92" s="38"/>
      <c r="H92" s="50" t="s">
        <v>32</v>
      </c>
      <c r="I92" s="51"/>
      <c r="J92" s="55"/>
      <c r="K92" s="53"/>
      <c r="L92" s="57"/>
      <c r="M92" s="37"/>
      <c r="N92" s="37"/>
      <c r="O92" s="39"/>
      <c r="P92" s="3"/>
      <c r="Q92" s="3"/>
    </row>
    <row r="93" spans="1:17" x14ac:dyDescent="0.3">
      <c r="A93" s="122">
        <f t="shared" si="2"/>
        <v>1</v>
      </c>
      <c r="B93" s="123">
        <f>ROW()-ROW(TabConsolidation[[#Headers],[N]])</f>
        <v>76</v>
      </c>
      <c r="C93" s="34"/>
      <c r="D93" s="35"/>
      <c r="E93" s="36" t="s">
        <v>107</v>
      </c>
      <c r="F93" s="38"/>
      <c r="G93" s="38"/>
      <c r="H93" s="50" t="s">
        <v>32</v>
      </c>
      <c r="I93" s="51"/>
      <c r="J93" s="55"/>
      <c r="K93" s="53"/>
      <c r="L93" s="57"/>
      <c r="M93" s="37"/>
      <c r="N93" s="37"/>
      <c r="O93" s="39"/>
      <c r="P93" s="3"/>
      <c r="Q93" s="3"/>
    </row>
    <row r="94" spans="1:17" x14ac:dyDescent="0.3">
      <c r="A94" s="122">
        <f t="shared" si="2"/>
        <v>1</v>
      </c>
      <c r="B94" s="123">
        <f>ROW()-ROW(TabConsolidation[[#Headers],[N]])</f>
        <v>77</v>
      </c>
      <c r="C94" s="34"/>
      <c r="D94" s="35"/>
      <c r="E94" s="36" t="s">
        <v>108</v>
      </c>
      <c r="F94" s="38"/>
      <c r="G94" s="38"/>
      <c r="H94" s="50" t="s">
        <v>32</v>
      </c>
      <c r="I94" s="51"/>
      <c r="J94" s="55"/>
      <c r="K94" s="53"/>
      <c r="L94" s="57"/>
      <c r="M94" s="37"/>
      <c r="N94" s="37"/>
      <c r="O94" s="39"/>
      <c r="P94" s="3"/>
      <c r="Q94" s="3"/>
    </row>
    <row r="95" spans="1:17" x14ac:dyDescent="0.3">
      <c r="A95" s="122">
        <f t="shared" si="2"/>
        <v>1</v>
      </c>
      <c r="B95" s="123">
        <f>ROW()-ROW(TabConsolidation[[#Headers],[N]])</f>
        <v>78</v>
      </c>
      <c r="C95" s="34"/>
      <c r="D95" s="35"/>
      <c r="E95" s="36" t="s">
        <v>109</v>
      </c>
      <c r="F95" s="38"/>
      <c r="G95" s="38"/>
      <c r="H95" s="50" t="s">
        <v>32</v>
      </c>
      <c r="I95" s="51"/>
      <c r="J95" s="55"/>
      <c r="K95" s="53"/>
      <c r="L95" s="57"/>
      <c r="M95" s="37"/>
      <c r="N95" s="37"/>
      <c r="O95" s="39"/>
      <c r="P95" s="3"/>
      <c r="Q95" s="3"/>
    </row>
    <row r="96" spans="1:17" x14ac:dyDescent="0.3">
      <c r="A96" s="122">
        <f t="shared" si="2"/>
        <v>1</v>
      </c>
      <c r="B96" s="123">
        <f>ROW()-ROW(TabConsolidation[[#Headers],[N]])</f>
        <v>79</v>
      </c>
      <c r="C96" s="34"/>
      <c r="D96" s="35"/>
      <c r="E96" s="36" t="s">
        <v>110</v>
      </c>
      <c r="F96" s="38"/>
      <c r="G96" s="38"/>
      <c r="H96" s="50" t="s">
        <v>32</v>
      </c>
      <c r="I96" s="51"/>
      <c r="J96" s="55"/>
      <c r="K96" s="53"/>
      <c r="L96" s="57"/>
      <c r="M96" s="37"/>
      <c r="N96" s="37"/>
      <c r="O96" s="39"/>
      <c r="P96" s="3"/>
      <c r="Q96" s="3"/>
    </row>
    <row r="97" spans="1:17" x14ac:dyDescent="0.3">
      <c r="A97" s="122">
        <f t="shared" si="2"/>
        <v>1</v>
      </c>
      <c r="B97" s="123">
        <f>ROW()-ROW(TabConsolidation[[#Headers],[N]])</f>
        <v>80</v>
      </c>
      <c r="C97" s="34"/>
      <c r="D97" s="35"/>
      <c r="E97" s="36" t="s">
        <v>111</v>
      </c>
      <c r="F97" s="38"/>
      <c r="G97" s="38"/>
      <c r="H97" s="50" t="s">
        <v>32</v>
      </c>
      <c r="I97" s="51"/>
      <c r="J97" s="55"/>
      <c r="K97" s="53"/>
      <c r="L97" s="57"/>
      <c r="M97" s="37"/>
      <c r="N97" s="37"/>
      <c r="O97" s="39"/>
      <c r="P97" s="3"/>
      <c r="Q97" s="3"/>
    </row>
    <row r="98" spans="1:17" x14ac:dyDescent="0.3">
      <c r="A98" s="122">
        <f t="shared" si="2"/>
        <v>1</v>
      </c>
      <c r="B98" s="123">
        <f>ROW()-ROW(TabConsolidation[[#Headers],[N]])</f>
        <v>81</v>
      </c>
      <c r="C98" s="34"/>
      <c r="D98" s="35"/>
      <c r="E98" s="36" t="s">
        <v>112</v>
      </c>
      <c r="F98" s="38"/>
      <c r="G98" s="38"/>
      <c r="H98" s="50" t="s">
        <v>32</v>
      </c>
      <c r="I98" s="51"/>
      <c r="J98" s="55"/>
      <c r="K98" s="53"/>
      <c r="L98" s="57"/>
      <c r="M98" s="37"/>
      <c r="N98" s="37"/>
      <c r="O98" s="39"/>
      <c r="P98" s="3"/>
      <c r="Q98" s="3"/>
    </row>
    <row r="99" spans="1:17" x14ac:dyDescent="0.3">
      <c r="A99" s="122">
        <f t="shared" si="2"/>
        <v>1</v>
      </c>
      <c r="B99" s="123">
        <f>ROW()-ROW(TabConsolidation[[#Headers],[N]])</f>
        <v>82</v>
      </c>
      <c r="C99" s="34"/>
      <c r="D99" s="35"/>
      <c r="E99" s="36" t="s">
        <v>113</v>
      </c>
      <c r="F99" s="38"/>
      <c r="G99" s="38"/>
      <c r="H99" s="50" t="s">
        <v>32</v>
      </c>
      <c r="I99" s="51"/>
      <c r="J99" s="55"/>
      <c r="K99" s="53"/>
      <c r="L99" s="57"/>
      <c r="M99" s="37"/>
      <c r="N99" s="37"/>
      <c r="O99" s="39"/>
      <c r="P99" s="3"/>
      <c r="Q99" s="3"/>
    </row>
    <row r="100" spans="1:17" x14ac:dyDescent="0.3">
      <c r="A100" s="122">
        <f t="shared" si="2"/>
        <v>1</v>
      </c>
      <c r="B100" s="123">
        <f>ROW()-ROW(TabConsolidation[[#Headers],[N]])</f>
        <v>83</v>
      </c>
      <c r="C100" s="34"/>
      <c r="D100" s="35"/>
      <c r="E100" s="36" t="s">
        <v>114</v>
      </c>
      <c r="F100" s="38"/>
      <c r="G100" s="38"/>
      <c r="H100" s="50" t="s">
        <v>32</v>
      </c>
      <c r="I100" s="51"/>
      <c r="J100" s="55"/>
      <c r="K100" s="53"/>
      <c r="L100" s="57"/>
      <c r="M100" s="37"/>
      <c r="N100" s="37"/>
      <c r="O100" s="39"/>
      <c r="P100" s="3"/>
      <c r="Q100" s="3"/>
    </row>
    <row r="101" spans="1:17" x14ac:dyDescent="0.3">
      <c r="A101" s="122">
        <f t="shared" si="2"/>
        <v>1</v>
      </c>
      <c r="B101" s="123">
        <f>ROW()-ROW(TabConsolidation[[#Headers],[N]])</f>
        <v>84</v>
      </c>
      <c r="C101" s="34"/>
      <c r="D101" s="35"/>
      <c r="E101" s="36" t="s">
        <v>115</v>
      </c>
      <c r="F101" s="38"/>
      <c r="G101" s="38"/>
      <c r="H101" s="50" t="s">
        <v>32</v>
      </c>
      <c r="I101" s="51"/>
      <c r="J101" s="55"/>
      <c r="K101" s="53"/>
      <c r="L101" s="57"/>
      <c r="M101" s="37"/>
      <c r="N101" s="37"/>
      <c r="O101" s="39"/>
      <c r="P101" s="3"/>
      <c r="Q101" s="3"/>
    </row>
    <row r="102" spans="1:17" x14ac:dyDescent="0.3">
      <c r="A102" s="122">
        <f t="shared" si="2"/>
        <v>1</v>
      </c>
      <c r="B102" s="123">
        <f>ROW()-ROW(TabConsolidation[[#Headers],[N]])</f>
        <v>85</v>
      </c>
      <c r="C102" s="34"/>
      <c r="D102" s="35"/>
      <c r="E102" s="36" t="s">
        <v>116</v>
      </c>
      <c r="F102" s="38"/>
      <c r="G102" s="38"/>
      <c r="H102" s="50" t="s">
        <v>32</v>
      </c>
      <c r="I102" s="51"/>
      <c r="J102" s="55"/>
      <c r="K102" s="53"/>
      <c r="L102" s="57"/>
      <c r="M102" s="37"/>
      <c r="N102" s="37"/>
      <c r="O102" s="39"/>
      <c r="P102" s="3"/>
      <c r="Q102" s="3"/>
    </row>
    <row r="103" spans="1:17" x14ac:dyDescent="0.3">
      <c r="A103" s="122">
        <f t="shared" si="2"/>
        <v>1</v>
      </c>
      <c r="B103" s="123">
        <f>ROW()-ROW(TabConsolidation[[#Headers],[N]])</f>
        <v>86</v>
      </c>
      <c r="C103" s="34"/>
      <c r="D103" s="35"/>
      <c r="E103" s="36" t="s">
        <v>117</v>
      </c>
      <c r="F103" s="38"/>
      <c r="G103" s="38"/>
      <c r="H103" s="50" t="s">
        <v>32</v>
      </c>
      <c r="I103" s="51"/>
      <c r="J103" s="55"/>
      <c r="K103" s="53"/>
      <c r="L103" s="57"/>
      <c r="M103" s="37"/>
      <c r="N103" s="37"/>
      <c r="O103" s="39"/>
      <c r="P103" s="3"/>
      <c r="Q103" s="3"/>
    </row>
    <row r="104" spans="1:17" x14ac:dyDescent="0.3">
      <c r="A104" s="122">
        <f t="shared" si="2"/>
        <v>1</v>
      </c>
      <c r="B104" s="123">
        <f>ROW()-ROW(TabConsolidation[[#Headers],[N]])</f>
        <v>87</v>
      </c>
      <c r="C104" s="34"/>
      <c r="D104" s="35"/>
      <c r="E104" s="36" t="s">
        <v>118</v>
      </c>
      <c r="F104" s="38"/>
      <c r="G104" s="38"/>
      <c r="H104" s="50" t="s">
        <v>32</v>
      </c>
      <c r="I104" s="51"/>
      <c r="J104" s="55"/>
      <c r="K104" s="53"/>
      <c r="L104" s="57"/>
      <c r="M104" s="37"/>
      <c r="N104" s="37"/>
      <c r="O104" s="39"/>
      <c r="P104" s="3"/>
      <c r="Q104" s="3"/>
    </row>
    <row r="105" spans="1:17" x14ac:dyDescent="0.3">
      <c r="A105" s="122">
        <f t="shared" si="2"/>
        <v>1</v>
      </c>
      <c r="B105" s="123">
        <f>ROW()-ROW(TabConsolidation[[#Headers],[N]])</f>
        <v>88</v>
      </c>
      <c r="C105" s="34"/>
      <c r="D105" s="35"/>
      <c r="E105" s="36" t="s">
        <v>119</v>
      </c>
      <c r="F105" s="38"/>
      <c r="G105" s="38"/>
      <c r="H105" s="50" t="s">
        <v>32</v>
      </c>
      <c r="I105" s="51"/>
      <c r="J105" s="55"/>
      <c r="K105" s="53"/>
      <c r="L105" s="57"/>
      <c r="M105" s="37"/>
      <c r="N105" s="37"/>
      <c r="O105" s="39"/>
      <c r="P105" s="3"/>
      <c r="Q105" s="3"/>
    </row>
    <row r="106" spans="1:17" x14ac:dyDescent="0.3">
      <c r="A106" s="122">
        <f t="shared" si="2"/>
        <v>1</v>
      </c>
      <c r="B106" s="123">
        <f>ROW()-ROW(TabConsolidation[[#Headers],[N]])</f>
        <v>89</v>
      </c>
      <c r="C106" s="34"/>
      <c r="D106" s="35"/>
      <c r="E106" s="36" t="s">
        <v>120</v>
      </c>
      <c r="F106" s="38"/>
      <c r="G106" s="38"/>
      <c r="H106" s="50" t="s">
        <v>32</v>
      </c>
      <c r="I106" s="51"/>
      <c r="J106" s="55"/>
      <c r="K106" s="53"/>
      <c r="L106" s="57"/>
      <c r="M106" s="37"/>
      <c r="N106" s="37"/>
      <c r="O106" s="39"/>
      <c r="P106" s="3"/>
      <c r="Q106" s="3"/>
    </row>
    <row r="107" spans="1:17" x14ac:dyDescent="0.3">
      <c r="A107" s="122">
        <f t="shared" si="2"/>
        <v>1</v>
      </c>
      <c r="B107" s="123">
        <f>ROW()-ROW(TabConsolidation[[#Headers],[N]])</f>
        <v>90</v>
      </c>
      <c r="C107" s="34"/>
      <c r="D107" s="35"/>
      <c r="E107" s="36" t="s">
        <v>121</v>
      </c>
      <c r="F107" s="38"/>
      <c r="G107" s="38"/>
      <c r="H107" s="50" t="s">
        <v>32</v>
      </c>
      <c r="I107" s="51"/>
      <c r="J107" s="55"/>
      <c r="K107" s="53"/>
      <c r="L107" s="57"/>
      <c r="M107" s="37"/>
      <c r="N107" s="37"/>
      <c r="O107" s="39"/>
      <c r="P107" s="3"/>
      <c r="Q107" s="3"/>
    </row>
    <row r="108" spans="1:17" x14ac:dyDescent="0.3">
      <c r="A108" s="122">
        <f t="shared" si="2"/>
        <v>1</v>
      </c>
      <c r="B108" s="123">
        <f>ROW()-ROW(TabConsolidation[[#Headers],[N]])</f>
        <v>91</v>
      </c>
      <c r="C108" s="34"/>
      <c r="D108" s="35"/>
      <c r="E108" s="36" t="s">
        <v>122</v>
      </c>
      <c r="F108" s="38"/>
      <c r="G108" s="38"/>
      <c r="H108" s="50" t="s">
        <v>32</v>
      </c>
      <c r="I108" s="51"/>
      <c r="J108" s="55"/>
      <c r="K108" s="53"/>
      <c r="L108" s="57"/>
      <c r="M108" s="37"/>
      <c r="N108" s="37"/>
      <c r="O108" s="39"/>
      <c r="P108" s="3"/>
      <c r="Q108" s="3"/>
    </row>
    <row r="109" spans="1:17" x14ac:dyDescent="0.3">
      <c r="A109" s="122">
        <f t="shared" si="2"/>
        <v>1</v>
      </c>
      <c r="B109" s="123">
        <f>ROW()-ROW(TabConsolidation[[#Headers],[N]])</f>
        <v>92</v>
      </c>
      <c r="C109" s="34"/>
      <c r="D109" s="35"/>
      <c r="E109" s="36" t="s">
        <v>95</v>
      </c>
      <c r="F109" s="38"/>
      <c r="G109" s="38"/>
      <c r="H109" s="50" t="s">
        <v>32</v>
      </c>
      <c r="I109" s="51"/>
      <c r="J109" s="55"/>
      <c r="K109" s="53"/>
      <c r="L109" s="57"/>
      <c r="M109" s="37"/>
      <c r="N109" s="37"/>
      <c r="O109" s="39"/>
      <c r="P109" s="3"/>
      <c r="Q109" s="3"/>
    </row>
    <row r="110" spans="1:17" x14ac:dyDescent="0.3">
      <c r="A110" s="122">
        <f t="shared" si="2"/>
        <v>1</v>
      </c>
      <c r="B110" s="123">
        <f>ROW()-ROW(TabConsolidation[[#Headers],[N]])</f>
        <v>93</v>
      </c>
      <c r="C110" s="34"/>
      <c r="D110" s="35"/>
      <c r="E110" s="36" t="s">
        <v>123</v>
      </c>
      <c r="F110" s="38"/>
      <c r="G110" s="38"/>
      <c r="H110" s="50" t="s">
        <v>32</v>
      </c>
      <c r="I110" s="51"/>
      <c r="J110" s="55"/>
      <c r="K110" s="53"/>
      <c r="L110" s="57"/>
      <c r="M110" s="37"/>
      <c r="N110" s="37"/>
      <c r="O110" s="39"/>
      <c r="P110" s="3"/>
      <c r="Q110" s="3"/>
    </row>
    <row r="111" spans="1:17" x14ac:dyDescent="0.3">
      <c r="A111" s="122">
        <f t="shared" si="2"/>
        <v>1</v>
      </c>
      <c r="B111" s="123">
        <f>ROW()-ROW(TabConsolidation[[#Headers],[N]])</f>
        <v>94</v>
      </c>
      <c r="C111" s="34"/>
      <c r="D111" s="35"/>
      <c r="E111" s="36" t="s">
        <v>30</v>
      </c>
      <c r="F111" s="38"/>
      <c r="G111" s="38"/>
      <c r="H111" s="50" t="s">
        <v>32</v>
      </c>
      <c r="I111" s="51"/>
      <c r="J111" s="55"/>
      <c r="K111" s="53"/>
      <c r="L111" s="57"/>
      <c r="M111" s="37"/>
      <c r="N111" s="37"/>
      <c r="O111" s="39"/>
      <c r="P111" s="3"/>
      <c r="Q111" s="3"/>
    </row>
    <row r="112" spans="1:17" x14ac:dyDescent="0.3">
      <c r="A112" s="122">
        <f t="shared" si="2"/>
        <v>1</v>
      </c>
      <c r="B112" s="123">
        <f>ROW()-ROW(TabConsolidation[[#Headers],[N]])</f>
        <v>95</v>
      </c>
      <c r="C112" s="34"/>
      <c r="D112" s="35"/>
      <c r="E112" s="36" t="s">
        <v>124</v>
      </c>
      <c r="F112" s="38"/>
      <c r="G112" s="38"/>
      <c r="H112" s="50" t="s">
        <v>32</v>
      </c>
      <c r="I112" s="51"/>
      <c r="J112" s="55"/>
      <c r="K112" s="53"/>
      <c r="L112" s="57"/>
      <c r="M112" s="37"/>
      <c r="N112" s="37"/>
      <c r="O112" s="39"/>
      <c r="P112" s="3"/>
      <c r="Q112" s="3"/>
    </row>
    <row r="113" spans="1:17" x14ac:dyDescent="0.3">
      <c r="A113" s="122">
        <f t="shared" si="2"/>
        <v>1</v>
      </c>
      <c r="B113" s="123">
        <f>ROW()-ROW(TabConsolidation[[#Headers],[N]])</f>
        <v>96</v>
      </c>
      <c r="C113" s="34"/>
      <c r="D113" s="35"/>
      <c r="E113" s="36" t="s">
        <v>125</v>
      </c>
      <c r="F113" s="38"/>
      <c r="G113" s="38"/>
      <c r="H113" s="50" t="s">
        <v>32</v>
      </c>
      <c r="I113" s="51"/>
      <c r="J113" s="55"/>
      <c r="K113" s="53"/>
      <c r="L113" s="57"/>
      <c r="M113" s="37"/>
      <c r="N113" s="37"/>
      <c r="O113" s="39"/>
      <c r="P113" s="3"/>
      <c r="Q113" s="3"/>
    </row>
    <row r="114" spans="1:17" x14ac:dyDescent="0.3">
      <c r="A114" s="122">
        <f t="shared" ref="A114:A145" si="3">IF(COUNTA(H114,I114,L114), 1,0)</f>
        <v>1</v>
      </c>
      <c r="B114" s="123">
        <f>ROW()-ROW(TabConsolidation[[#Headers],[N]])</f>
        <v>97</v>
      </c>
      <c r="C114" s="34"/>
      <c r="D114" s="35"/>
      <c r="E114" s="36" t="s">
        <v>126</v>
      </c>
      <c r="F114" s="38"/>
      <c r="G114" s="38"/>
      <c r="H114" s="50" t="s">
        <v>32</v>
      </c>
      <c r="I114" s="51"/>
      <c r="J114" s="55"/>
      <c r="K114" s="53"/>
      <c r="L114" s="57"/>
      <c r="M114" s="37"/>
      <c r="N114" s="37"/>
      <c r="O114" s="39"/>
      <c r="P114" s="3"/>
      <c r="Q114" s="3"/>
    </row>
    <row r="115" spans="1:17" x14ac:dyDescent="0.3">
      <c r="A115" s="122">
        <f t="shared" si="3"/>
        <v>1</v>
      </c>
      <c r="B115" s="123">
        <f>ROW()-ROW(TabConsolidation[[#Headers],[N]])</f>
        <v>98</v>
      </c>
      <c r="C115" s="34"/>
      <c r="D115" s="35"/>
      <c r="E115" s="36" t="s">
        <v>127</v>
      </c>
      <c r="F115" s="38"/>
      <c r="G115" s="38"/>
      <c r="H115" s="50" t="s">
        <v>32</v>
      </c>
      <c r="I115" s="51"/>
      <c r="J115" s="55"/>
      <c r="K115" s="53"/>
      <c r="L115" s="57"/>
      <c r="M115" s="37"/>
      <c r="N115" s="37"/>
      <c r="O115" s="39"/>
      <c r="P115" s="3"/>
      <c r="Q115" s="3"/>
    </row>
    <row r="116" spans="1:17" x14ac:dyDescent="0.3">
      <c r="A116" s="122">
        <f t="shared" si="3"/>
        <v>1</v>
      </c>
      <c r="B116" s="123">
        <f>ROW()-ROW(TabConsolidation[[#Headers],[N]])</f>
        <v>99</v>
      </c>
      <c r="C116" s="34"/>
      <c r="D116" s="35"/>
      <c r="E116" s="36" t="s">
        <v>128</v>
      </c>
      <c r="F116" s="38"/>
      <c r="G116" s="38"/>
      <c r="H116" s="50" t="s">
        <v>32</v>
      </c>
      <c r="I116" s="51"/>
      <c r="J116" s="55"/>
      <c r="K116" s="53"/>
      <c r="L116" s="57"/>
      <c r="M116" s="37"/>
      <c r="N116" s="37"/>
      <c r="O116" s="39"/>
      <c r="P116" s="3"/>
      <c r="Q116" s="3"/>
    </row>
    <row r="117" spans="1:17" x14ac:dyDescent="0.3">
      <c r="A117" s="122">
        <f t="shared" si="3"/>
        <v>1</v>
      </c>
      <c r="B117" s="123">
        <f>ROW()-ROW(TabConsolidation[[#Headers],[N]])</f>
        <v>100</v>
      </c>
      <c r="C117" s="34"/>
      <c r="D117" s="35"/>
      <c r="E117" s="36" t="s">
        <v>129</v>
      </c>
      <c r="F117" s="38"/>
      <c r="G117" s="38"/>
      <c r="H117" s="50" t="s">
        <v>32</v>
      </c>
      <c r="I117" s="51"/>
      <c r="J117" s="55"/>
      <c r="K117" s="53"/>
      <c r="L117" s="57"/>
      <c r="M117" s="37"/>
      <c r="N117" s="37"/>
      <c r="O117" s="39"/>
      <c r="P117" s="3"/>
      <c r="Q117" s="3"/>
    </row>
    <row r="118" spans="1:17" x14ac:dyDescent="0.3">
      <c r="A118" s="122">
        <f t="shared" si="3"/>
        <v>1</v>
      </c>
      <c r="B118" s="123">
        <f>ROW()-ROW(TabConsolidation[[#Headers],[N]])</f>
        <v>101</v>
      </c>
      <c r="C118" s="34"/>
      <c r="D118" s="35"/>
      <c r="E118" s="36" t="s">
        <v>23</v>
      </c>
      <c r="F118" s="38"/>
      <c r="G118" s="38"/>
      <c r="H118" s="50" t="s">
        <v>32</v>
      </c>
      <c r="I118" s="51"/>
      <c r="J118" s="55"/>
      <c r="K118" s="53"/>
      <c r="L118" s="57"/>
      <c r="M118" s="37"/>
      <c r="N118" s="37"/>
      <c r="O118" s="39"/>
      <c r="P118" s="3"/>
      <c r="Q118" s="3"/>
    </row>
    <row r="119" spans="1:17" x14ac:dyDescent="0.3">
      <c r="A119" s="122">
        <f t="shared" si="3"/>
        <v>1</v>
      </c>
      <c r="B119" s="123">
        <f>ROW()-ROW(TabConsolidation[[#Headers],[N]])</f>
        <v>102</v>
      </c>
      <c r="C119" s="34"/>
      <c r="D119" s="35"/>
      <c r="E119" s="36" t="s">
        <v>24</v>
      </c>
      <c r="F119" s="38"/>
      <c r="G119" s="38"/>
      <c r="H119" s="50" t="s">
        <v>32</v>
      </c>
      <c r="I119" s="51"/>
      <c r="J119" s="55"/>
      <c r="K119" s="53"/>
      <c r="L119" s="57"/>
      <c r="M119" s="37"/>
      <c r="N119" s="37"/>
      <c r="O119" s="39"/>
      <c r="P119" s="3"/>
      <c r="Q119" s="3"/>
    </row>
    <row r="120" spans="1:17" x14ac:dyDescent="0.3">
      <c r="A120" s="122">
        <f t="shared" si="3"/>
        <v>1</v>
      </c>
      <c r="B120" s="123">
        <f>ROW()-ROW(TabConsolidation[[#Headers],[N]])</f>
        <v>103</v>
      </c>
      <c r="C120" s="34"/>
      <c r="D120" s="35"/>
      <c r="E120" s="36" t="s">
        <v>130</v>
      </c>
      <c r="F120" s="38"/>
      <c r="G120" s="38"/>
      <c r="H120" s="50" t="s">
        <v>32</v>
      </c>
      <c r="I120" s="51"/>
      <c r="J120" s="55"/>
      <c r="K120" s="53"/>
      <c r="L120" s="57"/>
      <c r="M120" s="37"/>
      <c r="N120" s="37"/>
      <c r="O120" s="39"/>
      <c r="P120" s="3"/>
      <c r="Q120" s="3"/>
    </row>
    <row r="121" spans="1:17" x14ac:dyDescent="0.3">
      <c r="A121" s="122">
        <f t="shared" si="3"/>
        <v>1</v>
      </c>
      <c r="B121" s="123">
        <f>ROW()-ROW(TabConsolidation[[#Headers],[N]])</f>
        <v>104</v>
      </c>
      <c r="C121" s="34"/>
      <c r="D121" s="35"/>
      <c r="E121" s="36" t="s">
        <v>131</v>
      </c>
      <c r="F121" s="38"/>
      <c r="G121" s="38"/>
      <c r="H121" s="50" t="s">
        <v>32</v>
      </c>
      <c r="I121" s="51"/>
      <c r="J121" s="55"/>
      <c r="K121" s="53"/>
      <c r="L121" s="57"/>
      <c r="M121" s="37"/>
      <c r="N121" s="37"/>
      <c r="O121" s="39"/>
      <c r="P121" s="3"/>
      <c r="Q121" s="3"/>
    </row>
    <row r="122" spans="1:17" x14ac:dyDescent="0.3">
      <c r="A122" s="122">
        <f t="shared" si="3"/>
        <v>1</v>
      </c>
      <c r="B122" s="123">
        <f>ROW()-ROW(TabConsolidation[[#Headers],[N]])</f>
        <v>105</v>
      </c>
      <c r="C122" s="34"/>
      <c r="D122" s="35"/>
      <c r="E122" s="36" t="s">
        <v>132</v>
      </c>
      <c r="F122" s="38"/>
      <c r="G122" s="38"/>
      <c r="H122" s="50" t="s">
        <v>32</v>
      </c>
      <c r="I122" s="51"/>
      <c r="J122" s="55"/>
      <c r="K122" s="53"/>
      <c r="L122" s="57"/>
      <c r="M122" s="37"/>
      <c r="N122" s="37"/>
      <c r="O122" s="39"/>
      <c r="P122" s="3"/>
      <c r="Q122" s="3"/>
    </row>
    <row r="123" spans="1:17" x14ac:dyDescent="0.3">
      <c r="A123" s="122">
        <f t="shared" si="3"/>
        <v>1</v>
      </c>
      <c r="B123" s="123">
        <f>ROW()-ROW(TabConsolidation[[#Headers],[N]])</f>
        <v>106</v>
      </c>
      <c r="C123" s="34"/>
      <c r="D123" s="35"/>
      <c r="E123" s="36" t="s">
        <v>133</v>
      </c>
      <c r="F123" s="38"/>
      <c r="G123" s="38"/>
      <c r="H123" s="50" t="s">
        <v>32</v>
      </c>
      <c r="I123" s="51"/>
      <c r="J123" s="55"/>
      <c r="K123" s="53"/>
      <c r="L123" s="57"/>
      <c r="M123" s="37"/>
      <c r="N123" s="37"/>
      <c r="O123" s="39"/>
      <c r="P123" s="3"/>
      <c r="Q123" s="3"/>
    </row>
    <row r="124" spans="1:17" x14ac:dyDescent="0.3">
      <c r="A124" s="122">
        <f t="shared" si="3"/>
        <v>1</v>
      </c>
      <c r="B124" s="123">
        <f>ROW()-ROW(TabConsolidation[[#Headers],[N]])</f>
        <v>107</v>
      </c>
      <c r="C124" s="34"/>
      <c r="D124" s="35"/>
      <c r="E124" s="36" t="s">
        <v>28</v>
      </c>
      <c r="F124" s="38"/>
      <c r="G124" s="38"/>
      <c r="H124" s="50" t="s">
        <v>32</v>
      </c>
      <c r="I124" s="51"/>
      <c r="J124" s="55"/>
      <c r="K124" s="53"/>
      <c r="L124" s="57"/>
      <c r="M124" s="37"/>
      <c r="N124" s="37"/>
      <c r="O124" s="39"/>
      <c r="P124" s="3"/>
      <c r="Q124" s="3"/>
    </row>
    <row r="125" spans="1:17" x14ac:dyDescent="0.3">
      <c r="A125" s="122">
        <f t="shared" si="3"/>
        <v>1</v>
      </c>
      <c r="B125" s="123">
        <f>ROW()-ROW(TabConsolidation[[#Headers],[N]])</f>
        <v>108</v>
      </c>
      <c r="C125" s="34"/>
      <c r="D125" s="35"/>
      <c r="E125" s="36" t="s">
        <v>134</v>
      </c>
      <c r="F125" s="38"/>
      <c r="G125" s="38"/>
      <c r="H125" s="50" t="s">
        <v>32</v>
      </c>
      <c r="I125" s="51"/>
      <c r="J125" s="55"/>
      <c r="K125" s="53"/>
      <c r="L125" s="57"/>
      <c r="M125" s="37"/>
      <c r="N125" s="37"/>
      <c r="O125" s="39"/>
      <c r="P125" s="3"/>
      <c r="Q125" s="3"/>
    </row>
    <row r="126" spans="1:17" x14ac:dyDescent="0.3">
      <c r="A126" s="122">
        <f t="shared" si="3"/>
        <v>1</v>
      </c>
      <c r="B126" s="123">
        <f>ROW()-ROW(TabConsolidation[[#Headers],[N]])</f>
        <v>109</v>
      </c>
      <c r="C126" s="34"/>
      <c r="D126" s="35"/>
      <c r="E126" s="36" t="s">
        <v>135</v>
      </c>
      <c r="F126" s="38"/>
      <c r="G126" s="38"/>
      <c r="H126" s="50" t="s">
        <v>32</v>
      </c>
      <c r="I126" s="51"/>
      <c r="J126" s="55"/>
      <c r="K126" s="53"/>
      <c r="L126" s="57"/>
      <c r="M126" s="37"/>
      <c r="N126" s="37"/>
      <c r="O126" s="39"/>
      <c r="P126" s="3"/>
      <c r="Q126" s="3"/>
    </row>
    <row r="127" spans="1:17" x14ac:dyDescent="0.3">
      <c r="A127" s="122">
        <f t="shared" si="3"/>
        <v>1</v>
      </c>
      <c r="B127" s="123">
        <f>ROW()-ROW(TabConsolidation[[#Headers],[N]])</f>
        <v>110</v>
      </c>
      <c r="C127" s="34"/>
      <c r="D127" s="35"/>
      <c r="E127" s="36" t="s">
        <v>115</v>
      </c>
      <c r="F127" s="38"/>
      <c r="G127" s="38"/>
      <c r="H127" s="50" t="s">
        <v>32</v>
      </c>
      <c r="I127" s="51"/>
      <c r="J127" s="55"/>
      <c r="K127" s="53"/>
      <c r="L127" s="57"/>
      <c r="M127" s="37"/>
      <c r="N127" s="37"/>
      <c r="O127" s="39"/>
      <c r="P127" s="3"/>
      <c r="Q127" s="3"/>
    </row>
    <row r="128" spans="1:17" x14ac:dyDescent="0.3">
      <c r="A128" s="122">
        <f t="shared" si="3"/>
        <v>1</v>
      </c>
      <c r="B128" s="123">
        <f>ROW()-ROW(TabConsolidation[[#Headers],[N]])</f>
        <v>111</v>
      </c>
      <c r="C128" s="34"/>
      <c r="D128" s="35"/>
      <c r="E128" s="36" t="s">
        <v>136</v>
      </c>
      <c r="F128" s="38"/>
      <c r="G128" s="38"/>
      <c r="H128" s="50" t="s">
        <v>32</v>
      </c>
      <c r="I128" s="51"/>
      <c r="J128" s="55"/>
      <c r="K128" s="53"/>
      <c r="L128" s="57"/>
      <c r="M128" s="37"/>
      <c r="N128" s="37"/>
      <c r="O128" s="39"/>
      <c r="P128" s="3"/>
      <c r="Q128" s="3"/>
    </row>
    <row r="129" spans="1:17" x14ac:dyDescent="0.3">
      <c r="A129" s="122">
        <f t="shared" si="3"/>
        <v>1</v>
      </c>
      <c r="B129" s="123">
        <f>ROW()-ROW(TabConsolidation[[#Headers],[N]])</f>
        <v>112</v>
      </c>
      <c r="C129" s="34"/>
      <c r="D129" s="35"/>
      <c r="E129" s="36" t="s">
        <v>137</v>
      </c>
      <c r="F129" s="38"/>
      <c r="G129" s="38"/>
      <c r="H129" s="50" t="s">
        <v>32</v>
      </c>
      <c r="I129" s="51"/>
      <c r="J129" s="55"/>
      <c r="K129" s="53"/>
      <c r="L129" s="57"/>
      <c r="M129" s="37"/>
      <c r="N129" s="37"/>
      <c r="O129" s="39"/>
      <c r="P129" s="3"/>
      <c r="Q129" s="3"/>
    </row>
    <row r="130" spans="1:17" x14ac:dyDescent="0.3">
      <c r="A130" s="122">
        <f t="shared" si="3"/>
        <v>1</v>
      </c>
      <c r="B130" s="123">
        <f>ROW()-ROW(TabConsolidation[[#Headers],[N]])</f>
        <v>113</v>
      </c>
      <c r="C130" s="34"/>
      <c r="D130" s="35"/>
      <c r="E130" s="36" t="s">
        <v>138</v>
      </c>
      <c r="F130" s="38"/>
      <c r="G130" s="38"/>
      <c r="H130" s="50" t="s">
        <v>32</v>
      </c>
      <c r="I130" s="51"/>
      <c r="J130" s="55"/>
      <c r="K130" s="53"/>
      <c r="L130" s="57"/>
      <c r="M130" s="37"/>
      <c r="N130" s="37"/>
      <c r="O130" s="39"/>
      <c r="P130" s="3"/>
      <c r="Q130" s="3"/>
    </row>
    <row r="131" spans="1:17" x14ac:dyDescent="0.3">
      <c r="A131" s="122">
        <f t="shared" si="3"/>
        <v>1</v>
      </c>
      <c r="B131" s="123">
        <f>ROW()-ROW(TabConsolidation[[#Headers],[N]])</f>
        <v>114</v>
      </c>
      <c r="C131" s="34"/>
      <c r="D131" s="35"/>
      <c r="E131" s="36" t="s">
        <v>139</v>
      </c>
      <c r="F131" s="38"/>
      <c r="G131" s="38"/>
      <c r="H131" s="50" t="s">
        <v>32</v>
      </c>
      <c r="I131" s="51"/>
      <c r="J131" s="55"/>
      <c r="K131" s="53"/>
      <c r="L131" s="57"/>
      <c r="M131" s="37"/>
      <c r="N131" s="37"/>
      <c r="O131" s="39"/>
      <c r="P131" s="3"/>
      <c r="Q131" s="3"/>
    </row>
    <row r="132" spans="1:17" x14ac:dyDescent="0.3">
      <c r="A132" s="122">
        <f t="shared" si="3"/>
        <v>1</v>
      </c>
      <c r="B132" s="123">
        <f>ROW()-ROW(TabConsolidation[[#Headers],[N]])</f>
        <v>115</v>
      </c>
      <c r="C132" s="34"/>
      <c r="D132" s="35"/>
      <c r="E132" s="36" t="s">
        <v>140</v>
      </c>
      <c r="F132" s="38"/>
      <c r="G132" s="38"/>
      <c r="H132" s="50" t="s">
        <v>32</v>
      </c>
      <c r="I132" s="51"/>
      <c r="J132" s="55"/>
      <c r="K132" s="53"/>
      <c r="L132" s="57"/>
      <c r="M132" s="37"/>
      <c r="N132" s="37"/>
      <c r="O132" s="39"/>
      <c r="P132" s="3"/>
      <c r="Q132" s="3"/>
    </row>
    <row r="133" spans="1:17" x14ac:dyDescent="0.3">
      <c r="A133" s="122">
        <f t="shared" si="3"/>
        <v>1</v>
      </c>
      <c r="B133" s="123">
        <f>ROW()-ROW(TabConsolidation[[#Headers],[N]])</f>
        <v>116</v>
      </c>
      <c r="C133" s="34"/>
      <c r="D133" s="35"/>
      <c r="E133" s="36" t="s">
        <v>21</v>
      </c>
      <c r="F133" s="38"/>
      <c r="G133" s="38"/>
      <c r="H133" s="50" t="s">
        <v>32</v>
      </c>
      <c r="I133" s="51"/>
      <c r="J133" s="55"/>
      <c r="K133" s="53"/>
      <c r="L133" s="57"/>
      <c r="M133" s="37"/>
      <c r="N133" s="37"/>
      <c r="O133" s="39"/>
      <c r="P133" s="3"/>
      <c r="Q133" s="3"/>
    </row>
    <row r="134" spans="1:17" x14ac:dyDescent="0.3">
      <c r="A134" s="122">
        <f t="shared" si="3"/>
        <v>1</v>
      </c>
      <c r="B134" s="123">
        <f>ROW()-ROW(TabConsolidation[[#Headers],[N]])</f>
        <v>117</v>
      </c>
      <c r="C134" s="34"/>
      <c r="D134" s="35"/>
      <c r="E134" s="36" t="s">
        <v>141</v>
      </c>
      <c r="F134" s="38"/>
      <c r="G134" s="38"/>
      <c r="H134" s="50" t="s">
        <v>32</v>
      </c>
      <c r="I134" s="51"/>
      <c r="J134" s="55"/>
      <c r="K134" s="53"/>
      <c r="L134" s="57"/>
      <c r="M134" s="37"/>
      <c r="N134" s="37"/>
      <c r="O134" s="39"/>
      <c r="P134" s="3"/>
      <c r="Q134" s="3"/>
    </row>
    <row r="135" spans="1:17" x14ac:dyDescent="0.3">
      <c r="A135" s="122">
        <f t="shared" si="3"/>
        <v>1</v>
      </c>
      <c r="B135" s="123">
        <f>ROW()-ROW(TabConsolidation[[#Headers],[N]])</f>
        <v>118</v>
      </c>
      <c r="C135" s="34"/>
      <c r="D135" s="35"/>
      <c r="E135" s="36" t="s">
        <v>142</v>
      </c>
      <c r="F135" s="38"/>
      <c r="G135" s="38"/>
      <c r="H135" s="50" t="s">
        <v>32</v>
      </c>
      <c r="I135" s="51"/>
      <c r="J135" s="55"/>
      <c r="K135" s="53"/>
      <c r="L135" s="57"/>
      <c r="M135" s="37"/>
      <c r="N135" s="37"/>
      <c r="O135" s="39"/>
      <c r="P135" s="3"/>
      <c r="Q135" s="3"/>
    </row>
    <row r="136" spans="1:17" x14ac:dyDescent="0.3">
      <c r="A136" s="122">
        <f t="shared" si="3"/>
        <v>1</v>
      </c>
      <c r="B136" s="123">
        <f>ROW()-ROW(TabConsolidation[[#Headers],[N]])</f>
        <v>119</v>
      </c>
      <c r="C136" s="34"/>
      <c r="D136" s="35"/>
      <c r="E136" s="36" t="s">
        <v>143</v>
      </c>
      <c r="F136" s="38"/>
      <c r="G136" s="38"/>
      <c r="H136" s="50" t="s">
        <v>32</v>
      </c>
      <c r="I136" s="51"/>
      <c r="J136" s="55"/>
      <c r="K136" s="53"/>
      <c r="L136" s="57"/>
      <c r="M136" s="37"/>
      <c r="N136" s="37"/>
      <c r="O136" s="39"/>
      <c r="P136" s="3"/>
      <c r="Q136" s="3"/>
    </row>
    <row r="137" spans="1:17" x14ac:dyDescent="0.3">
      <c r="A137" s="122">
        <f t="shared" si="3"/>
        <v>1</v>
      </c>
      <c r="B137" s="123">
        <f>ROW()-ROW(TabConsolidation[[#Headers],[N]])</f>
        <v>120</v>
      </c>
      <c r="C137" s="97" t="s">
        <v>144</v>
      </c>
      <c r="D137" s="98" t="s">
        <v>73</v>
      </c>
      <c r="E137" s="99" t="s">
        <v>27</v>
      </c>
      <c r="F137" s="49"/>
      <c r="G137" s="38"/>
      <c r="H137" s="50" t="s">
        <v>32</v>
      </c>
      <c r="I137" s="51"/>
      <c r="J137" s="55"/>
      <c r="K137" s="53"/>
      <c r="L137" s="57"/>
      <c r="M137" s="37"/>
      <c r="N137" s="37"/>
      <c r="O137" s="39"/>
      <c r="P137" s="3"/>
      <c r="Q137" s="3"/>
    </row>
    <row r="138" spans="1:17" x14ac:dyDescent="0.3">
      <c r="A138" s="122">
        <f t="shared" si="3"/>
        <v>1</v>
      </c>
      <c r="B138" s="123">
        <f>ROW()-ROW(TabConsolidation[[#Headers],[N]])</f>
        <v>121</v>
      </c>
      <c r="C138" s="34"/>
      <c r="D138" s="35"/>
      <c r="E138" s="36" t="s">
        <v>145</v>
      </c>
      <c r="F138" s="38"/>
      <c r="G138" s="38"/>
      <c r="H138" s="50" t="s">
        <v>32</v>
      </c>
      <c r="I138" s="51"/>
      <c r="J138" s="55"/>
      <c r="K138" s="53"/>
      <c r="L138" s="57"/>
      <c r="M138" s="37"/>
      <c r="N138" s="37"/>
      <c r="O138" s="39"/>
      <c r="P138" s="3"/>
      <c r="Q138" s="3"/>
    </row>
    <row r="139" spans="1:17" x14ac:dyDescent="0.3">
      <c r="A139" s="122">
        <f t="shared" si="3"/>
        <v>1</v>
      </c>
      <c r="B139" s="123">
        <f>ROW()-ROW(TabConsolidation[[#Headers],[N]])</f>
        <v>122</v>
      </c>
      <c r="C139" s="34"/>
      <c r="D139" s="35"/>
      <c r="E139" s="36" t="s">
        <v>146</v>
      </c>
      <c r="F139" s="38"/>
      <c r="G139" s="38"/>
      <c r="H139" s="50" t="s">
        <v>32</v>
      </c>
      <c r="I139" s="51"/>
      <c r="J139" s="55"/>
      <c r="K139" s="53"/>
      <c r="L139" s="57"/>
      <c r="M139" s="37"/>
      <c r="N139" s="37"/>
      <c r="O139" s="39"/>
      <c r="P139" s="3"/>
      <c r="Q139" s="3"/>
    </row>
    <row r="140" spans="1:17" x14ac:dyDescent="0.3">
      <c r="A140" s="122">
        <f t="shared" si="3"/>
        <v>1</v>
      </c>
      <c r="B140" s="123">
        <f>ROW()-ROW(TabConsolidation[[#Headers],[N]])</f>
        <v>123</v>
      </c>
      <c r="C140" s="34"/>
      <c r="D140" s="35"/>
      <c r="E140" s="36" t="s">
        <v>147</v>
      </c>
      <c r="F140" s="38"/>
      <c r="G140" s="38"/>
      <c r="H140" s="50" t="s">
        <v>32</v>
      </c>
      <c r="I140" s="51"/>
      <c r="J140" s="55"/>
      <c r="K140" s="53"/>
      <c r="L140" s="57"/>
      <c r="M140" s="37"/>
      <c r="N140" s="37"/>
      <c r="O140" s="39"/>
      <c r="P140" s="3"/>
      <c r="Q140" s="3"/>
    </row>
    <row r="141" spans="1:17" x14ac:dyDescent="0.3">
      <c r="A141" s="122">
        <f t="shared" si="3"/>
        <v>1</v>
      </c>
      <c r="B141" s="123">
        <f>ROW()-ROW(TabConsolidation[[#Headers],[N]])</f>
        <v>124</v>
      </c>
      <c r="C141" s="34"/>
      <c r="D141" s="35"/>
      <c r="E141" s="36" t="s">
        <v>148</v>
      </c>
      <c r="F141" s="38"/>
      <c r="G141" s="38"/>
      <c r="H141" s="50" t="s">
        <v>32</v>
      </c>
      <c r="I141" s="51"/>
      <c r="J141" s="55"/>
      <c r="K141" s="53"/>
      <c r="L141" s="57"/>
      <c r="M141" s="37"/>
      <c r="N141" s="37"/>
      <c r="O141" s="39"/>
      <c r="P141" s="3"/>
      <c r="Q141" s="3"/>
    </row>
    <row r="142" spans="1:17" x14ac:dyDescent="0.3">
      <c r="A142" s="122">
        <f t="shared" si="3"/>
        <v>1</v>
      </c>
      <c r="B142" s="123">
        <f>ROW()-ROW(TabConsolidation[[#Headers],[N]])</f>
        <v>125</v>
      </c>
      <c r="C142" s="34"/>
      <c r="D142" s="35"/>
      <c r="E142" s="36" t="s">
        <v>149</v>
      </c>
      <c r="F142" s="38"/>
      <c r="G142" s="38"/>
      <c r="H142" s="50" t="s">
        <v>32</v>
      </c>
      <c r="I142" s="51"/>
      <c r="J142" s="55"/>
      <c r="K142" s="53"/>
      <c r="L142" s="57"/>
      <c r="M142" s="37"/>
      <c r="N142" s="37"/>
      <c r="O142" s="39"/>
      <c r="P142" s="3"/>
      <c r="Q142" s="3"/>
    </row>
    <row r="143" spans="1:17" x14ac:dyDescent="0.3">
      <c r="A143" s="122">
        <f t="shared" si="3"/>
        <v>1</v>
      </c>
      <c r="B143" s="123">
        <f>ROW()-ROW(TabConsolidation[[#Headers],[N]])</f>
        <v>126</v>
      </c>
      <c r="C143" s="34"/>
      <c r="D143" s="35"/>
      <c r="E143" s="36" t="s">
        <v>150</v>
      </c>
      <c r="F143" s="38"/>
      <c r="G143" s="38"/>
      <c r="H143" s="50" t="s">
        <v>32</v>
      </c>
      <c r="I143" s="51"/>
      <c r="J143" s="55"/>
      <c r="K143" s="53"/>
      <c r="L143" s="57"/>
      <c r="M143" s="37"/>
      <c r="N143" s="37"/>
      <c r="O143" s="39"/>
      <c r="P143" s="3"/>
      <c r="Q143" s="3"/>
    </row>
    <row r="144" spans="1:17" x14ac:dyDescent="0.3">
      <c r="A144" s="122">
        <f t="shared" si="3"/>
        <v>1</v>
      </c>
      <c r="B144" s="123">
        <f>ROW()-ROW(TabConsolidation[[#Headers],[N]])</f>
        <v>127</v>
      </c>
      <c r="C144" s="34"/>
      <c r="D144" s="35"/>
      <c r="E144" s="36" t="s">
        <v>201</v>
      </c>
      <c r="F144" s="38"/>
      <c r="G144" s="38"/>
      <c r="H144" s="50" t="s">
        <v>32</v>
      </c>
      <c r="I144" s="51"/>
      <c r="J144" s="55"/>
      <c r="K144" s="53"/>
      <c r="L144" s="57"/>
      <c r="M144" s="37"/>
      <c r="N144" s="37"/>
      <c r="O144" s="39"/>
      <c r="P144" s="3"/>
      <c r="Q144" s="3"/>
    </row>
    <row r="145" spans="1:17" x14ac:dyDescent="0.3">
      <c r="A145" s="122">
        <f t="shared" si="3"/>
        <v>1</v>
      </c>
      <c r="B145" s="123">
        <f>ROW()-ROW(TabConsolidation[[#Headers],[N]])</f>
        <v>128</v>
      </c>
      <c r="C145" s="34"/>
      <c r="D145" s="35"/>
      <c r="E145" s="36" t="s">
        <v>29</v>
      </c>
      <c r="F145" s="38"/>
      <c r="G145" s="38"/>
      <c r="H145" s="50" t="s">
        <v>32</v>
      </c>
      <c r="I145" s="51"/>
      <c r="J145" s="55"/>
      <c r="K145" s="53"/>
      <c r="L145" s="57"/>
      <c r="M145" s="37"/>
      <c r="N145" s="37"/>
      <c r="O145" s="39"/>
      <c r="P145" s="3"/>
      <c r="Q145" s="3"/>
    </row>
    <row r="146" spans="1:17" x14ac:dyDescent="0.3">
      <c r="A146" s="122">
        <f t="shared" ref="A146:A177" si="4">IF(COUNTA(H146,I146,L146), 1,0)</f>
        <v>1</v>
      </c>
      <c r="B146" s="123">
        <f>ROW()-ROW(TabConsolidation[[#Headers],[N]])</f>
        <v>129</v>
      </c>
      <c r="C146" s="34"/>
      <c r="D146" s="35"/>
      <c r="E146" s="36" t="s">
        <v>153</v>
      </c>
      <c r="F146" s="38"/>
      <c r="G146" s="38"/>
      <c r="H146" s="50" t="s">
        <v>32</v>
      </c>
      <c r="I146" s="51"/>
      <c r="J146" s="55"/>
      <c r="K146" s="53"/>
      <c r="L146" s="57"/>
      <c r="M146" s="37"/>
      <c r="N146" s="37"/>
      <c r="O146" s="39"/>
      <c r="P146" s="3"/>
      <c r="Q146" s="3"/>
    </row>
    <row r="147" spans="1:17" x14ac:dyDescent="0.3">
      <c r="A147" s="122">
        <f t="shared" si="4"/>
        <v>1</v>
      </c>
      <c r="B147" s="123">
        <f>ROW()-ROW(TabConsolidation[[#Headers],[N]])</f>
        <v>130</v>
      </c>
      <c r="C147" s="34"/>
      <c r="D147" s="35"/>
      <c r="E147" s="36" t="s">
        <v>154</v>
      </c>
      <c r="F147" s="38"/>
      <c r="G147" s="38"/>
      <c r="H147" s="50" t="s">
        <v>32</v>
      </c>
      <c r="I147" s="51"/>
      <c r="J147" s="55"/>
      <c r="K147" s="53"/>
      <c r="L147" s="57"/>
      <c r="M147" s="37"/>
      <c r="N147" s="37"/>
      <c r="O147" s="39"/>
      <c r="P147" s="3"/>
      <c r="Q147" s="3"/>
    </row>
    <row r="148" spans="1:17" x14ac:dyDescent="0.3">
      <c r="A148" s="122">
        <f t="shared" si="4"/>
        <v>1</v>
      </c>
      <c r="B148" s="123">
        <f>ROW()-ROW(TabConsolidation[[#Headers],[N]])</f>
        <v>131</v>
      </c>
      <c r="C148" s="34"/>
      <c r="D148" s="35"/>
      <c r="E148" s="36" t="s">
        <v>155</v>
      </c>
      <c r="F148" s="38"/>
      <c r="G148" s="38"/>
      <c r="H148" s="50" t="s">
        <v>32</v>
      </c>
      <c r="I148" s="51"/>
      <c r="J148" s="55"/>
      <c r="K148" s="53"/>
      <c r="L148" s="57"/>
      <c r="M148" s="37"/>
      <c r="N148" s="37"/>
      <c r="O148" s="39"/>
      <c r="P148" s="3"/>
      <c r="Q148" s="3"/>
    </row>
    <row r="149" spans="1:17" x14ac:dyDescent="0.3">
      <c r="A149" s="122">
        <f t="shared" si="4"/>
        <v>1</v>
      </c>
      <c r="B149" s="123">
        <f>ROW()-ROW(TabConsolidation[[#Headers],[N]])</f>
        <v>132</v>
      </c>
      <c r="C149" s="34"/>
      <c r="D149" s="35"/>
      <c r="E149" s="36" t="s">
        <v>156</v>
      </c>
      <c r="F149" s="38"/>
      <c r="G149" s="38"/>
      <c r="H149" s="50" t="s">
        <v>32</v>
      </c>
      <c r="I149" s="51"/>
      <c r="J149" s="55"/>
      <c r="K149" s="53"/>
      <c r="L149" s="57"/>
      <c r="M149" s="37"/>
      <c r="N149" s="37"/>
      <c r="O149" s="39"/>
      <c r="P149" s="3"/>
      <c r="Q149" s="3"/>
    </row>
    <row r="150" spans="1:17" x14ac:dyDescent="0.3">
      <c r="A150" s="122">
        <f t="shared" si="4"/>
        <v>1</v>
      </c>
      <c r="B150" s="123">
        <f>ROW()-ROW(TabConsolidation[[#Headers],[N]])</f>
        <v>133</v>
      </c>
      <c r="C150" s="34"/>
      <c r="D150" s="35"/>
      <c r="E150" s="36" t="s">
        <v>157</v>
      </c>
      <c r="F150" s="38"/>
      <c r="G150" s="38"/>
      <c r="H150" s="50" t="s">
        <v>32</v>
      </c>
      <c r="I150" s="51"/>
      <c r="J150" s="55"/>
      <c r="K150" s="53"/>
      <c r="L150" s="57"/>
      <c r="M150" s="37"/>
      <c r="N150" s="37"/>
      <c r="O150" s="39"/>
      <c r="P150" s="3"/>
      <c r="Q150" s="3"/>
    </row>
    <row r="151" spans="1:17" x14ac:dyDescent="0.3">
      <c r="A151" s="122">
        <f t="shared" si="4"/>
        <v>1</v>
      </c>
      <c r="B151" s="123">
        <f>ROW()-ROW(TabConsolidation[[#Headers],[N]])</f>
        <v>134</v>
      </c>
      <c r="C151" s="34"/>
      <c r="D151" s="35"/>
      <c r="E151" s="36" t="s">
        <v>158</v>
      </c>
      <c r="F151" s="38"/>
      <c r="G151" s="38"/>
      <c r="H151" s="50" t="s">
        <v>32</v>
      </c>
      <c r="I151" s="51"/>
      <c r="J151" s="55"/>
      <c r="K151" s="53"/>
      <c r="L151" s="57"/>
      <c r="M151" s="37"/>
      <c r="N151" s="37"/>
      <c r="O151" s="39"/>
      <c r="P151" s="3"/>
      <c r="Q151" s="3"/>
    </row>
    <row r="152" spans="1:17" x14ac:dyDescent="0.3">
      <c r="A152" s="122">
        <f t="shared" si="4"/>
        <v>1</v>
      </c>
      <c r="B152" s="123">
        <f>ROW()-ROW(TabConsolidation[[#Headers],[N]])</f>
        <v>135</v>
      </c>
      <c r="C152" s="34"/>
      <c r="D152" s="35"/>
      <c r="E152" s="36" t="s">
        <v>159</v>
      </c>
      <c r="F152" s="38"/>
      <c r="G152" s="38"/>
      <c r="H152" s="50" t="s">
        <v>32</v>
      </c>
      <c r="I152" s="51"/>
      <c r="J152" s="55"/>
      <c r="K152" s="53"/>
      <c r="L152" s="57"/>
      <c r="M152" s="37"/>
      <c r="N152" s="37"/>
      <c r="O152" s="39"/>
      <c r="P152" s="3"/>
      <c r="Q152" s="3"/>
    </row>
    <row r="153" spans="1:17" x14ac:dyDescent="0.3">
      <c r="A153" s="122">
        <f t="shared" si="4"/>
        <v>1</v>
      </c>
      <c r="B153" s="123">
        <f>ROW()-ROW(TabConsolidation[[#Headers],[N]])</f>
        <v>136</v>
      </c>
      <c r="C153" s="34"/>
      <c r="D153" s="35"/>
      <c r="E153" s="36" t="s">
        <v>160</v>
      </c>
      <c r="F153" s="38"/>
      <c r="G153" s="38"/>
      <c r="H153" s="50" t="s">
        <v>32</v>
      </c>
      <c r="I153" s="51"/>
      <c r="J153" s="55"/>
      <c r="K153" s="53"/>
      <c r="L153" s="57"/>
      <c r="M153" s="37"/>
      <c r="N153" s="37"/>
      <c r="O153" s="39"/>
      <c r="P153" s="3"/>
      <c r="Q153" s="3"/>
    </row>
    <row r="154" spans="1:17" x14ac:dyDescent="0.3">
      <c r="A154" s="122">
        <f t="shared" si="4"/>
        <v>1</v>
      </c>
      <c r="B154" s="123">
        <f>ROW()-ROW(TabConsolidation[[#Headers],[N]])</f>
        <v>137</v>
      </c>
      <c r="C154" s="34"/>
      <c r="D154" s="35"/>
      <c r="E154" s="36" t="s">
        <v>30</v>
      </c>
      <c r="F154" s="38"/>
      <c r="G154" s="38"/>
      <c r="H154" s="50" t="s">
        <v>32</v>
      </c>
      <c r="I154" s="51"/>
      <c r="J154" s="55"/>
      <c r="K154" s="53"/>
      <c r="L154" s="57"/>
      <c r="M154" s="37"/>
      <c r="N154" s="37"/>
      <c r="O154" s="39"/>
      <c r="P154" s="3"/>
      <c r="Q154" s="3"/>
    </row>
    <row r="155" spans="1:17" x14ac:dyDescent="0.3">
      <c r="A155" s="122">
        <f t="shared" si="4"/>
        <v>1</v>
      </c>
      <c r="B155" s="123">
        <f>ROW()-ROW(TabConsolidation[[#Headers],[N]])</f>
        <v>138</v>
      </c>
      <c r="C155" s="34"/>
      <c r="D155" s="35"/>
      <c r="E155" s="36" t="s">
        <v>31</v>
      </c>
      <c r="F155" s="38"/>
      <c r="G155" s="38"/>
      <c r="H155" s="50" t="s">
        <v>32</v>
      </c>
      <c r="I155" s="51"/>
      <c r="J155" s="55"/>
      <c r="K155" s="53"/>
      <c r="L155" s="57"/>
      <c r="M155" s="37"/>
      <c r="N155" s="37"/>
      <c r="O155" s="39"/>
      <c r="P155" s="3"/>
      <c r="Q155" s="3"/>
    </row>
    <row r="156" spans="1:17" x14ac:dyDescent="0.3">
      <c r="A156" s="122">
        <f t="shared" si="4"/>
        <v>1</v>
      </c>
      <c r="B156" s="123">
        <f>ROW()-ROW(TabConsolidation[[#Headers],[N]])</f>
        <v>139</v>
      </c>
      <c r="C156" s="97" t="s">
        <v>161</v>
      </c>
      <c r="D156" s="98" t="s">
        <v>162</v>
      </c>
      <c r="E156" s="99" t="s">
        <v>163</v>
      </c>
      <c r="F156" s="49"/>
      <c r="G156" s="38"/>
      <c r="H156" s="50" t="s">
        <v>32</v>
      </c>
      <c r="I156" s="51"/>
      <c r="J156" s="55"/>
      <c r="K156" s="53"/>
      <c r="L156" s="57"/>
      <c r="M156" s="37"/>
      <c r="N156" s="37"/>
      <c r="O156" s="39"/>
      <c r="P156" s="3"/>
      <c r="Q156" s="3"/>
    </row>
    <row r="157" spans="1:17" x14ac:dyDescent="0.3">
      <c r="A157" s="122">
        <f t="shared" si="4"/>
        <v>1</v>
      </c>
      <c r="B157" s="123">
        <f>ROW()-ROW(TabConsolidation[[#Headers],[N]])</f>
        <v>140</v>
      </c>
      <c r="C157" s="34"/>
      <c r="D157" s="35"/>
      <c r="E157" s="36" t="s">
        <v>11</v>
      </c>
      <c r="F157" s="38"/>
      <c r="G157" s="38"/>
      <c r="H157" s="50" t="s">
        <v>32</v>
      </c>
      <c r="I157" s="51"/>
      <c r="J157" s="55"/>
      <c r="K157" s="53"/>
      <c r="L157" s="57"/>
      <c r="M157" s="37"/>
      <c r="N157" s="37"/>
      <c r="O157" s="39"/>
      <c r="P157" s="3"/>
      <c r="Q157" s="3"/>
    </row>
    <row r="158" spans="1:17" x14ac:dyDescent="0.3">
      <c r="A158" s="122">
        <f t="shared" si="4"/>
        <v>1</v>
      </c>
      <c r="B158" s="123">
        <f>ROW()-ROW(TabConsolidation[[#Headers],[N]])</f>
        <v>141</v>
      </c>
      <c r="C158" s="34"/>
      <c r="D158" s="35"/>
      <c r="E158" s="36" t="s">
        <v>164</v>
      </c>
      <c r="F158" s="38"/>
      <c r="G158" s="38"/>
      <c r="H158" s="50" t="s">
        <v>32</v>
      </c>
      <c r="I158" s="51"/>
      <c r="J158" s="55"/>
      <c r="K158" s="53"/>
      <c r="L158" s="57"/>
      <c r="M158" s="37"/>
      <c r="N158" s="37"/>
      <c r="O158" s="39"/>
      <c r="P158" s="3"/>
      <c r="Q158" s="3"/>
    </row>
    <row r="159" spans="1:17" x14ac:dyDescent="0.3">
      <c r="A159" s="122">
        <f t="shared" si="4"/>
        <v>1</v>
      </c>
      <c r="B159" s="123">
        <f>ROW()-ROW(TabConsolidation[[#Headers],[N]])</f>
        <v>142</v>
      </c>
      <c r="C159" s="34"/>
      <c r="D159" s="35"/>
      <c r="E159" s="36" t="s">
        <v>165</v>
      </c>
      <c r="F159" s="38"/>
      <c r="G159" s="38"/>
      <c r="H159" s="50" t="s">
        <v>32</v>
      </c>
      <c r="I159" s="51"/>
      <c r="J159" s="55"/>
      <c r="K159" s="53"/>
      <c r="L159" s="57"/>
      <c r="M159" s="37"/>
      <c r="N159" s="37"/>
      <c r="O159" s="39"/>
      <c r="P159" s="3"/>
      <c r="Q159" s="3"/>
    </row>
    <row r="160" spans="1:17" x14ac:dyDescent="0.3">
      <c r="A160" s="122">
        <f t="shared" si="4"/>
        <v>1</v>
      </c>
      <c r="B160" s="123">
        <f>ROW()-ROW(TabConsolidation[[#Headers],[N]])</f>
        <v>143</v>
      </c>
      <c r="C160" s="34"/>
      <c r="D160" s="35"/>
      <c r="E160" s="36" t="s">
        <v>166</v>
      </c>
      <c r="F160" s="38"/>
      <c r="G160" s="38"/>
      <c r="H160" s="50" t="s">
        <v>32</v>
      </c>
      <c r="I160" s="51"/>
      <c r="J160" s="55"/>
      <c r="K160" s="53"/>
      <c r="L160" s="57"/>
      <c r="M160" s="37"/>
      <c r="N160" s="37"/>
      <c r="O160" s="39"/>
      <c r="P160" s="3"/>
      <c r="Q160" s="3"/>
    </row>
    <row r="161" spans="1:17" x14ac:dyDescent="0.3">
      <c r="A161" s="122">
        <f t="shared" si="4"/>
        <v>1</v>
      </c>
      <c r="B161" s="123">
        <f>ROW()-ROW(TabConsolidation[[#Headers],[N]])</f>
        <v>144</v>
      </c>
      <c r="C161" s="34"/>
      <c r="D161" s="35"/>
      <c r="E161" s="36" t="s">
        <v>4</v>
      </c>
      <c r="F161" s="38"/>
      <c r="G161" s="38"/>
      <c r="H161" s="50" t="s">
        <v>32</v>
      </c>
      <c r="I161" s="51"/>
      <c r="J161" s="55"/>
      <c r="K161" s="53"/>
      <c r="L161" s="57"/>
      <c r="M161" s="37"/>
      <c r="N161" s="37"/>
      <c r="O161" s="39"/>
      <c r="P161" s="3"/>
      <c r="Q161" s="3"/>
    </row>
    <row r="162" spans="1:17" x14ac:dyDescent="0.3">
      <c r="A162" s="122">
        <f t="shared" si="4"/>
        <v>1</v>
      </c>
      <c r="B162" s="123">
        <f>ROW()-ROW(TabConsolidation[[#Headers],[N]])</f>
        <v>145</v>
      </c>
      <c r="C162" s="34"/>
      <c r="D162" s="35"/>
      <c r="E162" s="36" t="s">
        <v>167</v>
      </c>
      <c r="F162" s="38"/>
      <c r="G162" s="38"/>
      <c r="H162" s="50" t="s">
        <v>32</v>
      </c>
      <c r="I162" s="51"/>
      <c r="J162" s="55"/>
      <c r="K162" s="53"/>
      <c r="L162" s="57"/>
      <c r="M162" s="37"/>
      <c r="N162" s="37"/>
      <c r="O162" s="39"/>
      <c r="P162" s="3"/>
      <c r="Q162" s="3"/>
    </row>
    <row r="163" spans="1:17" x14ac:dyDescent="0.3">
      <c r="A163" s="122">
        <f t="shared" si="4"/>
        <v>1</v>
      </c>
      <c r="B163" s="123">
        <f>ROW()-ROW(TabConsolidation[[#Headers],[N]])</f>
        <v>146</v>
      </c>
      <c r="C163" s="34"/>
      <c r="D163" s="35"/>
      <c r="E163" s="36" t="s">
        <v>168</v>
      </c>
      <c r="F163" s="38"/>
      <c r="G163" s="38"/>
      <c r="H163" s="50" t="s">
        <v>32</v>
      </c>
      <c r="I163" s="51"/>
      <c r="J163" s="55"/>
      <c r="K163" s="53"/>
      <c r="L163" s="57"/>
      <c r="M163" s="37"/>
      <c r="N163" s="37"/>
      <c r="O163" s="39"/>
      <c r="P163" s="3"/>
      <c r="Q163" s="3"/>
    </row>
    <row r="164" spans="1:17" x14ac:dyDescent="0.3">
      <c r="A164" s="122">
        <f t="shared" si="4"/>
        <v>1</v>
      </c>
      <c r="B164" s="123">
        <f>ROW()-ROW(TabConsolidation[[#Headers],[N]])</f>
        <v>147</v>
      </c>
      <c r="C164" s="34"/>
      <c r="D164" s="98" t="s">
        <v>169</v>
      </c>
      <c r="E164" s="99" t="s">
        <v>170</v>
      </c>
      <c r="F164" s="49"/>
      <c r="G164" s="38"/>
      <c r="H164" s="50" t="s">
        <v>32</v>
      </c>
      <c r="I164" s="51"/>
      <c r="J164" s="55"/>
      <c r="K164" s="53"/>
      <c r="L164" s="57"/>
      <c r="M164" s="37"/>
      <c r="N164" s="37"/>
      <c r="O164" s="39"/>
      <c r="P164" s="3"/>
      <c r="Q164" s="3"/>
    </row>
    <row r="165" spans="1:17" x14ac:dyDescent="0.3">
      <c r="A165" s="122">
        <f t="shared" si="4"/>
        <v>1</v>
      </c>
      <c r="B165" s="123">
        <f>ROW()-ROW(TabConsolidation[[#Headers],[N]])</f>
        <v>148</v>
      </c>
      <c r="C165" s="34"/>
      <c r="D165" s="35"/>
      <c r="E165" s="36" t="s">
        <v>171</v>
      </c>
      <c r="F165" s="38"/>
      <c r="G165" s="38"/>
      <c r="H165" s="50" t="s">
        <v>32</v>
      </c>
      <c r="I165" s="51"/>
      <c r="J165" s="55"/>
      <c r="K165" s="53"/>
      <c r="L165" s="57"/>
      <c r="M165" s="37"/>
      <c r="N165" s="37"/>
      <c r="O165" s="39"/>
      <c r="P165" s="3"/>
      <c r="Q165" s="3"/>
    </row>
    <row r="166" spans="1:17" x14ac:dyDescent="0.3">
      <c r="A166" s="122">
        <f t="shared" si="4"/>
        <v>1</v>
      </c>
      <c r="B166" s="123">
        <f>ROW()-ROW(TabConsolidation[[#Headers],[N]])</f>
        <v>149</v>
      </c>
      <c r="C166" s="34"/>
      <c r="D166" s="35"/>
      <c r="E166" s="36" t="s">
        <v>7</v>
      </c>
      <c r="F166" s="38"/>
      <c r="G166" s="38"/>
      <c r="H166" s="50" t="s">
        <v>32</v>
      </c>
      <c r="I166" s="51"/>
      <c r="J166" s="55"/>
      <c r="K166" s="53"/>
      <c r="L166" s="57"/>
      <c r="M166" s="37"/>
      <c r="N166" s="37"/>
      <c r="O166" s="39"/>
      <c r="P166" s="3"/>
      <c r="Q166" s="3"/>
    </row>
    <row r="167" spans="1:17" x14ac:dyDescent="0.3">
      <c r="A167" s="122">
        <f t="shared" si="4"/>
        <v>1</v>
      </c>
      <c r="B167" s="123">
        <f>ROW()-ROW(TabConsolidation[[#Headers],[N]])</f>
        <v>150</v>
      </c>
      <c r="C167" s="34"/>
      <c r="D167" s="35"/>
      <c r="E167" s="36" t="s">
        <v>172</v>
      </c>
      <c r="F167" s="38"/>
      <c r="G167" s="38"/>
      <c r="H167" s="50" t="s">
        <v>32</v>
      </c>
      <c r="I167" s="51"/>
      <c r="J167" s="55"/>
      <c r="K167" s="53"/>
      <c r="L167" s="57"/>
      <c r="M167" s="37"/>
      <c r="N167" s="37"/>
      <c r="O167" s="39"/>
      <c r="P167" s="3"/>
      <c r="Q167" s="3"/>
    </row>
    <row r="168" spans="1:17" x14ac:dyDescent="0.3">
      <c r="A168" s="122">
        <f t="shared" si="4"/>
        <v>1</v>
      </c>
      <c r="B168" s="123">
        <f>ROW()-ROW(TabConsolidation[[#Headers],[N]])</f>
        <v>151</v>
      </c>
      <c r="C168" s="34"/>
      <c r="D168" s="35"/>
      <c r="E168" s="36" t="s">
        <v>173</v>
      </c>
      <c r="F168" s="38"/>
      <c r="G168" s="38"/>
      <c r="H168" s="50" t="s">
        <v>32</v>
      </c>
      <c r="I168" s="51"/>
      <c r="J168" s="55"/>
      <c r="K168" s="53"/>
      <c r="L168" s="57"/>
      <c r="M168" s="37"/>
      <c r="N168" s="37"/>
      <c r="O168" s="39"/>
      <c r="P168" s="3"/>
      <c r="Q168" s="3"/>
    </row>
    <row r="169" spans="1:17" x14ac:dyDescent="0.3">
      <c r="A169" s="122">
        <f t="shared" si="4"/>
        <v>1</v>
      </c>
      <c r="B169" s="123">
        <f>ROW()-ROW(TabConsolidation[[#Headers],[N]])</f>
        <v>152</v>
      </c>
      <c r="C169" s="34"/>
      <c r="D169" s="35"/>
      <c r="E169" s="36" t="s">
        <v>174</v>
      </c>
      <c r="F169" s="38"/>
      <c r="G169" s="38"/>
      <c r="H169" s="50" t="s">
        <v>32</v>
      </c>
      <c r="I169" s="51"/>
      <c r="J169" s="55"/>
      <c r="K169" s="53"/>
      <c r="L169" s="57"/>
      <c r="M169" s="37"/>
      <c r="N169" s="37"/>
      <c r="O169" s="39"/>
      <c r="P169" s="3"/>
      <c r="Q169" s="3"/>
    </row>
    <row r="170" spans="1:17" x14ac:dyDescent="0.3">
      <c r="A170" s="122">
        <f t="shared" si="4"/>
        <v>1</v>
      </c>
      <c r="B170" s="123">
        <f>ROW()-ROW(TabConsolidation[[#Headers],[N]])</f>
        <v>153</v>
      </c>
      <c r="C170" s="34"/>
      <c r="D170" s="35"/>
      <c r="E170" s="36" t="s">
        <v>175</v>
      </c>
      <c r="F170" s="38"/>
      <c r="G170" s="38"/>
      <c r="H170" s="50" t="s">
        <v>32</v>
      </c>
      <c r="I170" s="51"/>
      <c r="J170" s="55"/>
      <c r="K170" s="53"/>
      <c r="L170" s="57"/>
      <c r="M170" s="37"/>
      <c r="N170" s="37"/>
      <c r="O170" s="39"/>
      <c r="P170" s="3"/>
      <c r="Q170" s="3"/>
    </row>
    <row r="171" spans="1:17" x14ac:dyDescent="0.3">
      <c r="A171" s="122">
        <f t="shared" si="4"/>
        <v>1</v>
      </c>
      <c r="B171" s="123">
        <f>ROW()-ROW(TabConsolidation[[#Headers],[N]])</f>
        <v>154</v>
      </c>
      <c r="C171" s="97" t="s">
        <v>176</v>
      </c>
      <c r="D171" s="98" t="s">
        <v>177</v>
      </c>
      <c r="E171" s="99" t="s">
        <v>6</v>
      </c>
      <c r="F171" s="49"/>
      <c r="G171" s="38"/>
      <c r="H171" s="50" t="s">
        <v>32</v>
      </c>
      <c r="I171" s="51"/>
      <c r="J171" s="55"/>
      <c r="K171" s="53"/>
      <c r="L171" s="57"/>
      <c r="M171" s="37"/>
      <c r="N171" s="37"/>
      <c r="O171" s="39"/>
      <c r="P171" s="3"/>
      <c r="Q171" s="3"/>
    </row>
    <row r="172" spans="1:17" x14ac:dyDescent="0.3">
      <c r="A172" s="122">
        <f t="shared" si="4"/>
        <v>1</v>
      </c>
      <c r="B172" s="123">
        <f>ROW()-ROW(TabConsolidation[[#Headers],[N]])</f>
        <v>155</v>
      </c>
      <c r="C172" s="34"/>
      <c r="D172" s="35"/>
      <c r="E172" s="36" t="s">
        <v>178</v>
      </c>
      <c r="F172" s="38"/>
      <c r="G172" s="38"/>
      <c r="H172" s="50" t="s">
        <v>32</v>
      </c>
      <c r="I172" s="51"/>
      <c r="J172" s="55"/>
      <c r="K172" s="53"/>
      <c r="L172" s="57"/>
      <c r="M172" s="37"/>
      <c r="N172" s="37"/>
      <c r="O172" s="39"/>
      <c r="P172" s="3"/>
      <c r="Q172" s="3"/>
    </row>
    <row r="173" spans="1:17" x14ac:dyDescent="0.3">
      <c r="A173" s="122">
        <f t="shared" si="4"/>
        <v>1</v>
      </c>
      <c r="B173" s="123">
        <f>ROW()-ROW(TabConsolidation[[#Headers],[N]])</f>
        <v>156</v>
      </c>
      <c r="C173" s="34"/>
      <c r="D173" s="35"/>
      <c r="E173" s="36" t="s">
        <v>7</v>
      </c>
      <c r="F173" s="38"/>
      <c r="G173" s="38"/>
      <c r="H173" s="50" t="s">
        <v>32</v>
      </c>
      <c r="I173" s="51"/>
      <c r="J173" s="55"/>
      <c r="K173" s="53"/>
      <c r="L173" s="57"/>
      <c r="M173" s="37"/>
      <c r="N173" s="37"/>
      <c r="O173" s="39"/>
      <c r="P173" s="3"/>
      <c r="Q173" s="3"/>
    </row>
    <row r="174" spans="1:17" x14ac:dyDescent="0.3">
      <c r="A174" s="122">
        <f t="shared" si="4"/>
        <v>1</v>
      </c>
      <c r="B174" s="123">
        <f>ROW()-ROW(TabConsolidation[[#Headers],[N]])</f>
        <v>157</v>
      </c>
      <c r="C174" s="34"/>
      <c r="D174" s="35"/>
      <c r="E174" s="36" t="s">
        <v>8</v>
      </c>
      <c r="F174" s="38"/>
      <c r="G174" s="38"/>
      <c r="H174" s="50" t="s">
        <v>32</v>
      </c>
      <c r="I174" s="51"/>
      <c r="J174" s="55"/>
      <c r="K174" s="53"/>
      <c r="L174" s="57"/>
      <c r="M174" s="37"/>
      <c r="N174" s="37"/>
      <c r="O174" s="39"/>
      <c r="P174" s="3"/>
      <c r="Q174" s="3"/>
    </row>
    <row r="175" spans="1:17" x14ac:dyDescent="0.3">
      <c r="A175" s="122">
        <f t="shared" si="4"/>
        <v>1</v>
      </c>
      <c r="B175" s="123">
        <f>ROW()-ROW(TabConsolidation[[#Headers],[N]])</f>
        <v>158</v>
      </c>
      <c r="C175" s="34"/>
      <c r="D175" s="35"/>
      <c r="E175" s="36" t="s">
        <v>179</v>
      </c>
      <c r="F175" s="38"/>
      <c r="G175" s="38"/>
      <c r="H175" s="50" t="s">
        <v>32</v>
      </c>
      <c r="I175" s="51"/>
      <c r="J175" s="55"/>
      <c r="K175" s="53"/>
      <c r="L175" s="57"/>
      <c r="M175" s="37"/>
      <c r="N175" s="37"/>
      <c r="O175" s="39"/>
      <c r="P175" s="3"/>
      <c r="Q175" s="3"/>
    </row>
    <row r="176" spans="1:17" x14ac:dyDescent="0.3">
      <c r="A176" s="122">
        <f t="shared" si="4"/>
        <v>1</v>
      </c>
      <c r="B176" s="123">
        <f>ROW()-ROW(TabConsolidation[[#Headers],[N]])</f>
        <v>159</v>
      </c>
      <c r="C176" s="34"/>
      <c r="D176" s="35"/>
      <c r="E176" s="36" t="s">
        <v>180</v>
      </c>
      <c r="F176" s="38"/>
      <c r="G176" s="38"/>
      <c r="H176" s="50" t="s">
        <v>32</v>
      </c>
      <c r="I176" s="51"/>
      <c r="J176" s="55"/>
      <c r="K176" s="53"/>
      <c r="L176" s="57"/>
      <c r="M176" s="37"/>
      <c r="N176" s="37"/>
      <c r="O176" s="39"/>
      <c r="P176" s="3"/>
      <c r="Q176" s="3"/>
    </row>
    <row r="177" spans="1:17" x14ac:dyDescent="0.3">
      <c r="A177" s="122">
        <f t="shared" si="4"/>
        <v>1</v>
      </c>
      <c r="B177" s="123">
        <f>ROW()-ROW(TabConsolidation[[#Headers],[N]])</f>
        <v>160</v>
      </c>
      <c r="C177" s="34"/>
      <c r="D177" s="35"/>
      <c r="E177" s="36" t="s">
        <v>181</v>
      </c>
      <c r="F177" s="38"/>
      <c r="G177" s="38"/>
      <c r="H177" s="50" t="s">
        <v>32</v>
      </c>
      <c r="I177" s="51"/>
      <c r="J177" s="55"/>
      <c r="K177" s="53"/>
      <c r="L177" s="57"/>
      <c r="M177" s="37"/>
      <c r="N177" s="37"/>
      <c r="O177" s="39"/>
      <c r="P177" s="3"/>
      <c r="Q177" s="3"/>
    </row>
    <row r="178" spans="1:17" x14ac:dyDescent="0.3">
      <c r="A178" s="122">
        <f t="shared" ref="A178:A204" si="5">IF(COUNTA(H178,I178,L178), 1,0)</f>
        <v>1</v>
      </c>
      <c r="B178" s="123">
        <f>ROW()-ROW(TabConsolidation[[#Headers],[N]])</f>
        <v>161</v>
      </c>
      <c r="C178" s="34"/>
      <c r="D178" s="35"/>
      <c r="E178" s="36" t="s">
        <v>182</v>
      </c>
      <c r="F178" s="38"/>
      <c r="G178" s="38"/>
      <c r="H178" s="50" t="s">
        <v>32</v>
      </c>
      <c r="I178" s="51"/>
      <c r="J178" s="55"/>
      <c r="K178" s="53"/>
      <c r="L178" s="57"/>
      <c r="M178" s="37"/>
      <c r="N178" s="37"/>
      <c r="O178" s="39"/>
      <c r="P178" s="3"/>
      <c r="Q178" s="3"/>
    </row>
    <row r="179" spans="1:17" x14ac:dyDescent="0.3">
      <c r="A179" s="122">
        <f t="shared" si="5"/>
        <v>1</v>
      </c>
      <c r="B179" s="123">
        <f>ROW()-ROW(TabConsolidation[[#Headers],[N]])</f>
        <v>162</v>
      </c>
      <c r="C179" s="34"/>
      <c r="D179" s="35"/>
      <c r="E179" s="36" t="s">
        <v>183</v>
      </c>
      <c r="F179" s="38"/>
      <c r="G179" s="38"/>
      <c r="H179" s="50" t="s">
        <v>32</v>
      </c>
      <c r="I179" s="51"/>
      <c r="J179" s="55"/>
      <c r="K179" s="53"/>
      <c r="L179" s="57"/>
      <c r="M179" s="37"/>
      <c r="N179" s="37"/>
      <c r="O179" s="39"/>
      <c r="P179" s="3"/>
      <c r="Q179" s="3"/>
    </row>
    <row r="180" spans="1:17" x14ac:dyDescent="0.3">
      <c r="A180" s="122">
        <f t="shared" si="5"/>
        <v>1</v>
      </c>
      <c r="B180" s="123">
        <f>ROW()-ROW(TabConsolidation[[#Headers],[N]])</f>
        <v>163</v>
      </c>
      <c r="C180" s="34"/>
      <c r="D180" s="35"/>
      <c r="E180" s="36" t="s">
        <v>9</v>
      </c>
      <c r="F180" s="38"/>
      <c r="G180" s="38"/>
      <c r="H180" s="50" t="s">
        <v>32</v>
      </c>
      <c r="I180" s="51"/>
      <c r="J180" s="55"/>
      <c r="K180" s="53"/>
      <c r="L180" s="57"/>
      <c r="M180" s="37"/>
      <c r="N180" s="37"/>
      <c r="O180" s="39"/>
      <c r="P180" s="3"/>
      <c r="Q180" s="3"/>
    </row>
    <row r="181" spans="1:17" x14ac:dyDescent="0.3">
      <c r="A181" s="122">
        <f t="shared" si="5"/>
        <v>1</v>
      </c>
      <c r="B181" s="123">
        <f>ROW()-ROW(TabConsolidation[[#Headers],[N]])</f>
        <v>164</v>
      </c>
      <c r="C181" s="34"/>
      <c r="D181" s="98" t="s">
        <v>10</v>
      </c>
      <c r="E181" s="99" t="s">
        <v>11</v>
      </c>
      <c r="F181" s="49"/>
      <c r="G181" s="38"/>
      <c r="H181" s="50" t="s">
        <v>32</v>
      </c>
      <c r="I181" s="51"/>
      <c r="J181" s="55"/>
      <c r="K181" s="53"/>
      <c r="L181" s="57"/>
      <c r="M181" s="37"/>
      <c r="N181" s="37"/>
      <c r="O181" s="39"/>
      <c r="P181" s="3"/>
      <c r="Q181" s="3"/>
    </row>
    <row r="182" spans="1:17" x14ac:dyDescent="0.3">
      <c r="A182" s="122">
        <f t="shared" si="5"/>
        <v>1</v>
      </c>
      <c r="B182" s="123">
        <f>ROW()-ROW(TabConsolidation[[#Headers],[N]])</f>
        <v>165</v>
      </c>
      <c r="C182" s="34"/>
      <c r="D182" s="35"/>
      <c r="E182" s="36" t="s">
        <v>184</v>
      </c>
      <c r="F182" s="38"/>
      <c r="G182" s="38"/>
      <c r="H182" s="50" t="s">
        <v>32</v>
      </c>
      <c r="I182" s="51"/>
      <c r="J182" s="55"/>
      <c r="K182" s="53"/>
      <c r="L182" s="57"/>
      <c r="M182" s="37"/>
      <c r="N182" s="37"/>
      <c r="O182" s="39"/>
      <c r="P182" s="3"/>
      <c r="Q182" s="3"/>
    </row>
    <row r="183" spans="1:17" x14ac:dyDescent="0.3">
      <c r="A183" s="122">
        <f t="shared" si="5"/>
        <v>1</v>
      </c>
      <c r="B183" s="123">
        <f>ROW()-ROW(TabConsolidation[[#Headers],[N]])</f>
        <v>166</v>
      </c>
      <c r="C183" s="34"/>
      <c r="D183" s="35"/>
      <c r="E183" s="36" t="s">
        <v>185</v>
      </c>
      <c r="F183" s="38"/>
      <c r="G183" s="38"/>
      <c r="H183" s="50" t="s">
        <v>32</v>
      </c>
      <c r="I183" s="51"/>
      <c r="J183" s="55"/>
      <c r="K183" s="53"/>
      <c r="L183" s="57"/>
      <c r="M183" s="37"/>
      <c r="N183" s="37"/>
      <c r="O183" s="39"/>
      <c r="P183" s="3"/>
      <c r="Q183" s="3"/>
    </row>
    <row r="184" spans="1:17" x14ac:dyDescent="0.3">
      <c r="A184" s="122">
        <f t="shared" si="5"/>
        <v>1</v>
      </c>
      <c r="B184" s="123">
        <f>ROW()-ROW(TabConsolidation[[#Headers],[N]])</f>
        <v>167</v>
      </c>
      <c r="C184" s="34"/>
      <c r="D184" s="35"/>
      <c r="E184" s="36" t="s">
        <v>186</v>
      </c>
      <c r="F184" s="38"/>
      <c r="G184" s="38"/>
      <c r="H184" s="50" t="s">
        <v>32</v>
      </c>
      <c r="I184" s="51"/>
      <c r="J184" s="55"/>
      <c r="K184" s="53"/>
      <c r="L184" s="57"/>
      <c r="M184" s="37"/>
      <c r="N184" s="37"/>
      <c r="O184" s="39"/>
      <c r="P184" s="3"/>
      <c r="Q184" s="3"/>
    </row>
    <row r="185" spans="1:17" x14ac:dyDescent="0.3">
      <c r="A185" s="122">
        <f t="shared" si="5"/>
        <v>1</v>
      </c>
      <c r="B185" s="123">
        <f>ROW()-ROW(TabConsolidation[[#Headers],[N]])</f>
        <v>168</v>
      </c>
      <c r="C185" s="34"/>
      <c r="D185" s="35"/>
      <c r="E185" s="36" t="s">
        <v>187</v>
      </c>
      <c r="F185" s="38"/>
      <c r="G185" s="38"/>
      <c r="H185" s="50" t="s">
        <v>32</v>
      </c>
      <c r="I185" s="51"/>
      <c r="J185" s="55"/>
      <c r="K185" s="53"/>
      <c r="L185" s="57"/>
      <c r="M185" s="37"/>
      <c r="N185" s="37"/>
      <c r="O185" s="39"/>
      <c r="P185" s="3"/>
      <c r="Q185" s="3"/>
    </row>
    <row r="186" spans="1:17" x14ac:dyDescent="0.3">
      <c r="A186" s="122">
        <f t="shared" si="5"/>
        <v>1</v>
      </c>
      <c r="B186" s="123">
        <f>ROW()-ROW(TabConsolidation[[#Headers],[N]])</f>
        <v>169</v>
      </c>
      <c r="C186" s="34"/>
      <c r="D186" s="35"/>
      <c r="E186" s="36" t="s">
        <v>188</v>
      </c>
      <c r="F186" s="38"/>
      <c r="G186" s="38"/>
      <c r="H186" s="50" t="s">
        <v>32</v>
      </c>
      <c r="I186" s="51"/>
      <c r="J186" s="55"/>
      <c r="K186" s="53"/>
      <c r="L186" s="57"/>
      <c r="M186" s="37"/>
      <c r="N186" s="37"/>
      <c r="O186" s="39"/>
      <c r="P186" s="3"/>
      <c r="Q186" s="3"/>
    </row>
    <row r="187" spans="1:17" x14ac:dyDescent="0.3">
      <c r="A187" s="122">
        <f t="shared" si="5"/>
        <v>1</v>
      </c>
      <c r="B187" s="123">
        <f>ROW()-ROW(TabConsolidation[[#Headers],[N]])</f>
        <v>170</v>
      </c>
      <c r="C187" s="97" t="s">
        <v>189</v>
      </c>
      <c r="D187" s="98" t="s">
        <v>12</v>
      </c>
      <c r="E187" s="99" t="s">
        <v>190</v>
      </c>
      <c r="F187" s="49"/>
      <c r="G187" s="38"/>
      <c r="H187" s="50" t="s">
        <v>32</v>
      </c>
      <c r="I187" s="51"/>
      <c r="J187" s="55"/>
      <c r="K187" s="53"/>
      <c r="L187" s="57"/>
      <c r="M187" s="37"/>
      <c r="N187" s="37"/>
      <c r="O187" s="39"/>
      <c r="P187" s="3"/>
      <c r="Q187" s="3"/>
    </row>
    <row r="188" spans="1:17" x14ac:dyDescent="0.3">
      <c r="A188" s="122">
        <f t="shared" si="5"/>
        <v>1</v>
      </c>
      <c r="B188" s="123">
        <f>ROW()-ROW(TabConsolidation[[#Headers],[N]])</f>
        <v>171</v>
      </c>
      <c r="C188" s="34"/>
      <c r="D188" s="98" t="s">
        <v>22</v>
      </c>
      <c r="E188" s="99" t="s">
        <v>191</v>
      </c>
      <c r="F188" s="49"/>
      <c r="G188" s="38"/>
      <c r="H188" s="50" t="s">
        <v>32</v>
      </c>
      <c r="I188" s="51"/>
      <c r="J188" s="55"/>
      <c r="K188" s="53"/>
      <c r="L188" s="57"/>
      <c r="M188" s="37"/>
      <c r="N188" s="37"/>
      <c r="O188" s="39"/>
      <c r="P188" s="3"/>
      <c r="Q188" s="3"/>
    </row>
    <row r="189" spans="1:17" x14ac:dyDescent="0.3">
      <c r="A189" s="122">
        <f t="shared" si="5"/>
        <v>1</v>
      </c>
      <c r="B189" s="123">
        <f>ROW()-ROW(TabConsolidation[[#Headers],[N]])</f>
        <v>172</v>
      </c>
      <c r="C189" s="34"/>
      <c r="D189" s="98" t="s">
        <v>192</v>
      </c>
      <c r="E189" s="99" t="s">
        <v>193</v>
      </c>
      <c r="F189" s="49"/>
      <c r="G189" s="38"/>
      <c r="H189" s="50" t="s">
        <v>32</v>
      </c>
      <c r="I189" s="51"/>
      <c r="J189" s="55"/>
      <c r="K189" s="53"/>
      <c r="L189" s="57"/>
      <c r="M189" s="37"/>
      <c r="N189" s="37"/>
      <c r="O189" s="39"/>
      <c r="P189" s="3"/>
      <c r="Q189" s="3"/>
    </row>
    <row r="190" spans="1:17" x14ac:dyDescent="0.3">
      <c r="A190" s="122">
        <f t="shared" si="5"/>
        <v>1</v>
      </c>
      <c r="B190" s="123">
        <f>ROW()-ROW(TabConsolidation[[#Headers],[N]])</f>
        <v>173</v>
      </c>
      <c r="C190" s="34"/>
      <c r="D190" s="98" t="s">
        <v>5</v>
      </c>
      <c r="E190" s="99" t="s">
        <v>194</v>
      </c>
      <c r="F190" s="49"/>
      <c r="G190" s="38"/>
      <c r="H190" s="50" t="s">
        <v>32</v>
      </c>
      <c r="I190" s="51"/>
      <c r="J190" s="55"/>
      <c r="K190" s="53"/>
      <c r="L190" s="57"/>
      <c r="M190" s="37"/>
      <c r="N190" s="37"/>
      <c r="O190" s="39"/>
      <c r="P190" s="3"/>
      <c r="Q190" s="3"/>
    </row>
    <row r="191" spans="1:17" x14ac:dyDescent="0.3">
      <c r="A191" s="122">
        <f t="shared" si="5"/>
        <v>1</v>
      </c>
      <c r="B191" s="123">
        <f>ROW()-ROW(TabConsolidation[[#Headers],[N]])</f>
        <v>174</v>
      </c>
      <c r="C191" s="34"/>
      <c r="D191" s="98" t="s">
        <v>26</v>
      </c>
      <c r="E191" s="99" t="s">
        <v>195</v>
      </c>
      <c r="F191" s="49"/>
      <c r="G191" s="38"/>
      <c r="H191" s="50" t="s">
        <v>32</v>
      </c>
      <c r="I191" s="51"/>
      <c r="J191" s="55"/>
      <c r="K191" s="53"/>
      <c r="L191" s="57"/>
      <c r="M191" s="37"/>
      <c r="N191" s="37"/>
      <c r="O191" s="39"/>
      <c r="P191" s="3"/>
      <c r="Q191" s="3"/>
    </row>
    <row r="192" spans="1:17" x14ac:dyDescent="0.3">
      <c r="A192" s="122">
        <f t="shared" si="5"/>
        <v>1</v>
      </c>
      <c r="B192" s="123">
        <f>ROW()-ROW(TabConsolidation[[#Headers],[N]])</f>
        <v>175</v>
      </c>
      <c r="C192" s="34"/>
      <c r="D192" s="98" t="s">
        <v>196</v>
      </c>
      <c r="E192" s="99" t="s">
        <v>197</v>
      </c>
      <c r="F192" s="49"/>
      <c r="G192" s="38"/>
      <c r="H192" s="50" t="s">
        <v>32</v>
      </c>
      <c r="I192" s="51"/>
      <c r="J192" s="55"/>
      <c r="K192" s="53"/>
      <c r="L192" s="57"/>
      <c r="M192" s="37"/>
      <c r="N192" s="37"/>
      <c r="O192" s="39"/>
      <c r="P192" s="3"/>
      <c r="Q192" s="3"/>
    </row>
    <row r="193" spans="1:17" x14ac:dyDescent="0.3">
      <c r="A193" s="122">
        <f t="shared" si="5"/>
        <v>1</v>
      </c>
      <c r="B193" s="123">
        <f>ROW()-ROW(TabConsolidation[[#Headers],[N]])</f>
        <v>176</v>
      </c>
      <c r="C193" s="34"/>
      <c r="D193" s="98" t="s">
        <v>25</v>
      </c>
      <c r="E193" s="99" t="s">
        <v>198</v>
      </c>
      <c r="F193" s="49"/>
      <c r="G193" s="38"/>
      <c r="H193" s="50" t="s">
        <v>32</v>
      </c>
      <c r="I193" s="51"/>
      <c r="J193" s="55"/>
      <c r="K193" s="53"/>
      <c r="L193" s="57"/>
      <c r="M193" s="37"/>
      <c r="N193" s="37"/>
      <c r="O193" s="39"/>
      <c r="P193" s="3"/>
      <c r="Q193" s="3"/>
    </row>
    <row r="194" spans="1:17" x14ac:dyDescent="0.3">
      <c r="A194" s="122">
        <f t="shared" si="5"/>
        <v>1</v>
      </c>
      <c r="B194" s="123">
        <f>ROW()-ROW(TabConsolidation[[#Headers],[N]])</f>
        <v>177</v>
      </c>
      <c r="C194" s="34"/>
      <c r="D194" s="40" t="s">
        <v>199</v>
      </c>
      <c r="E194" s="36"/>
      <c r="F194" s="38"/>
      <c r="G194" s="38"/>
      <c r="H194" s="50" t="s">
        <v>32</v>
      </c>
      <c r="I194" s="51"/>
      <c r="J194" s="55"/>
      <c r="K194" s="53"/>
      <c r="L194" s="57"/>
      <c r="M194" s="37"/>
      <c r="N194" s="37"/>
      <c r="O194" s="39"/>
      <c r="P194" s="3"/>
      <c r="Q194" s="3"/>
    </row>
    <row r="195" spans="1:17" x14ac:dyDescent="0.3">
      <c r="A195" s="122">
        <f t="shared" si="5"/>
        <v>1</v>
      </c>
      <c r="B195" s="123">
        <f>ROW()-ROW(TabConsolidation[[#Headers],[N]])</f>
        <v>178</v>
      </c>
      <c r="C195" s="41"/>
      <c r="D195" s="40"/>
      <c r="E195" s="36"/>
      <c r="F195" s="38"/>
      <c r="G195" s="38"/>
      <c r="H195" s="50" t="s">
        <v>32</v>
      </c>
      <c r="I195" s="51"/>
      <c r="J195" s="55"/>
      <c r="K195" s="53"/>
      <c r="L195" s="57"/>
      <c r="M195" s="37"/>
      <c r="N195" s="37"/>
      <c r="O195" s="39"/>
      <c r="P195" s="3"/>
      <c r="Q195" s="3"/>
    </row>
    <row r="196" spans="1:17" x14ac:dyDescent="0.3">
      <c r="A196" s="122">
        <f t="shared" si="5"/>
        <v>1</v>
      </c>
      <c r="B196" s="123">
        <f>ROW()-ROW(TabConsolidation[[#Headers],[N]])</f>
        <v>179</v>
      </c>
      <c r="C196" s="34"/>
      <c r="D196" s="40" t="s">
        <v>199</v>
      </c>
      <c r="E196" s="36"/>
      <c r="F196" s="38"/>
      <c r="G196" s="38"/>
      <c r="H196" s="50" t="s">
        <v>32</v>
      </c>
      <c r="I196" s="51"/>
      <c r="J196" s="55"/>
      <c r="K196" s="53"/>
      <c r="L196" s="57"/>
      <c r="M196" s="37"/>
      <c r="N196" s="37"/>
      <c r="O196" s="39"/>
      <c r="P196" s="3"/>
      <c r="Q196" s="3"/>
    </row>
    <row r="197" spans="1:17" x14ac:dyDescent="0.3">
      <c r="A197" s="122">
        <f t="shared" si="5"/>
        <v>1</v>
      </c>
      <c r="B197" s="123">
        <f>ROW()-ROW(TabConsolidation[[#Headers],[N]])</f>
        <v>180</v>
      </c>
      <c r="C197" s="41"/>
      <c r="D197" s="40"/>
      <c r="E197" s="36"/>
      <c r="F197" s="38"/>
      <c r="G197" s="38"/>
      <c r="H197" s="50" t="s">
        <v>32</v>
      </c>
      <c r="I197" s="51"/>
      <c r="J197" s="55"/>
      <c r="K197" s="53"/>
      <c r="L197" s="57"/>
      <c r="M197" s="37"/>
      <c r="N197" s="37"/>
      <c r="O197" s="39"/>
      <c r="P197" s="3"/>
      <c r="Q197" s="3"/>
    </row>
    <row r="198" spans="1:17" x14ac:dyDescent="0.3">
      <c r="A198" s="122">
        <f t="shared" si="5"/>
        <v>1</v>
      </c>
      <c r="B198" s="123">
        <f>ROW()-ROW(TabConsolidation[[#Headers],[N]])</f>
        <v>181</v>
      </c>
      <c r="C198" s="34"/>
      <c r="D198" s="40" t="s">
        <v>199</v>
      </c>
      <c r="E198" s="36"/>
      <c r="F198" s="38"/>
      <c r="G198" s="38"/>
      <c r="H198" s="50" t="s">
        <v>32</v>
      </c>
      <c r="I198" s="51"/>
      <c r="J198" s="55"/>
      <c r="K198" s="53"/>
      <c r="L198" s="57"/>
      <c r="M198" s="37"/>
      <c r="N198" s="37"/>
      <c r="O198" s="39"/>
      <c r="P198" s="3"/>
      <c r="Q198" s="3"/>
    </row>
    <row r="199" spans="1:17" x14ac:dyDescent="0.3">
      <c r="A199" s="122">
        <f t="shared" si="5"/>
        <v>1</v>
      </c>
      <c r="B199" s="123">
        <f>ROW()-ROW(TabConsolidation[[#Headers],[N]])</f>
        <v>182</v>
      </c>
      <c r="C199" s="41"/>
      <c r="D199" s="40"/>
      <c r="E199" s="36"/>
      <c r="F199" s="38"/>
      <c r="G199" s="38"/>
      <c r="H199" s="50" t="s">
        <v>32</v>
      </c>
      <c r="I199" s="51"/>
      <c r="J199" s="55"/>
      <c r="K199" s="53"/>
      <c r="L199" s="57"/>
      <c r="M199" s="37"/>
      <c r="N199" s="37"/>
      <c r="O199" s="39"/>
      <c r="P199" s="3"/>
      <c r="Q199" s="3"/>
    </row>
    <row r="200" spans="1:17" x14ac:dyDescent="0.3">
      <c r="A200" s="122">
        <f t="shared" si="5"/>
        <v>1</v>
      </c>
      <c r="B200" s="123">
        <f>ROW()-ROW(TabConsolidation[[#Headers],[N]])</f>
        <v>183</v>
      </c>
      <c r="C200" s="34"/>
      <c r="D200" s="40" t="s">
        <v>199</v>
      </c>
      <c r="E200" s="36"/>
      <c r="F200" s="38"/>
      <c r="G200" s="38"/>
      <c r="H200" s="50" t="s">
        <v>32</v>
      </c>
      <c r="I200" s="51"/>
      <c r="J200" s="55"/>
      <c r="K200" s="53"/>
      <c r="L200" s="57"/>
      <c r="M200" s="37"/>
      <c r="N200" s="37"/>
      <c r="O200" s="39"/>
      <c r="P200" s="3"/>
      <c r="Q200" s="3"/>
    </row>
    <row r="201" spans="1:17" x14ac:dyDescent="0.3">
      <c r="A201" s="122">
        <f t="shared" si="5"/>
        <v>1</v>
      </c>
      <c r="B201" s="123">
        <f>ROW()-ROW(TabConsolidation[[#Headers],[N]])</f>
        <v>184</v>
      </c>
      <c r="C201" s="41"/>
      <c r="D201" s="40"/>
      <c r="E201" s="36"/>
      <c r="F201" s="38"/>
      <c r="G201" s="38"/>
      <c r="H201" s="50" t="s">
        <v>32</v>
      </c>
      <c r="I201" s="51"/>
      <c r="J201" s="55"/>
      <c r="K201" s="53"/>
      <c r="L201" s="57"/>
      <c r="M201" s="37"/>
      <c r="N201" s="37"/>
      <c r="O201" s="39"/>
      <c r="P201" s="3"/>
      <c r="Q201" s="3"/>
    </row>
    <row r="202" spans="1:17" x14ac:dyDescent="0.3">
      <c r="A202" s="122">
        <f t="shared" si="5"/>
        <v>1</v>
      </c>
      <c r="B202" s="123">
        <f>ROW()-ROW(TabConsolidation[[#Headers],[N]])</f>
        <v>185</v>
      </c>
      <c r="C202" s="34"/>
      <c r="D202" s="40" t="s">
        <v>199</v>
      </c>
      <c r="E202" s="36"/>
      <c r="F202" s="38"/>
      <c r="G202" s="38"/>
      <c r="H202" s="50" t="s">
        <v>32</v>
      </c>
      <c r="I202" s="51"/>
      <c r="J202" s="55"/>
      <c r="K202" s="53"/>
      <c r="L202" s="57"/>
      <c r="M202" s="37"/>
      <c r="N202" s="37"/>
      <c r="O202" s="39"/>
      <c r="P202" s="3"/>
      <c r="Q202" s="3"/>
    </row>
    <row r="203" spans="1:17" x14ac:dyDescent="0.3">
      <c r="A203" s="122">
        <f t="shared" si="5"/>
        <v>1</v>
      </c>
      <c r="B203" s="123">
        <f>ROW()-ROW(TabConsolidation[[#Headers],[N]])</f>
        <v>186</v>
      </c>
      <c r="C203" s="41"/>
      <c r="D203" s="40"/>
      <c r="E203" s="36"/>
      <c r="F203" s="38"/>
      <c r="G203" s="38"/>
      <c r="H203" s="50" t="s">
        <v>32</v>
      </c>
      <c r="I203" s="51"/>
      <c r="J203" s="55"/>
      <c r="K203" s="53"/>
      <c r="L203" s="57"/>
      <c r="M203" s="37"/>
      <c r="N203" s="37"/>
      <c r="O203" s="39"/>
      <c r="P203" s="3"/>
      <c r="Q203" s="3"/>
    </row>
    <row r="204" spans="1:17" x14ac:dyDescent="0.3">
      <c r="A204" s="124">
        <f t="shared" si="5"/>
        <v>1</v>
      </c>
      <c r="B204" s="125">
        <f>ROW()-ROW(TabConsolidation[[#Headers],[N]])</f>
        <v>187</v>
      </c>
      <c r="C204" s="42"/>
      <c r="D204" s="43" t="s">
        <v>199</v>
      </c>
      <c r="E204" s="44"/>
      <c r="F204" s="46"/>
      <c r="G204" s="46"/>
      <c r="H204" s="50" t="s">
        <v>32</v>
      </c>
      <c r="I204" s="52"/>
      <c r="J204" s="56"/>
      <c r="K204" s="54"/>
      <c r="L204" s="58"/>
      <c r="M204" s="45"/>
      <c r="N204" s="45"/>
      <c r="O204" s="47"/>
      <c r="P204" s="3"/>
      <c r="Q204" s="3"/>
    </row>
    <row r="205" spans="1:17" s="3" customFormat="1" x14ac:dyDescent="0.3">
      <c r="A205" s="116"/>
      <c r="B205" s="117"/>
    </row>
    <row r="206" spans="1:17" s="3" customFormat="1" x14ac:dyDescent="0.3">
      <c r="A206" s="116"/>
      <c r="B206" s="117"/>
    </row>
    <row r="207" spans="1:17" s="3" customFormat="1" x14ac:dyDescent="0.3">
      <c r="A207" s="116"/>
      <c r="B207" s="117"/>
    </row>
    <row r="208" spans="1:17" s="3" customFormat="1" x14ac:dyDescent="0.3">
      <c r="A208" s="116"/>
      <c r="B208" s="117"/>
    </row>
    <row r="209" spans="1:2" s="3" customFormat="1" x14ac:dyDescent="0.3">
      <c r="A209" s="116"/>
      <c r="B209" s="117"/>
    </row>
    <row r="210" spans="1:2" s="3" customFormat="1" x14ac:dyDescent="0.3">
      <c r="A210" s="116"/>
      <c r="B210" s="117"/>
    </row>
    <row r="211" spans="1:2" s="3" customFormat="1" x14ac:dyDescent="0.3">
      <c r="A211" s="116"/>
      <c r="B211" s="117"/>
    </row>
    <row r="212" spans="1:2" s="3" customFormat="1" x14ac:dyDescent="0.3">
      <c r="A212" s="116"/>
      <c r="B212" s="117"/>
    </row>
    <row r="213" spans="1:2" s="3" customFormat="1" x14ac:dyDescent="0.3">
      <c r="A213" s="116"/>
      <c r="B213" s="117"/>
    </row>
    <row r="214" spans="1:2" s="3" customFormat="1" x14ac:dyDescent="0.3">
      <c r="A214" s="116"/>
      <c r="B214" s="117"/>
    </row>
    <row r="215" spans="1:2" s="3" customFormat="1" x14ac:dyDescent="0.3">
      <c r="A215" s="116"/>
      <c r="B215" s="117"/>
    </row>
    <row r="216" spans="1:2" s="3" customFormat="1" x14ac:dyDescent="0.3">
      <c r="A216" s="116"/>
      <c r="B216" s="117"/>
    </row>
    <row r="217" spans="1:2" s="3" customFormat="1" x14ac:dyDescent="0.3">
      <c r="A217" s="116"/>
      <c r="B217" s="117"/>
    </row>
    <row r="218" spans="1:2" s="3" customFormat="1" x14ac:dyDescent="0.3">
      <c r="A218" s="116"/>
      <c r="B218" s="117"/>
    </row>
    <row r="219" spans="1:2" s="3" customFormat="1" x14ac:dyDescent="0.3">
      <c r="A219" s="116"/>
      <c r="B219" s="117"/>
    </row>
    <row r="220" spans="1:2" s="3" customFormat="1" x14ac:dyDescent="0.3">
      <c r="A220" s="116"/>
      <c r="B220" s="117"/>
    </row>
    <row r="221" spans="1:2" s="3" customFormat="1" x14ac:dyDescent="0.3">
      <c r="A221" s="116"/>
      <c r="B221" s="117"/>
    </row>
    <row r="222" spans="1:2" s="3" customFormat="1" x14ac:dyDescent="0.3">
      <c r="A222" s="116"/>
      <c r="B222" s="117"/>
    </row>
    <row r="223" spans="1:2" s="3" customFormat="1" x14ac:dyDescent="0.3">
      <c r="A223" s="116"/>
      <c r="B223" s="117"/>
    </row>
    <row r="224" spans="1:2" s="3" customFormat="1" x14ac:dyDescent="0.3">
      <c r="A224" s="116"/>
      <c r="B224" s="117"/>
    </row>
    <row r="225" spans="1:2" s="3" customFormat="1" x14ac:dyDescent="0.3">
      <c r="A225" s="116"/>
      <c r="B225" s="117"/>
    </row>
    <row r="226" spans="1:2" s="3" customFormat="1" x14ac:dyDescent="0.3">
      <c r="A226" s="116"/>
      <c r="B226" s="117"/>
    </row>
    <row r="227" spans="1:2" s="3" customFormat="1" x14ac:dyDescent="0.3">
      <c r="A227" s="116"/>
      <c r="B227" s="117"/>
    </row>
    <row r="228" spans="1:2" s="3" customFormat="1" x14ac:dyDescent="0.3">
      <c r="A228" s="116"/>
      <c r="B228" s="117"/>
    </row>
    <row r="229" spans="1:2" s="3" customFormat="1" x14ac:dyDescent="0.3">
      <c r="A229" s="116"/>
      <c r="B229" s="117"/>
    </row>
    <row r="230" spans="1:2" s="3" customFormat="1" x14ac:dyDescent="0.3">
      <c r="A230" s="116"/>
      <c r="B230" s="117"/>
    </row>
    <row r="231" spans="1:2" s="3" customFormat="1" x14ac:dyDescent="0.3">
      <c r="A231" s="116"/>
      <c r="B231" s="117"/>
    </row>
    <row r="232" spans="1:2" s="3" customFormat="1" x14ac:dyDescent="0.3">
      <c r="A232" s="116"/>
      <c r="B232" s="117"/>
    </row>
    <row r="233" spans="1:2" s="3" customFormat="1" x14ac:dyDescent="0.3">
      <c r="A233" s="116"/>
      <c r="B233" s="117"/>
    </row>
    <row r="234" spans="1:2" s="3" customFormat="1" x14ac:dyDescent="0.3">
      <c r="A234" s="116"/>
      <c r="B234" s="117"/>
    </row>
    <row r="235" spans="1:2" s="3" customFormat="1" x14ac:dyDescent="0.3">
      <c r="A235" s="116"/>
      <c r="B235" s="117"/>
    </row>
    <row r="236" spans="1:2" s="3" customFormat="1" x14ac:dyDescent="0.3">
      <c r="A236" s="116"/>
      <c r="B236" s="117"/>
    </row>
    <row r="237" spans="1:2" s="3" customFormat="1" x14ac:dyDescent="0.3">
      <c r="A237" s="116"/>
      <c r="B237" s="117"/>
    </row>
    <row r="238" spans="1:2" s="3" customFormat="1" x14ac:dyDescent="0.3">
      <c r="A238" s="116"/>
      <c r="B238" s="117"/>
    </row>
    <row r="239" spans="1:2" s="3" customFormat="1" x14ac:dyDescent="0.3">
      <c r="A239" s="116"/>
      <c r="B239" s="117"/>
    </row>
    <row r="240" spans="1:2" s="3" customFormat="1" x14ac:dyDescent="0.3">
      <c r="A240" s="116"/>
      <c r="B240" s="117"/>
    </row>
    <row r="241" spans="1:2" s="3" customFormat="1" x14ac:dyDescent="0.3">
      <c r="A241" s="116"/>
      <c r="B241" s="117"/>
    </row>
    <row r="242" spans="1:2" s="3" customFormat="1" x14ac:dyDescent="0.3">
      <c r="A242" s="116"/>
      <c r="B242" s="117"/>
    </row>
    <row r="243" spans="1:2" s="3" customFormat="1" x14ac:dyDescent="0.3">
      <c r="A243" s="116"/>
      <c r="B243" s="117"/>
    </row>
    <row r="244" spans="1:2" s="3" customFormat="1" x14ac:dyDescent="0.3">
      <c r="A244" s="116"/>
      <c r="B244" s="117"/>
    </row>
    <row r="245" spans="1:2" s="3" customFormat="1" x14ac:dyDescent="0.3">
      <c r="A245" s="116"/>
      <c r="B245" s="117"/>
    </row>
    <row r="246" spans="1:2" s="3" customFormat="1" x14ac:dyDescent="0.3">
      <c r="A246" s="116"/>
      <c r="B246" s="117"/>
    </row>
    <row r="247" spans="1:2" s="3" customFormat="1" x14ac:dyDescent="0.3">
      <c r="A247" s="116"/>
      <c r="B247" s="117"/>
    </row>
    <row r="248" spans="1:2" s="3" customFormat="1" x14ac:dyDescent="0.3">
      <c r="A248" s="116"/>
      <c r="B248" s="117"/>
    </row>
    <row r="249" spans="1:2" s="3" customFormat="1" x14ac:dyDescent="0.3">
      <c r="A249" s="116"/>
      <c r="B249" s="117"/>
    </row>
    <row r="250" spans="1:2" s="3" customFormat="1" x14ac:dyDescent="0.3">
      <c r="A250" s="116"/>
      <c r="B250" s="117"/>
    </row>
    <row r="251" spans="1:2" s="3" customFormat="1" x14ac:dyDescent="0.3">
      <c r="A251" s="116"/>
      <c r="B251" s="117"/>
    </row>
    <row r="252" spans="1:2" s="3" customFormat="1" x14ac:dyDescent="0.3">
      <c r="A252" s="116"/>
      <c r="B252" s="117"/>
    </row>
    <row r="253" spans="1:2" s="3" customFormat="1" x14ac:dyDescent="0.3">
      <c r="A253" s="116"/>
      <c r="B253" s="117"/>
    </row>
    <row r="254" spans="1:2" s="3" customFormat="1" x14ac:dyDescent="0.3">
      <c r="A254" s="116"/>
      <c r="B254" s="117"/>
    </row>
    <row r="255" spans="1:2" s="3" customFormat="1" x14ac:dyDescent="0.3">
      <c r="A255" s="116"/>
      <c r="B255" s="117"/>
    </row>
    <row r="256" spans="1:2" s="3" customFormat="1" x14ac:dyDescent="0.3">
      <c r="A256" s="116"/>
      <c r="B256" s="117"/>
    </row>
    <row r="257" spans="1:2" s="3" customFormat="1" x14ac:dyDescent="0.3">
      <c r="A257" s="116"/>
      <c r="B257" s="117"/>
    </row>
    <row r="258" spans="1:2" s="3" customFormat="1" x14ac:dyDescent="0.3">
      <c r="A258" s="116"/>
      <c r="B258" s="117"/>
    </row>
    <row r="259" spans="1:2" s="3" customFormat="1" x14ac:dyDescent="0.3">
      <c r="A259" s="116"/>
      <c r="B259" s="117"/>
    </row>
    <row r="260" spans="1:2" s="3" customFormat="1" x14ac:dyDescent="0.3">
      <c r="A260" s="116"/>
      <c r="B260" s="117"/>
    </row>
    <row r="261" spans="1:2" s="3" customFormat="1" x14ac:dyDescent="0.3">
      <c r="A261" s="116"/>
      <c r="B261" s="117"/>
    </row>
    <row r="262" spans="1:2" s="3" customFormat="1" x14ac:dyDescent="0.3">
      <c r="A262" s="116"/>
      <c r="B262" s="117"/>
    </row>
    <row r="263" spans="1:2" s="3" customFormat="1" x14ac:dyDescent="0.3">
      <c r="A263" s="116"/>
      <c r="B263" s="117"/>
    </row>
    <row r="264" spans="1:2" s="3" customFormat="1" x14ac:dyDescent="0.3">
      <c r="A264" s="116"/>
      <c r="B264" s="117"/>
    </row>
    <row r="265" spans="1:2" s="3" customFormat="1" x14ac:dyDescent="0.3">
      <c r="A265" s="116"/>
      <c r="B265" s="117"/>
    </row>
    <row r="266" spans="1:2" s="3" customFormat="1" x14ac:dyDescent="0.3">
      <c r="A266" s="116"/>
      <c r="B266" s="117"/>
    </row>
    <row r="267" spans="1:2" s="3" customFormat="1" x14ac:dyDescent="0.3">
      <c r="A267" s="116"/>
      <c r="B267" s="117"/>
    </row>
    <row r="268" spans="1:2" s="3" customFormat="1" x14ac:dyDescent="0.3">
      <c r="A268" s="116"/>
      <c r="B268" s="117"/>
    </row>
    <row r="269" spans="1:2" s="3" customFormat="1" x14ac:dyDescent="0.3">
      <c r="A269" s="116"/>
      <c r="B269" s="117"/>
    </row>
    <row r="270" spans="1:2" s="3" customFormat="1" x14ac:dyDescent="0.3">
      <c r="A270" s="116"/>
      <c r="B270" s="117"/>
    </row>
    <row r="271" spans="1:2" s="3" customFormat="1" x14ac:dyDescent="0.3">
      <c r="A271" s="116"/>
      <c r="B271" s="117"/>
    </row>
    <row r="272" spans="1:2" s="3" customFormat="1" x14ac:dyDescent="0.3">
      <c r="A272" s="116"/>
      <c r="B272" s="117"/>
    </row>
    <row r="273" spans="1:2" s="3" customFormat="1" x14ac:dyDescent="0.3">
      <c r="A273" s="116"/>
      <c r="B273" s="117"/>
    </row>
    <row r="274" spans="1:2" s="3" customFormat="1" x14ac:dyDescent="0.3">
      <c r="A274" s="116"/>
      <c r="B274" s="117"/>
    </row>
    <row r="275" spans="1:2" s="3" customFormat="1" x14ac:dyDescent="0.3">
      <c r="A275" s="116"/>
      <c r="B275" s="117"/>
    </row>
    <row r="276" spans="1:2" s="3" customFormat="1" x14ac:dyDescent="0.3">
      <c r="A276" s="116"/>
      <c r="B276" s="117"/>
    </row>
    <row r="277" spans="1:2" s="3" customFormat="1" x14ac:dyDescent="0.3">
      <c r="A277" s="116"/>
      <c r="B277" s="117"/>
    </row>
    <row r="278" spans="1:2" s="3" customFormat="1" x14ac:dyDescent="0.3">
      <c r="A278" s="116"/>
      <c r="B278" s="117"/>
    </row>
    <row r="279" spans="1:2" s="3" customFormat="1" x14ac:dyDescent="0.3">
      <c r="A279" s="116"/>
      <c r="B279" s="117"/>
    </row>
    <row r="280" spans="1:2" s="3" customFormat="1" x14ac:dyDescent="0.3">
      <c r="A280" s="116"/>
      <c r="B280" s="117"/>
    </row>
    <row r="281" spans="1:2" s="3" customFormat="1" x14ac:dyDescent="0.3">
      <c r="A281" s="116"/>
      <c r="B281" s="117"/>
    </row>
    <row r="282" spans="1:2" s="3" customFormat="1" x14ac:dyDescent="0.3">
      <c r="A282" s="116"/>
      <c r="B282" s="117"/>
    </row>
    <row r="283" spans="1:2" s="3" customFormat="1" x14ac:dyDescent="0.3">
      <c r="A283" s="116"/>
      <c r="B283" s="117"/>
    </row>
    <row r="284" spans="1:2" s="3" customFormat="1" x14ac:dyDescent="0.3">
      <c r="A284" s="116"/>
      <c r="B284" s="117"/>
    </row>
    <row r="285" spans="1:2" s="3" customFormat="1" x14ac:dyDescent="0.3">
      <c r="A285" s="116"/>
      <c r="B285" s="117"/>
    </row>
    <row r="286" spans="1:2" s="3" customFormat="1" x14ac:dyDescent="0.3">
      <c r="A286" s="116"/>
      <c r="B286" s="117"/>
    </row>
    <row r="287" spans="1:2" s="3" customFormat="1" x14ac:dyDescent="0.3">
      <c r="A287" s="116"/>
      <c r="B287" s="117"/>
    </row>
    <row r="288" spans="1:2" s="3" customFormat="1" x14ac:dyDescent="0.3">
      <c r="A288" s="116"/>
      <c r="B288" s="117"/>
    </row>
    <row r="289" spans="1:2" s="3" customFormat="1" x14ac:dyDescent="0.3">
      <c r="A289" s="116"/>
      <c r="B289" s="117"/>
    </row>
    <row r="290" spans="1:2" s="3" customFormat="1" x14ac:dyDescent="0.3">
      <c r="A290" s="116"/>
      <c r="B290" s="117"/>
    </row>
    <row r="291" spans="1:2" s="3" customFormat="1" x14ac:dyDescent="0.3">
      <c r="A291" s="116"/>
      <c r="B291" s="117"/>
    </row>
    <row r="292" spans="1:2" s="3" customFormat="1" x14ac:dyDescent="0.3">
      <c r="A292" s="116"/>
      <c r="B292" s="117"/>
    </row>
    <row r="293" spans="1:2" s="3" customFormat="1" x14ac:dyDescent="0.3">
      <c r="A293" s="116"/>
      <c r="B293" s="117"/>
    </row>
    <row r="294" spans="1:2" s="3" customFormat="1" x14ac:dyDescent="0.3">
      <c r="A294" s="116"/>
      <c r="B294" s="117"/>
    </row>
    <row r="295" spans="1:2" s="3" customFormat="1" x14ac:dyDescent="0.3">
      <c r="A295" s="116"/>
      <c r="B295" s="117"/>
    </row>
    <row r="296" spans="1:2" s="3" customFormat="1" x14ac:dyDescent="0.3">
      <c r="A296" s="116"/>
      <c r="B296" s="117"/>
    </row>
    <row r="297" spans="1:2" s="3" customFormat="1" x14ac:dyDescent="0.3">
      <c r="A297" s="116"/>
      <c r="B297" s="117"/>
    </row>
    <row r="298" spans="1:2" s="3" customFormat="1" x14ac:dyDescent="0.3">
      <c r="A298" s="116"/>
      <c r="B298" s="117"/>
    </row>
    <row r="299" spans="1:2" s="3" customFormat="1" x14ac:dyDescent="0.3">
      <c r="A299" s="116"/>
      <c r="B299" s="117"/>
    </row>
    <row r="300" spans="1:2" s="3" customFormat="1" x14ac:dyDescent="0.3">
      <c r="A300" s="116"/>
      <c r="B300" s="117"/>
    </row>
    <row r="301" spans="1:2" s="3" customFormat="1" x14ac:dyDescent="0.3">
      <c r="A301" s="116"/>
      <c r="B301" s="117"/>
    </row>
    <row r="302" spans="1:2" s="3" customFormat="1" x14ac:dyDescent="0.3">
      <c r="A302" s="116"/>
      <c r="B302" s="117"/>
    </row>
    <row r="303" spans="1:2" s="3" customFormat="1" x14ac:dyDescent="0.3">
      <c r="A303" s="116"/>
      <c r="B303" s="117"/>
    </row>
    <row r="304" spans="1:2" s="3" customFormat="1" x14ac:dyDescent="0.3">
      <c r="A304" s="116"/>
      <c r="B304" s="117"/>
    </row>
    <row r="305" spans="1:2" s="3" customFormat="1" x14ac:dyDescent="0.3">
      <c r="A305" s="116"/>
      <c r="B305" s="117"/>
    </row>
    <row r="306" spans="1:2" s="3" customFormat="1" x14ac:dyDescent="0.3">
      <c r="A306" s="116"/>
      <c r="B306" s="117"/>
    </row>
    <row r="307" spans="1:2" s="3" customFormat="1" x14ac:dyDescent="0.3">
      <c r="A307" s="116"/>
      <c r="B307" s="117"/>
    </row>
    <row r="308" spans="1:2" s="3" customFormat="1" x14ac:dyDescent="0.3">
      <c r="A308" s="116"/>
      <c r="B308" s="117"/>
    </row>
    <row r="309" spans="1:2" s="3" customFormat="1" x14ac:dyDescent="0.3">
      <c r="A309" s="116"/>
      <c r="B309" s="117"/>
    </row>
    <row r="310" spans="1:2" s="3" customFormat="1" x14ac:dyDescent="0.3">
      <c r="A310" s="116"/>
      <c r="B310" s="117"/>
    </row>
    <row r="311" spans="1:2" s="3" customFormat="1" x14ac:dyDescent="0.3">
      <c r="A311" s="116"/>
      <c r="B311" s="117"/>
    </row>
    <row r="312" spans="1:2" s="3" customFormat="1" x14ac:dyDescent="0.3">
      <c r="A312" s="116"/>
      <c r="B312" s="117"/>
    </row>
    <row r="313" spans="1:2" s="3" customFormat="1" x14ac:dyDescent="0.3">
      <c r="A313" s="116"/>
      <c r="B313" s="117"/>
    </row>
    <row r="314" spans="1:2" s="3" customFormat="1" x14ac:dyDescent="0.3">
      <c r="A314" s="116"/>
      <c r="B314" s="117"/>
    </row>
    <row r="315" spans="1:2" s="3" customFormat="1" x14ac:dyDescent="0.3">
      <c r="A315" s="116"/>
      <c r="B315" s="117"/>
    </row>
    <row r="316" spans="1:2" s="3" customFormat="1" x14ac:dyDescent="0.3">
      <c r="A316" s="116"/>
      <c r="B316" s="117"/>
    </row>
    <row r="317" spans="1:2" s="3" customFormat="1" x14ac:dyDescent="0.3">
      <c r="A317" s="116"/>
      <c r="B317" s="117"/>
    </row>
    <row r="318" spans="1:2" s="3" customFormat="1" x14ac:dyDescent="0.3">
      <c r="A318" s="116"/>
      <c r="B318" s="117"/>
    </row>
    <row r="319" spans="1:2" s="3" customFormat="1" x14ac:dyDescent="0.3">
      <c r="A319" s="116"/>
      <c r="B319" s="117"/>
    </row>
    <row r="320" spans="1:2" s="3" customFormat="1" x14ac:dyDescent="0.3">
      <c r="A320" s="116"/>
      <c r="B320" s="117"/>
    </row>
    <row r="321" spans="1:2" s="3" customFormat="1" x14ac:dyDescent="0.3">
      <c r="A321" s="116"/>
      <c r="B321" s="117"/>
    </row>
    <row r="322" spans="1:2" s="3" customFormat="1" x14ac:dyDescent="0.3">
      <c r="A322" s="116"/>
      <c r="B322" s="117"/>
    </row>
    <row r="323" spans="1:2" s="3" customFormat="1" x14ac:dyDescent="0.3">
      <c r="A323" s="116"/>
      <c r="B323" s="117"/>
    </row>
    <row r="324" spans="1:2" s="3" customFormat="1" x14ac:dyDescent="0.3">
      <c r="A324" s="116"/>
      <c r="B324" s="117"/>
    </row>
    <row r="325" spans="1:2" s="3" customFormat="1" x14ac:dyDescent="0.3">
      <c r="A325" s="116"/>
      <c r="B325" s="117"/>
    </row>
    <row r="326" spans="1:2" s="3" customFormat="1" x14ac:dyDescent="0.3">
      <c r="A326" s="116"/>
      <c r="B326" s="117"/>
    </row>
    <row r="327" spans="1:2" s="3" customFormat="1" x14ac:dyDescent="0.3">
      <c r="A327" s="116"/>
      <c r="B327" s="117"/>
    </row>
    <row r="328" spans="1:2" s="3" customFormat="1" x14ac:dyDescent="0.3">
      <c r="A328" s="116"/>
      <c r="B328" s="117"/>
    </row>
    <row r="329" spans="1:2" s="3" customFormat="1" x14ac:dyDescent="0.3">
      <c r="A329" s="116"/>
      <c r="B329" s="117"/>
    </row>
    <row r="330" spans="1:2" s="3" customFormat="1" x14ac:dyDescent="0.3">
      <c r="A330" s="116"/>
      <c r="B330" s="117"/>
    </row>
    <row r="331" spans="1:2" s="3" customFormat="1" x14ac:dyDescent="0.3">
      <c r="A331" s="116"/>
      <c r="B331" s="117"/>
    </row>
    <row r="332" spans="1:2" s="3" customFormat="1" x14ac:dyDescent="0.3">
      <c r="A332" s="116"/>
      <c r="B332" s="117"/>
    </row>
    <row r="333" spans="1:2" s="3" customFormat="1" x14ac:dyDescent="0.3">
      <c r="A333" s="116"/>
      <c r="B333" s="117"/>
    </row>
    <row r="334" spans="1:2" s="3" customFormat="1" x14ac:dyDescent="0.3">
      <c r="A334" s="116"/>
      <c r="B334" s="117"/>
    </row>
    <row r="335" spans="1:2" s="3" customFormat="1" x14ac:dyDescent="0.3">
      <c r="A335" s="116"/>
      <c r="B335" s="117"/>
    </row>
    <row r="336" spans="1:2" s="3" customFormat="1" x14ac:dyDescent="0.3">
      <c r="A336" s="116"/>
      <c r="B336" s="117"/>
    </row>
    <row r="337" spans="1:2" s="3" customFormat="1" x14ac:dyDescent="0.3">
      <c r="A337" s="116"/>
      <c r="B337" s="117"/>
    </row>
    <row r="338" spans="1:2" s="3" customFormat="1" x14ac:dyDescent="0.3">
      <c r="A338" s="116"/>
      <c r="B338" s="117"/>
    </row>
    <row r="339" spans="1:2" s="3" customFormat="1" x14ac:dyDescent="0.3">
      <c r="A339" s="116"/>
      <c r="B339" s="117"/>
    </row>
    <row r="340" spans="1:2" s="3" customFormat="1" x14ac:dyDescent="0.3">
      <c r="A340" s="116"/>
      <c r="B340" s="117"/>
    </row>
    <row r="341" spans="1:2" s="3" customFormat="1" x14ac:dyDescent="0.3">
      <c r="A341" s="116"/>
      <c r="B341" s="117"/>
    </row>
    <row r="342" spans="1:2" s="3" customFormat="1" x14ac:dyDescent="0.3">
      <c r="A342" s="116"/>
      <c r="B342" s="117"/>
    </row>
    <row r="343" spans="1:2" s="3" customFormat="1" x14ac:dyDescent="0.3">
      <c r="A343" s="116"/>
      <c r="B343" s="117"/>
    </row>
    <row r="344" spans="1:2" s="3" customFormat="1" x14ac:dyDescent="0.3">
      <c r="A344" s="116"/>
      <c r="B344" s="117"/>
    </row>
    <row r="345" spans="1:2" s="3" customFormat="1" x14ac:dyDescent="0.3">
      <c r="A345" s="116"/>
      <c r="B345" s="117"/>
    </row>
    <row r="346" spans="1:2" s="3" customFormat="1" x14ac:dyDescent="0.3">
      <c r="A346" s="116"/>
      <c r="B346" s="117"/>
    </row>
    <row r="347" spans="1:2" s="3" customFormat="1" x14ac:dyDescent="0.3">
      <c r="A347" s="116"/>
      <c r="B347" s="117"/>
    </row>
    <row r="348" spans="1:2" s="3" customFormat="1" x14ac:dyDescent="0.3">
      <c r="A348" s="116"/>
      <c r="B348" s="117"/>
    </row>
    <row r="349" spans="1:2" s="3" customFormat="1" x14ac:dyDescent="0.3">
      <c r="A349" s="116"/>
      <c r="B349" s="117"/>
    </row>
    <row r="350" spans="1:2" s="3" customFormat="1" x14ac:dyDescent="0.3">
      <c r="A350" s="116"/>
      <c r="B350" s="117"/>
    </row>
    <row r="351" spans="1:2" s="3" customFormat="1" x14ac:dyDescent="0.3">
      <c r="A351" s="116"/>
      <c r="B351" s="117"/>
    </row>
    <row r="352" spans="1:2" s="3" customFormat="1" x14ac:dyDescent="0.3">
      <c r="A352" s="116"/>
      <c r="B352" s="117"/>
    </row>
    <row r="353" spans="1:2" s="3" customFormat="1" x14ac:dyDescent="0.3">
      <c r="A353" s="116"/>
      <c r="B353" s="117"/>
    </row>
    <row r="354" spans="1:2" s="3" customFormat="1" x14ac:dyDescent="0.3">
      <c r="A354" s="116"/>
      <c r="B354" s="117"/>
    </row>
    <row r="355" spans="1:2" s="3" customFormat="1" x14ac:dyDescent="0.3">
      <c r="A355" s="116"/>
      <c r="B355" s="117"/>
    </row>
    <row r="356" spans="1:2" s="3" customFormat="1" x14ac:dyDescent="0.3">
      <c r="A356" s="116"/>
      <c r="B356" s="117"/>
    </row>
    <row r="357" spans="1:2" s="3" customFormat="1" x14ac:dyDescent="0.3">
      <c r="A357" s="116"/>
      <c r="B357" s="117"/>
    </row>
    <row r="358" spans="1:2" s="3" customFormat="1" x14ac:dyDescent="0.3">
      <c r="A358" s="116"/>
      <c r="B358" s="117"/>
    </row>
    <row r="359" spans="1:2" s="3" customFormat="1" x14ac:dyDescent="0.3">
      <c r="A359" s="116"/>
      <c r="B359" s="117"/>
    </row>
    <row r="360" spans="1:2" s="3" customFormat="1" x14ac:dyDescent="0.3">
      <c r="A360" s="116"/>
      <c r="B360" s="117"/>
    </row>
    <row r="361" spans="1:2" s="3" customFormat="1" x14ac:dyDescent="0.3">
      <c r="A361" s="116"/>
      <c r="B361" s="117"/>
    </row>
    <row r="362" spans="1:2" s="3" customFormat="1" x14ac:dyDescent="0.3">
      <c r="A362" s="116"/>
      <c r="B362" s="117"/>
    </row>
    <row r="363" spans="1:2" s="3" customFormat="1" x14ac:dyDescent="0.3">
      <c r="A363" s="116"/>
      <c r="B363" s="117"/>
    </row>
    <row r="364" spans="1:2" s="3" customFormat="1" x14ac:dyDescent="0.3">
      <c r="A364" s="116"/>
      <c r="B364" s="117"/>
    </row>
    <row r="365" spans="1:2" s="3" customFormat="1" x14ac:dyDescent="0.3">
      <c r="A365" s="116"/>
      <c r="B365" s="117"/>
    </row>
    <row r="366" spans="1:2" s="3" customFormat="1" x14ac:dyDescent="0.3">
      <c r="A366" s="116"/>
      <c r="B366" s="117"/>
    </row>
    <row r="367" spans="1:2" s="3" customFormat="1" x14ac:dyDescent="0.3">
      <c r="A367" s="116"/>
      <c r="B367" s="117"/>
    </row>
    <row r="368" spans="1:2" s="3" customFormat="1" x14ac:dyDescent="0.3">
      <c r="A368" s="116"/>
      <c r="B368" s="117"/>
    </row>
    <row r="369" spans="1:2" s="3" customFormat="1" x14ac:dyDescent="0.3">
      <c r="A369" s="116"/>
      <c r="B369" s="117"/>
    </row>
    <row r="370" spans="1:2" s="3" customFormat="1" x14ac:dyDescent="0.3">
      <c r="A370" s="116"/>
      <c r="B370" s="117"/>
    </row>
    <row r="371" spans="1:2" s="3" customFormat="1" x14ac:dyDescent="0.3">
      <c r="A371" s="116"/>
      <c r="B371" s="117"/>
    </row>
    <row r="372" spans="1:2" s="3" customFormat="1" x14ac:dyDescent="0.3">
      <c r="A372" s="116"/>
      <c r="B372" s="117"/>
    </row>
    <row r="373" spans="1:2" s="3" customFormat="1" x14ac:dyDescent="0.3">
      <c r="A373" s="116"/>
      <c r="B373" s="117"/>
    </row>
    <row r="374" spans="1:2" s="3" customFormat="1" x14ac:dyDescent="0.3">
      <c r="A374" s="116"/>
      <c r="B374" s="117"/>
    </row>
    <row r="375" spans="1:2" s="3" customFormat="1" x14ac:dyDescent="0.3">
      <c r="A375" s="116"/>
      <c r="B375" s="117"/>
    </row>
    <row r="376" spans="1:2" s="3" customFormat="1" x14ac:dyDescent="0.3">
      <c r="A376" s="116"/>
      <c r="B376" s="117"/>
    </row>
    <row r="377" spans="1:2" s="3" customFormat="1" x14ac:dyDescent="0.3">
      <c r="A377" s="116"/>
      <c r="B377" s="117"/>
    </row>
    <row r="378" spans="1:2" s="3" customFormat="1" x14ac:dyDescent="0.3">
      <c r="A378" s="116"/>
      <c r="B378" s="117"/>
    </row>
    <row r="379" spans="1:2" s="3" customFormat="1" x14ac:dyDescent="0.3">
      <c r="A379" s="116"/>
      <c r="B379" s="117"/>
    </row>
    <row r="380" spans="1:2" s="3" customFormat="1" x14ac:dyDescent="0.3">
      <c r="A380" s="116"/>
      <c r="B380" s="117"/>
    </row>
    <row r="381" spans="1:2" s="3" customFormat="1" x14ac:dyDescent="0.3">
      <c r="A381" s="116"/>
      <c r="B381" s="117"/>
    </row>
    <row r="382" spans="1:2" s="3" customFormat="1" x14ac:dyDescent="0.3">
      <c r="A382" s="116"/>
      <c r="B382" s="117"/>
    </row>
    <row r="383" spans="1:2" s="3" customFormat="1" x14ac:dyDescent="0.3">
      <c r="A383" s="116"/>
      <c r="B383" s="117"/>
    </row>
    <row r="384" spans="1:2" s="3" customFormat="1" x14ac:dyDescent="0.3">
      <c r="A384" s="116"/>
      <c r="B384" s="117"/>
    </row>
    <row r="385" spans="1:2" s="3" customFormat="1" x14ac:dyDescent="0.3">
      <c r="A385" s="116"/>
      <c r="B385" s="117"/>
    </row>
    <row r="386" spans="1:2" s="3" customFormat="1" x14ac:dyDescent="0.3">
      <c r="A386" s="116"/>
      <c r="B386" s="117"/>
    </row>
    <row r="387" spans="1:2" s="3" customFormat="1" x14ac:dyDescent="0.3">
      <c r="A387" s="116"/>
      <c r="B387" s="117"/>
    </row>
    <row r="388" spans="1:2" s="3" customFormat="1" x14ac:dyDescent="0.3">
      <c r="A388" s="116"/>
      <c r="B388" s="117"/>
    </row>
    <row r="389" spans="1:2" s="3" customFormat="1" x14ac:dyDescent="0.3">
      <c r="A389" s="116"/>
      <c r="B389" s="117"/>
    </row>
    <row r="390" spans="1:2" s="3" customFormat="1" x14ac:dyDescent="0.3">
      <c r="A390" s="116"/>
      <c r="B390" s="117"/>
    </row>
    <row r="391" spans="1:2" s="3" customFormat="1" x14ac:dyDescent="0.3">
      <c r="A391" s="116"/>
      <c r="B391" s="117"/>
    </row>
    <row r="392" spans="1:2" s="3" customFormat="1" x14ac:dyDescent="0.3">
      <c r="A392" s="116"/>
      <c r="B392" s="117"/>
    </row>
    <row r="393" spans="1:2" s="3" customFormat="1" x14ac:dyDescent="0.3">
      <c r="A393" s="116"/>
      <c r="B393" s="117"/>
    </row>
    <row r="394" spans="1:2" s="3" customFormat="1" x14ac:dyDescent="0.3">
      <c r="A394" s="116"/>
      <c r="B394" s="117"/>
    </row>
    <row r="395" spans="1:2" s="3" customFormat="1" x14ac:dyDescent="0.3">
      <c r="A395" s="116"/>
      <c r="B395" s="117"/>
    </row>
    <row r="396" spans="1:2" s="3" customFormat="1" x14ac:dyDescent="0.3">
      <c r="A396" s="116"/>
      <c r="B396" s="117"/>
    </row>
    <row r="397" spans="1:2" s="3" customFormat="1" x14ac:dyDescent="0.3">
      <c r="A397" s="116"/>
      <c r="B397" s="117"/>
    </row>
    <row r="398" spans="1:2" s="3" customFormat="1" x14ac:dyDescent="0.3">
      <c r="A398" s="116"/>
      <c r="B398" s="117"/>
    </row>
    <row r="399" spans="1:2" s="3" customFormat="1" x14ac:dyDescent="0.3">
      <c r="A399" s="116"/>
      <c r="B399" s="117"/>
    </row>
    <row r="400" spans="1:2" s="3" customFormat="1" x14ac:dyDescent="0.3">
      <c r="A400" s="116"/>
      <c r="B400" s="117"/>
    </row>
    <row r="401" spans="1:2" s="3" customFormat="1" x14ac:dyDescent="0.3">
      <c r="A401" s="116"/>
      <c r="B401" s="117"/>
    </row>
    <row r="402" spans="1:2" s="3" customFormat="1" x14ac:dyDescent="0.3">
      <c r="A402" s="116"/>
      <c r="B402" s="117"/>
    </row>
    <row r="403" spans="1:2" s="3" customFormat="1" x14ac:dyDescent="0.3">
      <c r="A403" s="116"/>
      <c r="B403" s="117"/>
    </row>
    <row r="404" spans="1:2" s="3" customFormat="1" x14ac:dyDescent="0.3">
      <c r="A404" s="116"/>
      <c r="B404" s="117"/>
    </row>
    <row r="405" spans="1:2" s="3" customFormat="1" x14ac:dyDescent="0.3">
      <c r="A405" s="116"/>
      <c r="B405" s="117"/>
    </row>
    <row r="406" spans="1:2" s="3" customFormat="1" x14ac:dyDescent="0.3">
      <c r="A406" s="116"/>
      <c r="B406" s="117"/>
    </row>
    <row r="407" spans="1:2" s="3" customFormat="1" x14ac:dyDescent="0.3">
      <c r="A407" s="116"/>
      <c r="B407" s="117"/>
    </row>
    <row r="408" spans="1:2" s="3" customFormat="1" x14ac:dyDescent="0.3">
      <c r="A408" s="116"/>
      <c r="B408" s="117"/>
    </row>
    <row r="409" spans="1:2" s="3" customFormat="1" x14ac:dyDescent="0.3">
      <c r="A409" s="116"/>
      <c r="B409" s="117"/>
    </row>
    <row r="410" spans="1:2" s="3" customFormat="1" x14ac:dyDescent="0.3">
      <c r="A410" s="116"/>
      <c r="B410" s="117"/>
    </row>
    <row r="411" spans="1:2" s="3" customFormat="1" x14ac:dyDescent="0.3">
      <c r="A411" s="116"/>
      <c r="B411" s="117"/>
    </row>
    <row r="412" spans="1:2" s="3" customFormat="1" x14ac:dyDescent="0.3">
      <c r="A412" s="116"/>
      <c r="B412" s="117"/>
    </row>
    <row r="413" spans="1:2" s="3" customFormat="1" x14ac:dyDescent="0.3">
      <c r="A413" s="116"/>
      <c r="B413" s="117"/>
    </row>
    <row r="414" spans="1:2" s="3" customFormat="1" x14ac:dyDescent="0.3">
      <c r="A414" s="116"/>
      <c r="B414" s="117"/>
    </row>
    <row r="415" spans="1:2" s="3" customFormat="1" x14ac:dyDescent="0.3">
      <c r="A415" s="116"/>
      <c r="B415" s="117"/>
    </row>
  </sheetData>
  <mergeCells count="4">
    <mergeCell ref="K4:L4"/>
    <mergeCell ref="K2:L2"/>
    <mergeCell ref="I4:J4"/>
    <mergeCell ref="I2:J2"/>
  </mergeCells>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change_langue">
                <anchor moveWithCells="1">
                  <from>
                    <xdr:col>9</xdr:col>
                    <xdr:colOff>914400</xdr:colOff>
                    <xdr:row>6</xdr:row>
                    <xdr:rowOff>99060</xdr:rowOff>
                  </from>
                  <to>
                    <xdr:col>11</xdr:col>
                    <xdr:colOff>784860</xdr:colOff>
                    <xdr:row>6</xdr:row>
                    <xdr:rowOff>304800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FDDB1-ECBB-409D-8C30-D01DC5CE8DEB}">
  <sheetPr codeName="ShConsolidation">
    <tabColor rgb="FF7030A0"/>
  </sheetPr>
  <dimension ref="A1:Q414"/>
  <sheetViews>
    <sheetView showGridLines="0" topLeftCell="C1" zoomScaleNormal="100" workbookViewId="0">
      <selection activeCell="K12" sqref="K12"/>
    </sheetView>
  </sheetViews>
  <sheetFormatPr defaultColWidth="15.6640625" defaultRowHeight="14.4" x14ac:dyDescent="0.3"/>
  <cols>
    <col min="1" max="1" width="5.109375" style="104" hidden="1" customWidth="1"/>
    <col min="2" max="2" width="4" style="105" hidden="1" customWidth="1"/>
    <col min="3" max="3" width="27.33203125" style="2" customWidth="1"/>
    <col min="4" max="4" width="17.44140625" style="11" bestFit="1" customWidth="1"/>
    <col min="5" max="5" width="46.33203125" customWidth="1"/>
    <col min="6" max="6" width="18.6640625" customWidth="1"/>
    <col min="7" max="10" width="15.33203125" customWidth="1"/>
    <col min="11" max="11" width="17.6640625" customWidth="1"/>
  </cols>
  <sheetData>
    <row r="1" spans="1:16" ht="7.2" customHeight="1" x14ac:dyDescent="0.3">
      <c r="C1"/>
      <c r="D1" s="2"/>
      <c r="E1" s="11"/>
    </row>
    <row r="2" spans="1:16" ht="19.95" customHeight="1" x14ac:dyDescent="0.3">
      <c r="C2"/>
      <c r="D2" s="2"/>
      <c r="E2" s="24" t="s">
        <v>35</v>
      </c>
      <c r="F2" s="129" t="s">
        <v>236</v>
      </c>
      <c r="G2" s="129"/>
      <c r="I2" s="132" t="s">
        <v>453</v>
      </c>
      <c r="J2" s="133"/>
      <c r="K2" s="129" t="s">
        <v>237</v>
      </c>
      <c r="L2" s="129"/>
      <c r="N2" s="25" t="s">
        <v>461</v>
      </c>
      <c r="O2" s="25"/>
      <c r="P2" s="26">
        <v>44893</v>
      </c>
    </row>
    <row r="3" spans="1:16" ht="14.4" hidden="1" customHeight="1" x14ac:dyDescent="0.3">
      <c r="C3"/>
      <c r="D3" s="2"/>
      <c r="E3" s="27"/>
      <c r="F3" s="28"/>
      <c r="G3" s="100"/>
      <c r="I3" s="103"/>
      <c r="J3" s="103"/>
      <c r="K3" s="29"/>
      <c r="L3" s="29"/>
      <c r="N3" s="18"/>
      <c r="P3" s="30"/>
    </row>
    <row r="4" spans="1:16" ht="19.95" customHeight="1" x14ac:dyDescent="0.3">
      <c r="C4"/>
      <c r="D4" s="2"/>
      <c r="E4" s="24" t="s">
        <v>36</v>
      </c>
      <c r="F4" s="129" t="s">
        <v>238</v>
      </c>
      <c r="G4" s="129"/>
      <c r="I4" s="132" t="s">
        <v>454</v>
      </c>
      <c r="J4" s="133"/>
      <c r="K4" s="129" t="s">
        <v>40</v>
      </c>
      <c r="L4" s="129"/>
      <c r="N4" s="25" t="s">
        <v>462</v>
      </c>
      <c r="O4" s="25"/>
      <c r="P4" s="26"/>
    </row>
    <row r="5" spans="1:16" ht="14.4" hidden="1" customHeight="1" x14ac:dyDescent="0.3">
      <c r="C5"/>
      <c r="D5"/>
      <c r="N5" s="18"/>
      <c r="P5" s="30"/>
    </row>
    <row r="6" spans="1:16" ht="19.95" customHeight="1" thickBot="1" x14ac:dyDescent="0.35">
      <c r="C6"/>
      <c r="D6"/>
      <c r="N6" s="31" t="s">
        <v>38</v>
      </c>
      <c r="O6" s="31"/>
      <c r="P6" s="32" t="s">
        <v>239</v>
      </c>
    </row>
    <row r="7" spans="1:16" ht="31.95" customHeight="1" thickTop="1" thickBot="1" x14ac:dyDescent="0.35">
      <c r="C7" s="33" t="s">
        <v>249</v>
      </c>
      <c r="D7" s="33"/>
      <c r="E7" s="33"/>
      <c r="F7" s="33"/>
      <c r="G7" s="33"/>
      <c r="H7" s="33"/>
      <c r="I7" s="33"/>
      <c r="J7" s="33"/>
      <c r="K7" s="33"/>
      <c r="L7" s="33"/>
      <c r="M7" s="33"/>
      <c r="N7" s="33"/>
      <c r="O7" s="33"/>
      <c r="P7" s="33"/>
    </row>
    <row r="8" spans="1:16" s="3" customFormat="1" ht="16.5" customHeight="1" thickTop="1" x14ac:dyDescent="0.3">
      <c r="A8" s="106"/>
      <c r="B8" s="107"/>
      <c r="D8" s="12"/>
      <c r="E8" s="9"/>
    </row>
    <row r="9" spans="1:16" s="3" customFormat="1" ht="5.0999999999999996" customHeight="1" x14ac:dyDescent="0.3">
      <c r="A9" s="106"/>
      <c r="B9" s="107"/>
      <c r="C9" s="4"/>
      <c r="D9" s="13"/>
      <c r="E9" s="9"/>
      <c r="K9" s="5"/>
      <c r="L9" s="5"/>
      <c r="M9" s="5"/>
    </row>
    <row r="10" spans="1:16" s="3" customFormat="1" ht="16.5" customHeight="1" x14ac:dyDescent="0.3">
      <c r="A10" s="106"/>
      <c r="B10" s="107"/>
      <c r="C10" s="6"/>
      <c r="D10" s="6"/>
      <c r="E10" s="9"/>
      <c r="H10" s="65">
        <f>COUNTA(TabConsolidation[Conforme])</f>
        <v>17</v>
      </c>
      <c r="I10" s="70">
        <f>COUNTA(TabConsolidation[Non conforme])</f>
        <v>132</v>
      </c>
      <c r="J10" s="75">
        <f>COUNTA(TabConsolidation[EN COURS])</f>
        <v>0</v>
      </c>
      <c r="K10" s="80">
        <f>COUNTA(TabConsolidation[EN ATTENTE])</f>
        <v>0</v>
      </c>
      <c r="L10" s="84">
        <f>COUNTA(TabConsolidation[PAS APPLICABLE])</f>
        <v>38</v>
      </c>
    </row>
    <row r="11" spans="1:16" ht="16.5" customHeight="1" x14ac:dyDescent="0.3">
      <c r="C11" s="7"/>
      <c r="D11" s="8"/>
      <c r="E11" s="10"/>
      <c r="H11" s="66" t="str">
        <f>H17</f>
        <v>Conforme</v>
      </c>
      <c r="I11" s="71" t="str">
        <f>I17</f>
        <v>Non conforme</v>
      </c>
      <c r="J11" s="76" t="str">
        <f>J17</f>
        <v>EN COURS</v>
      </c>
      <c r="K11" s="81" t="str">
        <f>K17</f>
        <v>EN ATTENTE</v>
      </c>
      <c r="L11" s="85" t="str">
        <f>L17</f>
        <v>PAS APPLICABLE</v>
      </c>
    </row>
    <row r="12" spans="1:16" ht="16.5" customHeight="1" x14ac:dyDescent="0.3">
      <c r="C12" s="59"/>
      <c r="D12" s="60"/>
      <c r="E12" s="61"/>
      <c r="H12" s="67"/>
      <c r="I12" s="72"/>
      <c r="J12" s="77"/>
      <c r="K12" s="82"/>
      <c r="L12" s="86"/>
    </row>
    <row r="13" spans="1:16" ht="16.5" customHeight="1" x14ac:dyDescent="0.3">
      <c r="C13" s="63"/>
      <c r="D13" s="64"/>
      <c r="H13" s="68" t="s">
        <v>34</v>
      </c>
      <c r="I13" s="73" t="s">
        <v>34</v>
      </c>
      <c r="J13" s="78" t="s">
        <v>34</v>
      </c>
      <c r="K13" s="82" t="s">
        <v>34</v>
      </c>
      <c r="L13" s="87" t="s">
        <v>34</v>
      </c>
    </row>
    <row r="14" spans="1:16" ht="16.5" customHeight="1" x14ac:dyDescent="0.3">
      <c r="C14" s="63"/>
      <c r="D14" s="64"/>
      <c r="H14" s="69">
        <f>Backend!C15</f>
        <v>9.0909090909090912E-2</v>
      </c>
      <c r="I14" s="74">
        <f>Backend!C16</f>
        <v>0.70588235294117652</v>
      </c>
      <c r="J14" s="79">
        <f>Backend!C17</f>
        <v>0</v>
      </c>
      <c r="K14" s="83">
        <f>Backend!C18</f>
        <v>0</v>
      </c>
      <c r="L14" s="88">
        <f>Backend!C19</f>
        <v>0.20320855614973263</v>
      </c>
    </row>
    <row r="15" spans="1:16" ht="16.5" customHeight="1" x14ac:dyDescent="0.3">
      <c r="C15" s="63"/>
      <c r="D15" s="62"/>
      <c r="M15" s="2"/>
      <c r="N15" s="3"/>
      <c r="O15" s="3"/>
      <c r="P15" s="3"/>
    </row>
    <row r="16" spans="1:16" ht="21" customHeight="1" x14ac:dyDescent="0.3">
      <c r="C16" s="63"/>
      <c r="D16" s="64"/>
      <c r="O16" s="3"/>
      <c r="P16" s="3"/>
    </row>
    <row r="17" spans="1:17" s="1" customFormat="1" ht="28.2" customHeight="1" x14ac:dyDescent="0.3">
      <c r="A17" s="108" t="s">
        <v>255</v>
      </c>
      <c r="B17" s="109" t="s">
        <v>254</v>
      </c>
      <c r="C17" s="48" t="s">
        <v>464</v>
      </c>
      <c r="D17" s="48" t="s">
        <v>465</v>
      </c>
      <c r="E17" s="48" t="s">
        <v>466</v>
      </c>
      <c r="F17" s="48" t="s">
        <v>467</v>
      </c>
      <c r="G17" s="48" t="s">
        <v>468</v>
      </c>
      <c r="H17" s="48" t="s">
        <v>251</v>
      </c>
      <c r="I17" s="48" t="s">
        <v>252</v>
      </c>
      <c r="J17" s="48" t="s">
        <v>0</v>
      </c>
      <c r="K17" s="48" t="s">
        <v>1</v>
      </c>
      <c r="L17" s="48" t="s">
        <v>2</v>
      </c>
      <c r="M17" s="48" t="s">
        <v>469</v>
      </c>
      <c r="N17" s="48" t="s">
        <v>3</v>
      </c>
      <c r="O17" s="48" t="s">
        <v>253</v>
      </c>
      <c r="Q17" s="3"/>
    </row>
    <row r="18" spans="1:17" x14ac:dyDescent="0.3">
      <c r="A18" s="110">
        <f t="shared" ref="A18:A49" si="0">IF(COUNTA(H18,I18,L18), 1,0)</f>
        <v>1</v>
      </c>
      <c r="B18" s="111">
        <f>ROW()-ROW(TabConsolidation[[#Headers],[N]])</f>
        <v>1</v>
      </c>
      <c r="C18" s="97" t="s">
        <v>72</v>
      </c>
      <c r="D18" s="98" t="s">
        <v>73</v>
      </c>
      <c r="E18" s="99" t="s">
        <v>13</v>
      </c>
      <c r="F18" s="49"/>
      <c r="G18" s="38"/>
      <c r="H18" s="50" t="s">
        <v>32</v>
      </c>
      <c r="I18" s="51"/>
      <c r="J18" s="55"/>
      <c r="K18" s="53"/>
      <c r="L18" s="57"/>
      <c r="M18" s="37"/>
      <c r="N18" s="37"/>
      <c r="O18" s="39"/>
      <c r="P18" s="3"/>
      <c r="Q18" s="3"/>
    </row>
    <row r="19" spans="1:17" x14ac:dyDescent="0.3">
      <c r="A19" s="110">
        <f t="shared" si="0"/>
        <v>1</v>
      </c>
      <c r="B19" s="112">
        <f>ROW()-ROW(TabConsolidation[[#Headers],[N]])</f>
        <v>2</v>
      </c>
      <c r="C19" s="34"/>
      <c r="D19" s="35"/>
      <c r="E19" s="36" t="s">
        <v>74</v>
      </c>
      <c r="F19" s="38"/>
      <c r="G19" s="38"/>
      <c r="H19" s="50" t="s">
        <v>32</v>
      </c>
      <c r="I19" s="51"/>
      <c r="J19" s="55"/>
      <c r="K19" s="53"/>
      <c r="L19" s="57"/>
      <c r="M19" s="37"/>
      <c r="N19" s="37"/>
      <c r="O19" s="39"/>
      <c r="P19" s="3"/>
      <c r="Q19" s="3"/>
    </row>
    <row r="20" spans="1:17" x14ac:dyDescent="0.3">
      <c r="A20" s="110">
        <f t="shared" si="0"/>
        <v>1</v>
      </c>
      <c r="B20" s="112">
        <f>ROW()-ROW(TabConsolidation[[#Headers],[N]])</f>
        <v>3</v>
      </c>
      <c r="C20" s="34"/>
      <c r="D20" s="35"/>
      <c r="E20" s="36" t="s">
        <v>14</v>
      </c>
      <c r="F20" s="38"/>
      <c r="G20" s="38"/>
      <c r="H20" s="50" t="s">
        <v>32</v>
      </c>
      <c r="I20" s="51"/>
      <c r="J20" s="55"/>
      <c r="K20" s="53"/>
      <c r="L20" s="57"/>
      <c r="M20" s="37"/>
      <c r="N20" s="37"/>
      <c r="O20" s="39"/>
      <c r="P20" s="3"/>
      <c r="Q20" s="3"/>
    </row>
    <row r="21" spans="1:17" x14ac:dyDescent="0.3">
      <c r="A21" s="110">
        <f t="shared" si="0"/>
        <v>1</v>
      </c>
      <c r="B21" s="112">
        <f>ROW()-ROW(TabConsolidation[[#Headers],[N]])</f>
        <v>4</v>
      </c>
      <c r="C21" s="34"/>
      <c r="D21" s="35"/>
      <c r="E21" s="36" t="s">
        <v>75</v>
      </c>
      <c r="F21" s="38"/>
      <c r="G21" s="38"/>
      <c r="H21" s="50" t="s">
        <v>32</v>
      </c>
      <c r="I21" s="51"/>
      <c r="J21" s="55"/>
      <c r="K21" s="53"/>
      <c r="L21" s="57"/>
      <c r="M21" s="37"/>
      <c r="N21" s="37"/>
      <c r="O21" s="39"/>
      <c r="P21" s="3"/>
      <c r="Q21" s="3"/>
    </row>
    <row r="22" spans="1:17" x14ac:dyDescent="0.3">
      <c r="A22" s="110">
        <f t="shared" si="0"/>
        <v>1</v>
      </c>
      <c r="B22" s="112">
        <f>ROW()-ROW(TabConsolidation[[#Headers],[N]])</f>
        <v>5</v>
      </c>
      <c r="C22" s="34"/>
      <c r="D22" s="35"/>
      <c r="E22" s="36" t="s">
        <v>76</v>
      </c>
      <c r="F22" s="38"/>
      <c r="G22" s="38"/>
      <c r="H22" s="50" t="s">
        <v>32</v>
      </c>
      <c r="I22" s="51"/>
      <c r="J22" s="55"/>
      <c r="K22" s="53"/>
      <c r="L22" s="57"/>
      <c r="M22" s="37"/>
      <c r="N22" s="37"/>
      <c r="O22" s="39"/>
      <c r="P22" s="3"/>
      <c r="Q22" s="3"/>
    </row>
    <row r="23" spans="1:17" x14ac:dyDescent="0.3">
      <c r="A23" s="110">
        <f t="shared" si="0"/>
        <v>1</v>
      </c>
      <c r="B23" s="112">
        <f>ROW()-ROW(TabConsolidation[[#Headers],[N]])</f>
        <v>6</v>
      </c>
      <c r="C23" s="34"/>
      <c r="D23" s="35"/>
      <c r="E23" s="36" t="s">
        <v>77</v>
      </c>
      <c r="F23" s="38"/>
      <c r="G23" s="38"/>
      <c r="H23" s="50" t="s">
        <v>32</v>
      </c>
      <c r="I23" s="51"/>
      <c r="J23" s="55"/>
      <c r="K23" s="53"/>
      <c r="L23" s="57"/>
      <c r="M23" s="37"/>
      <c r="N23" s="37"/>
      <c r="O23" s="39"/>
      <c r="P23" s="3"/>
      <c r="Q23" s="3"/>
    </row>
    <row r="24" spans="1:17" x14ac:dyDescent="0.3">
      <c r="A24" s="110">
        <f t="shared" si="0"/>
        <v>1</v>
      </c>
      <c r="B24" s="112">
        <f>ROW()-ROW(TabConsolidation[[#Headers],[N]])</f>
        <v>7</v>
      </c>
      <c r="C24" s="34"/>
      <c r="D24" s="35"/>
      <c r="E24" s="36" t="s">
        <v>15</v>
      </c>
      <c r="F24" s="38"/>
      <c r="G24" s="38"/>
      <c r="H24" s="50" t="s">
        <v>32</v>
      </c>
      <c r="I24" s="51"/>
      <c r="J24" s="55"/>
      <c r="K24" s="53"/>
      <c r="L24" s="57"/>
      <c r="M24" s="37"/>
      <c r="N24" s="37"/>
      <c r="O24" s="39"/>
      <c r="P24" s="3"/>
      <c r="Q24" s="3"/>
    </row>
    <row r="25" spans="1:17" x14ac:dyDescent="0.3">
      <c r="A25" s="110">
        <f t="shared" si="0"/>
        <v>1</v>
      </c>
      <c r="B25" s="112">
        <f>ROW()-ROW(TabConsolidation[[#Headers],[N]])</f>
        <v>8</v>
      </c>
      <c r="C25" s="34"/>
      <c r="D25" s="35"/>
      <c r="E25" s="36" t="s">
        <v>16</v>
      </c>
      <c r="F25" s="38"/>
      <c r="G25" s="38"/>
      <c r="H25" s="50" t="s">
        <v>32</v>
      </c>
      <c r="I25" s="51"/>
      <c r="J25" s="55"/>
      <c r="K25" s="53"/>
      <c r="L25" s="57"/>
      <c r="M25" s="37"/>
      <c r="N25" s="37"/>
      <c r="O25" s="39"/>
      <c r="P25" s="3"/>
      <c r="Q25" s="3"/>
    </row>
    <row r="26" spans="1:17" x14ac:dyDescent="0.3">
      <c r="A26" s="110">
        <f t="shared" si="0"/>
        <v>1</v>
      </c>
      <c r="B26" s="112">
        <f>ROW()-ROW(TabConsolidation[[#Headers],[N]])</f>
        <v>9</v>
      </c>
      <c r="C26" s="34"/>
      <c r="D26" s="35"/>
      <c r="E26" s="36" t="s">
        <v>78</v>
      </c>
      <c r="F26" s="38"/>
      <c r="G26" s="38"/>
      <c r="H26" s="50" t="s">
        <v>32</v>
      </c>
      <c r="I26" s="51"/>
      <c r="J26" s="55"/>
      <c r="K26" s="53"/>
      <c r="L26" s="57"/>
      <c r="M26" s="37"/>
      <c r="N26" s="37"/>
      <c r="O26" s="39"/>
      <c r="P26" s="3"/>
      <c r="Q26" s="3"/>
    </row>
    <row r="27" spans="1:17" x14ac:dyDescent="0.3">
      <c r="A27" s="110">
        <f t="shared" si="0"/>
        <v>1</v>
      </c>
      <c r="B27" s="112">
        <f>ROW()-ROW(TabConsolidation[[#Headers],[N]])</f>
        <v>10</v>
      </c>
      <c r="C27" s="34"/>
      <c r="D27" s="35"/>
      <c r="E27" s="36" t="s">
        <v>79</v>
      </c>
      <c r="F27" s="38"/>
      <c r="G27" s="38"/>
      <c r="H27" s="50" t="s">
        <v>32</v>
      </c>
      <c r="I27" s="51"/>
      <c r="J27" s="55"/>
      <c r="K27" s="53"/>
      <c r="L27" s="57"/>
      <c r="M27" s="37"/>
      <c r="N27" s="37"/>
      <c r="O27" s="39"/>
      <c r="P27" s="3"/>
      <c r="Q27" s="3"/>
    </row>
    <row r="28" spans="1:17" x14ac:dyDescent="0.3">
      <c r="A28" s="110">
        <f t="shared" si="0"/>
        <v>1</v>
      </c>
      <c r="B28" s="112">
        <f>ROW()-ROW(TabConsolidation[[#Headers],[N]])</f>
        <v>11</v>
      </c>
      <c r="C28" s="34"/>
      <c r="D28" s="35"/>
      <c r="E28" s="36" t="s">
        <v>80</v>
      </c>
      <c r="F28" s="38"/>
      <c r="G28" s="38"/>
      <c r="H28" s="50" t="s">
        <v>32</v>
      </c>
      <c r="I28" s="51"/>
      <c r="J28" s="55"/>
      <c r="K28" s="53"/>
      <c r="L28" s="57"/>
      <c r="M28" s="37"/>
      <c r="N28" s="37"/>
      <c r="O28" s="39"/>
      <c r="P28" s="3"/>
      <c r="Q28" s="3"/>
    </row>
    <row r="29" spans="1:17" x14ac:dyDescent="0.3">
      <c r="A29" s="110">
        <f t="shared" si="0"/>
        <v>1</v>
      </c>
      <c r="B29" s="112">
        <f>ROW()-ROW(TabConsolidation[[#Headers],[N]])</f>
        <v>12</v>
      </c>
      <c r="C29" s="34"/>
      <c r="D29" s="35"/>
      <c r="E29" s="36" t="s">
        <v>17</v>
      </c>
      <c r="F29" s="38"/>
      <c r="G29" s="38"/>
      <c r="H29" s="50" t="s">
        <v>32</v>
      </c>
      <c r="I29" s="51"/>
      <c r="J29" s="55"/>
      <c r="K29" s="53"/>
      <c r="L29" s="57"/>
      <c r="M29" s="37"/>
      <c r="N29" s="37"/>
      <c r="O29" s="39"/>
      <c r="P29" s="3"/>
      <c r="Q29" s="3"/>
    </row>
    <row r="30" spans="1:17" x14ac:dyDescent="0.3">
      <c r="A30" s="110">
        <f t="shared" si="0"/>
        <v>1</v>
      </c>
      <c r="B30" s="112">
        <f>ROW()-ROW(TabConsolidation[[#Headers],[N]])</f>
        <v>13</v>
      </c>
      <c r="C30" s="34"/>
      <c r="D30" s="35"/>
      <c r="E30" s="36" t="s">
        <v>81</v>
      </c>
      <c r="F30" s="38"/>
      <c r="G30" s="38"/>
      <c r="H30" s="50" t="s">
        <v>32</v>
      </c>
      <c r="I30" s="51"/>
      <c r="J30" s="55"/>
      <c r="K30" s="53"/>
      <c r="L30" s="57"/>
      <c r="M30" s="37"/>
      <c r="N30" s="37"/>
      <c r="O30" s="39"/>
      <c r="P30" s="3"/>
      <c r="Q30" s="3"/>
    </row>
    <row r="31" spans="1:17" x14ac:dyDescent="0.3">
      <c r="A31" s="110">
        <f t="shared" si="0"/>
        <v>1</v>
      </c>
      <c r="B31" s="112">
        <f>ROW()-ROW(TabConsolidation[[#Headers],[N]])</f>
        <v>14</v>
      </c>
      <c r="C31" s="34"/>
      <c r="D31" s="35"/>
      <c r="E31" s="36" t="s">
        <v>82</v>
      </c>
      <c r="F31" s="38"/>
      <c r="G31" s="38"/>
      <c r="H31" s="50" t="s">
        <v>32</v>
      </c>
      <c r="I31" s="51"/>
      <c r="J31" s="55"/>
      <c r="K31" s="53"/>
      <c r="L31" s="57"/>
      <c r="M31" s="37"/>
      <c r="N31" s="37"/>
      <c r="O31" s="39"/>
      <c r="P31" s="3"/>
      <c r="Q31" s="3"/>
    </row>
    <row r="32" spans="1:17" x14ac:dyDescent="0.3">
      <c r="A32" s="110">
        <f t="shared" si="0"/>
        <v>1</v>
      </c>
      <c r="B32" s="112">
        <f>ROW()-ROW(TabConsolidation[[#Headers],[N]])</f>
        <v>15</v>
      </c>
      <c r="C32" s="34"/>
      <c r="D32" s="35"/>
      <c r="E32" s="36" t="s">
        <v>83</v>
      </c>
      <c r="F32" s="38"/>
      <c r="G32" s="38"/>
      <c r="H32" s="50" t="s">
        <v>32</v>
      </c>
      <c r="I32" s="51"/>
      <c r="J32" s="55"/>
      <c r="K32" s="53"/>
      <c r="L32" s="57"/>
      <c r="M32" s="37"/>
      <c r="N32" s="37"/>
      <c r="O32" s="39"/>
      <c r="P32" s="3"/>
      <c r="Q32" s="3"/>
    </row>
    <row r="33" spans="1:17" x14ac:dyDescent="0.3">
      <c r="A33" s="110">
        <f t="shared" si="0"/>
        <v>1</v>
      </c>
      <c r="B33" s="112">
        <f>ROW()-ROW(TabConsolidation[[#Headers],[N]])</f>
        <v>16</v>
      </c>
      <c r="C33" s="34"/>
      <c r="D33" s="35"/>
      <c r="E33" s="36" t="s">
        <v>84</v>
      </c>
      <c r="F33" s="38"/>
      <c r="G33" s="38"/>
      <c r="H33" s="50" t="s">
        <v>32</v>
      </c>
      <c r="I33" s="51"/>
      <c r="J33" s="55"/>
      <c r="K33" s="53"/>
      <c r="L33" s="57"/>
      <c r="M33" s="37"/>
      <c r="N33" s="37"/>
      <c r="O33" s="39"/>
      <c r="P33" s="3"/>
      <c r="Q33" s="3"/>
    </row>
    <row r="34" spans="1:17" x14ac:dyDescent="0.3">
      <c r="A34" s="110">
        <f t="shared" si="0"/>
        <v>1</v>
      </c>
      <c r="B34" s="112">
        <f>ROW()-ROW(TabConsolidation[[#Headers],[N]])</f>
        <v>17</v>
      </c>
      <c r="C34" s="34"/>
      <c r="D34" s="35"/>
      <c r="E34" s="36" t="s">
        <v>85</v>
      </c>
      <c r="F34" s="38"/>
      <c r="G34" s="38"/>
      <c r="H34" s="50" t="s">
        <v>32</v>
      </c>
      <c r="I34" s="51"/>
      <c r="J34" s="55"/>
      <c r="K34" s="53"/>
      <c r="L34" s="57"/>
      <c r="M34" s="37"/>
      <c r="N34" s="37"/>
      <c r="O34" s="39"/>
      <c r="P34" s="3"/>
      <c r="Q34" s="3"/>
    </row>
    <row r="35" spans="1:17" x14ac:dyDescent="0.3">
      <c r="A35" s="110">
        <f t="shared" si="0"/>
        <v>1</v>
      </c>
      <c r="B35" s="112">
        <f>ROW()-ROW(TabConsolidation[[#Headers],[N]])</f>
        <v>18</v>
      </c>
      <c r="C35" s="34"/>
      <c r="D35" s="35"/>
      <c r="E35" s="36" t="s">
        <v>86</v>
      </c>
      <c r="F35" s="38"/>
      <c r="G35" s="38"/>
      <c r="H35" s="50"/>
      <c r="I35" s="51" t="s">
        <v>32</v>
      </c>
      <c r="J35" s="55"/>
      <c r="K35" s="53"/>
      <c r="L35" s="57"/>
      <c r="M35" s="37"/>
      <c r="N35" s="37"/>
      <c r="O35" s="39"/>
      <c r="P35" s="3"/>
      <c r="Q35" s="3"/>
    </row>
    <row r="36" spans="1:17" x14ac:dyDescent="0.3">
      <c r="A36" s="110">
        <f t="shared" si="0"/>
        <v>1</v>
      </c>
      <c r="B36" s="112">
        <f>ROW()-ROW(TabConsolidation[[#Headers],[N]])</f>
        <v>19</v>
      </c>
      <c r="C36" s="34"/>
      <c r="D36" s="35"/>
      <c r="E36" s="36" t="s">
        <v>87</v>
      </c>
      <c r="F36" s="38"/>
      <c r="G36" s="38"/>
      <c r="H36" s="50"/>
      <c r="I36" s="51" t="s">
        <v>32</v>
      </c>
      <c r="J36" s="55"/>
      <c r="K36" s="53"/>
      <c r="L36" s="57"/>
      <c r="M36" s="37"/>
      <c r="N36" s="37"/>
      <c r="O36" s="39"/>
      <c r="P36" s="3"/>
      <c r="Q36" s="3"/>
    </row>
    <row r="37" spans="1:17" x14ac:dyDescent="0.3">
      <c r="A37" s="110">
        <f t="shared" si="0"/>
        <v>1</v>
      </c>
      <c r="B37" s="112">
        <f>ROW()-ROW(TabConsolidation[[#Headers],[N]])</f>
        <v>20</v>
      </c>
      <c r="C37" s="34"/>
      <c r="D37" s="35"/>
      <c r="E37" s="36" t="s">
        <v>88</v>
      </c>
      <c r="F37" s="38"/>
      <c r="G37" s="38"/>
      <c r="H37" s="50"/>
      <c r="I37" s="51" t="s">
        <v>32</v>
      </c>
      <c r="J37" s="55"/>
      <c r="K37" s="53"/>
      <c r="L37" s="57"/>
      <c r="M37" s="37"/>
      <c r="N37" s="37"/>
      <c r="O37" s="39"/>
      <c r="P37" s="3"/>
      <c r="Q37" s="3"/>
    </row>
    <row r="38" spans="1:17" x14ac:dyDescent="0.3">
      <c r="A38" s="110">
        <f t="shared" si="0"/>
        <v>1</v>
      </c>
      <c r="B38" s="112">
        <f>ROW()-ROW(TabConsolidation[[#Headers],[N]])</f>
        <v>21</v>
      </c>
      <c r="C38" s="34"/>
      <c r="D38" s="35"/>
      <c r="E38" s="36" t="s">
        <v>18</v>
      </c>
      <c r="F38" s="38"/>
      <c r="G38" s="38"/>
      <c r="H38" s="50"/>
      <c r="I38" s="51" t="s">
        <v>32</v>
      </c>
      <c r="J38" s="55"/>
      <c r="K38" s="53"/>
      <c r="L38" s="57"/>
      <c r="M38" s="37"/>
      <c r="N38" s="37"/>
      <c r="O38" s="39"/>
      <c r="P38" s="3"/>
      <c r="Q38" s="3"/>
    </row>
    <row r="39" spans="1:17" x14ac:dyDescent="0.3">
      <c r="A39" s="110">
        <f t="shared" si="0"/>
        <v>1</v>
      </c>
      <c r="B39" s="112">
        <f>ROW()-ROW(TabConsolidation[[#Headers],[N]])</f>
        <v>22</v>
      </c>
      <c r="C39" s="34"/>
      <c r="D39" s="35"/>
      <c r="E39" s="36" t="s">
        <v>89</v>
      </c>
      <c r="F39" s="38"/>
      <c r="G39" s="38"/>
      <c r="H39" s="50"/>
      <c r="I39" s="51" t="s">
        <v>32</v>
      </c>
      <c r="J39" s="55"/>
      <c r="K39" s="53"/>
      <c r="L39" s="57"/>
      <c r="M39" s="37"/>
      <c r="N39" s="37"/>
      <c r="O39" s="39"/>
      <c r="P39" s="3"/>
      <c r="Q39" s="3"/>
    </row>
    <row r="40" spans="1:17" x14ac:dyDescent="0.3">
      <c r="A40" s="110">
        <f t="shared" si="0"/>
        <v>1</v>
      </c>
      <c r="B40" s="112">
        <f>ROW()-ROW(TabConsolidation[[#Headers],[N]])</f>
        <v>23</v>
      </c>
      <c r="C40" s="34"/>
      <c r="D40" s="35"/>
      <c r="E40" s="36" t="s">
        <v>90</v>
      </c>
      <c r="F40" s="38"/>
      <c r="G40" s="38"/>
      <c r="H40" s="50"/>
      <c r="I40" s="51" t="s">
        <v>32</v>
      </c>
      <c r="J40" s="55"/>
      <c r="K40" s="53"/>
      <c r="L40" s="57"/>
      <c r="M40" s="37"/>
      <c r="N40" s="37"/>
      <c r="O40" s="39"/>
      <c r="P40" s="3"/>
      <c r="Q40" s="3"/>
    </row>
    <row r="41" spans="1:17" x14ac:dyDescent="0.3">
      <c r="A41" s="110">
        <f t="shared" si="0"/>
        <v>1</v>
      </c>
      <c r="B41" s="112">
        <f>ROW()-ROW(TabConsolidation[[#Headers],[N]])</f>
        <v>24</v>
      </c>
      <c r="C41" s="34"/>
      <c r="D41" s="35"/>
      <c r="E41" s="36" t="s">
        <v>91</v>
      </c>
      <c r="F41" s="38"/>
      <c r="G41" s="38"/>
      <c r="H41" s="50"/>
      <c r="I41" s="51" t="s">
        <v>32</v>
      </c>
      <c r="J41" s="55"/>
      <c r="K41" s="53"/>
      <c r="L41" s="57"/>
      <c r="M41" s="37"/>
      <c r="N41" s="37"/>
      <c r="O41" s="39"/>
      <c r="P41" s="3"/>
      <c r="Q41" s="3"/>
    </row>
    <row r="42" spans="1:17" x14ac:dyDescent="0.3">
      <c r="A42" s="110">
        <f t="shared" si="0"/>
        <v>1</v>
      </c>
      <c r="B42" s="112">
        <f>ROW()-ROW(TabConsolidation[[#Headers],[N]])</f>
        <v>25</v>
      </c>
      <c r="C42" s="34"/>
      <c r="D42" s="35"/>
      <c r="E42" s="36" t="s">
        <v>19</v>
      </c>
      <c r="F42" s="38"/>
      <c r="G42" s="38"/>
      <c r="H42" s="50"/>
      <c r="I42" s="51" t="s">
        <v>32</v>
      </c>
      <c r="J42" s="55"/>
      <c r="K42" s="53"/>
      <c r="L42" s="57"/>
      <c r="M42" s="37"/>
      <c r="N42" s="37"/>
      <c r="O42" s="39"/>
      <c r="P42" s="3"/>
      <c r="Q42" s="3"/>
    </row>
    <row r="43" spans="1:17" x14ac:dyDescent="0.3">
      <c r="A43" s="110">
        <f t="shared" si="0"/>
        <v>1</v>
      </c>
      <c r="B43" s="112">
        <f>ROW()-ROW(TabConsolidation[[#Headers],[N]])</f>
        <v>26</v>
      </c>
      <c r="C43" s="34"/>
      <c r="D43" s="35"/>
      <c r="E43" s="36" t="s">
        <v>20</v>
      </c>
      <c r="F43" s="38"/>
      <c r="G43" s="38"/>
      <c r="H43" s="50"/>
      <c r="I43" s="51" t="s">
        <v>32</v>
      </c>
      <c r="J43" s="55"/>
      <c r="K43" s="53"/>
      <c r="L43" s="57"/>
      <c r="M43" s="37"/>
      <c r="N43" s="37"/>
      <c r="O43" s="39"/>
      <c r="P43" s="3"/>
      <c r="Q43" s="3"/>
    </row>
    <row r="44" spans="1:17" x14ac:dyDescent="0.3">
      <c r="A44" s="110">
        <f t="shared" si="0"/>
        <v>1</v>
      </c>
      <c r="B44" s="112">
        <f>ROW()-ROW(TabConsolidation[[#Headers],[N]])</f>
        <v>27</v>
      </c>
      <c r="C44" s="34"/>
      <c r="D44" s="35"/>
      <c r="E44" s="36" t="s">
        <v>92</v>
      </c>
      <c r="F44" s="38"/>
      <c r="G44" s="38"/>
      <c r="H44" s="50"/>
      <c r="I44" s="51" t="s">
        <v>32</v>
      </c>
      <c r="J44" s="55"/>
      <c r="K44" s="53"/>
      <c r="L44" s="57"/>
      <c r="M44" s="37"/>
      <c r="N44" s="37"/>
      <c r="O44" s="39"/>
      <c r="P44" s="3"/>
      <c r="Q44" s="3"/>
    </row>
    <row r="45" spans="1:17" x14ac:dyDescent="0.3">
      <c r="A45" s="110">
        <f t="shared" si="0"/>
        <v>1</v>
      </c>
      <c r="B45" s="112">
        <f>ROW()-ROW(TabConsolidation[[#Headers],[N]])</f>
        <v>28</v>
      </c>
      <c r="C45" s="34"/>
      <c r="D45" s="35"/>
      <c r="E45" s="36" t="s">
        <v>93</v>
      </c>
      <c r="F45" s="38"/>
      <c r="G45" s="38"/>
      <c r="H45" s="50"/>
      <c r="I45" s="51" t="s">
        <v>32</v>
      </c>
      <c r="J45" s="55"/>
      <c r="K45" s="53"/>
      <c r="L45" s="57"/>
      <c r="M45" s="37"/>
      <c r="N45" s="37"/>
      <c r="O45" s="39"/>
      <c r="P45" s="3"/>
      <c r="Q45" s="3"/>
    </row>
    <row r="46" spans="1:17" x14ac:dyDescent="0.3">
      <c r="A46" s="110">
        <f t="shared" si="0"/>
        <v>1</v>
      </c>
      <c r="B46" s="112">
        <f>ROW()-ROW(TabConsolidation[[#Headers],[N]])</f>
        <v>29</v>
      </c>
      <c r="C46" s="34"/>
      <c r="D46" s="35"/>
      <c r="E46" s="36" t="s">
        <v>21</v>
      </c>
      <c r="F46" s="38"/>
      <c r="G46" s="38"/>
      <c r="H46" s="50"/>
      <c r="I46" s="51" t="s">
        <v>32</v>
      </c>
      <c r="J46" s="55"/>
      <c r="K46" s="53"/>
      <c r="L46" s="57"/>
      <c r="M46" s="37"/>
      <c r="N46" s="37"/>
      <c r="O46" s="39"/>
      <c r="P46" s="3"/>
      <c r="Q46" s="3"/>
    </row>
    <row r="47" spans="1:17" x14ac:dyDescent="0.3">
      <c r="A47" s="110">
        <f t="shared" si="0"/>
        <v>1</v>
      </c>
      <c r="B47" s="112">
        <f>ROW()-ROW(TabConsolidation[[#Headers],[N]])</f>
        <v>30</v>
      </c>
      <c r="C47" s="34"/>
      <c r="D47" s="35"/>
      <c r="E47" s="36" t="s">
        <v>94</v>
      </c>
      <c r="F47" s="38"/>
      <c r="G47" s="38"/>
      <c r="H47" s="50"/>
      <c r="I47" s="51" t="s">
        <v>32</v>
      </c>
      <c r="J47" s="55"/>
      <c r="K47" s="53"/>
      <c r="L47" s="57"/>
      <c r="M47" s="37"/>
      <c r="N47" s="37"/>
      <c r="O47" s="39"/>
      <c r="P47" s="3"/>
      <c r="Q47" s="3"/>
    </row>
    <row r="48" spans="1:17" x14ac:dyDescent="0.3">
      <c r="A48" s="110">
        <f t="shared" si="0"/>
        <v>1</v>
      </c>
      <c r="B48" s="112">
        <f>ROW()-ROW(TabConsolidation[[#Headers],[N]])</f>
        <v>31</v>
      </c>
      <c r="C48" s="34"/>
      <c r="D48" s="35"/>
      <c r="E48" s="36" t="s">
        <v>95</v>
      </c>
      <c r="F48" s="38"/>
      <c r="G48" s="38"/>
      <c r="H48" s="50"/>
      <c r="I48" s="51" t="s">
        <v>32</v>
      </c>
      <c r="J48" s="55"/>
      <c r="K48" s="53"/>
      <c r="L48" s="57"/>
      <c r="M48" s="37"/>
      <c r="N48" s="37"/>
      <c r="O48" s="39"/>
      <c r="P48" s="3"/>
      <c r="Q48" s="3"/>
    </row>
    <row r="49" spans="1:17" x14ac:dyDescent="0.3">
      <c r="A49" s="110">
        <f t="shared" si="0"/>
        <v>1</v>
      </c>
      <c r="B49" s="112">
        <f>ROW()-ROW(TabConsolidation[[#Headers],[N]])</f>
        <v>32</v>
      </c>
      <c r="C49" s="34"/>
      <c r="D49" s="35"/>
      <c r="E49" s="36" t="s">
        <v>96</v>
      </c>
      <c r="F49" s="38"/>
      <c r="G49" s="38"/>
      <c r="H49" s="50"/>
      <c r="I49" s="51" t="s">
        <v>32</v>
      </c>
      <c r="J49" s="55"/>
      <c r="K49" s="53"/>
      <c r="L49" s="57"/>
      <c r="M49" s="37"/>
      <c r="N49" s="37"/>
      <c r="O49" s="39"/>
      <c r="P49" s="3"/>
      <c r="Q49" s="3"/>
    </row>
    <row r="50" spans="1:17" x14ac:dyDescent="0.3">
      <c r="A50" s="110">
        <f t="shared" ref="A50:A81" si="1">IF(COUNTA(H50,I50,L50), 1,0)</f>
        <v>1</v>
      </c>
      <c r="B50" s="112">
        <f>ROW()-ROW(TabConsolidation[[#Headers],[N]])</f>
        <v>33</v>
      </c>
      <c r="C50" s="34"/>
      <c r="D50" s="35"/>
      <c r="E50" s="36" t="s">
        <v>97</v>
      </c>
      <c r="F50" s="38"/>
      <c r="G50" s="38"/>
      <c r="H50" s="50"/>
      <c r="I50" s="51" t="s">
        <v>32</v>
      </c>
      <c r="J50" s="55"/>
      <c r="K50" s="53"/>
      <c r="L50" s="57"/>
      <c r="M50" s="37"/>
      <c r="N50" s="37"/>
      <c r="O50" s="39"/>
      <c r="P50" s="3"/>
      <c r="Q50" s="3"/>
    </row>
    <row r="51" spans="1:17" x14ac:dyDescent="0.3">
      <c r="A51" s="110">
        <f t="shared" si="1"/>
        <v>1</v>
      </c>
      <c r="B51" s="112">
        <f>ROW()-ROW(TabConsolidation[[#Headers],[N]])</f>
        <v>34</v>
      </c>
      <c r="C51" s="34"/>
      <c r="D51" s="35"/>
      <c r="E51" s="36" t="s">
        <v>98</v>
      </c>
      <c r="F51" s="38"/>
      <c r="G51" s="38"/>
      <c r="H51" s="50"/>
      <c r="I51" s="51" t="s">
        <v>32</v>
      </c>
      <c r="J51" s="55"/>
      <c r="K51" s="53"/>
      <c r="L51" s="57"/>
      <c r="M51" s="37"/>
      <c r="N51" s="37"/>
      <c r="O51" s="39"/>
      <c r="P51" s="3"/>
      <c r="Q51" s="3"/>
    </row>
    <row r="52" spans="1:17" x14ac:dyDescent="0.3">
      <c r="A52" s="110">
        <f t="shared" si="1"/>
        <v>1</v>
      </c>
      <c r="B52" s="112">
        <f>ROW()-ROW(TabConsolidation[[#Headers],[N]])</f>
        <v>35</v>
      </c>
      <c r="C52" s="34"/>
      <c r="D52" s="35"/>
      <c r="E52" s="36" t="s">
        <v>99</v>
      </c>
      <c r="F52" s="38"/>
      <c r="G52" s="38"/>
      <c r="H52" s="50"/>
      <c r="I52" s="51" t="s">
        <v>32</v>
      </c>
      <c r="J52" s="55"/>
      <c r="K52" s="53"/>
      <c r="L52" s="57"/>
      <c r="M52" s="37"/>
      <c r="N52" s="37"/>
      <c r="O52" s="39"/>
      <c r="P52" s="3"/>
      <c r="Q52" s="3"/>
    </row>
    <row r="53" spans="1:17" x14ac:dyDescent="0.3">
      <c r="A53" s="110">
        <f t="shared" si="1"/>
        <v>1</v>
      </c>
      <c r="B53" s="112">
        <f>ROW()-ROW(TabConsolidation[[#Headers],[N]])</f>
        <v>36</v>
      </c>
      <c r="C53" s="34"/>
      <c r="D53" s="35"/>
      <c r="E53" s="36" t="s">
        <v>100</v>
      </c>
      <c r="F53" s="38"/>
      <c r="G53" s="38"/>
      <c r="H53" s="50"/>
      <c r="I53" s="51" t="s">
        <v>32</v>
      </c>
      <c r="J53" s="55"/>
      <c r="K53" s="53"/>
      <c r="L53" s="57"/>
      <c r="M53" s="37"/>
      <c r="N53" s="37"/>
      <c r="O53" s="39"/>
      <c r="P53" s="3"/>
      <c r="Q53" s="3"/>
    </row>
    <row r="54" spans="1:17" x14ac:dyDescent="0.3">
      <c r="A54" s="110">
        <f t="shared" si="1"/>
        <v>1</v>
      </c>
      <c r="B54" s="112">
        <f>ROW()-ROW(TabConsolidation[[#Headers],[N]])</f>
        <v>37</v>
      </c>
      <c r="C54" s="34"/>
      <c r="D54" s="35"/>
      <c r="E54" s="36" t="s">
        <v>101</v>
      </c>
      <c r="F54" s="38"/>
      <c r="G54" s="38"/>
      <c r="H54" s="50"/>
      <c r="I54" s="51" t="s">
        <v>32</v>
      </c>
      <c r="J54" s="55"/>
      <c r="K54" s="53"/>
      <c r="L54" s="57"/>
      <c r="M54" s="37"/>
      <c r="N54" s="37"/>
      <c r="O54" s="39"/>
      <c r="P54" s="3"/>
      <c r="Q54" s="3"/>
    </row>
    <row r="55" spans="1:17" x14ac:dyDescent="0.3">
      <c r="A55" s="110">
        <f t="shared" si="1"/>
        <v>1</v>
      </c>
      <c r="B55" s="112">
        <f>ROW()-ROW(TabConsolidation[[#Headers],[N]])</f>
        <v>38</v>
      </c>
      <c r="C55" s="34"/>
      <c r="D55" s="98" t="s">
        <v>200</v>
      </c>
      <c r="E55" s="99" t="s">
        <v>41</v>
      </c>
      <c r="F55" s="49"/>
      <c r="G55" s="38"/>
      <c r="H55" s="50"/>
      <c r="I55" s="51" t="s">
        <v>32</v>
      </c>
      <c r="J55" s="55"/>
      <c r="K55" s="53"/>
      <c r="L55" s="57"/>
      <c r="M55" s="37"/>
      <c r="N55" s="37"/>
      <c r="O55" s="39"/>
      <c r="P55" s="3"/>
      <c r="Q55" s="3"/>
    </row>
    <row r="56" spans="1:17" x14ac:dyDescent="0.3">
      <c r="A56" s="110">
        <f t="shared" si="1"/>
        <v>1</v>
      </c>
      <c r="B56" s="112">
        <f>ROW()-ROW(TabConsolidation[[#Headers],[N]])</f>
        <v>39</v>
      </c>
      <c r="C56" s="34"/>
      <c r="D56" s="35"/>
      <c r="E56" s="36" t="s">
        <v>42</v>
      </c>
      <c r="F56" s="38"/>
      <c r="G56" s="38"/>
      <c r="H56" s="50"/>
      <c r="I56" s="51" t="s">
        <v>32</v>
      </c>
      <c r="J56" s="55"/>
      <c r="K56" s="53"/>
      <c r="L56" s="57"/>
      <c r="M56" s="37"/>
      <c r="N56" s="37"/>
      <c r="O56" s="39"/>
      <c r="P56" s="3"/>
      <c r="Q56" s="3"/>
    </row>
    <row r="57" spans="1:17" x14ac:dyDescent="0.3">
      <c r="A57" s="110">
        <f t="shared" si="1"/>
        <v>1</v>
      </c>
      <c r="B57" s="112">
        <f>ROW()-ROW(TabConsolidation[[#Headers],[N]])</f>
        <v>40</v>
      </c>
      <c r="C57" s="34"/>
      <c r="D57" s="35"/>
      <c r="E57" s="36" t="s">
        <v>43</v>
      </c>
      <c r="F57" s="38"/>
      <c r="G57" s="38"/>
      <c r="H57" s="50"/>
      <c r="I57" s="51" t="s">
        <v>32</v>
      </c>
      <c r="J57" s="55"/>
      <c r="K57" s="53"/>
      <c r="L57" s="57"/>
      <c r="M57" s="37"/>
      <c r="N57" s="37"/>
      <c r="O57" s="39"/>
      <c r="P57" s="3"/>
      <c r="Q57" s="3"/>
    </row>
    <row r="58" spans="1:17" x14ac:dyDescent="0.3">
      <c r="A58" s="110">
        <f t="shared" si="1"/>
        <v>1</v>
      </c>
      <c r="B58" s="112">
        <f>ROW()-ROW(TabConsolidation[[#Headers],[N]])</f>
        <v>41</v>
      </c>
      <c r="C58" s="34"/>
      <c r="D58" s="35"/>
      <c r="E58" s="36" t="s">
        <v>45</v>
      </c>
      <c r="F58" s="38"/>
      <c r="G58" s="38"/>
      <c r="H58" s="50"/>
      <c r="I58" s="51" t="s">
        <v>32</v>
      </c>
      <c r="J58" s="55"/>
      <c r="K58" s="53"/>
      <c r="L58" s="57"/>
      <c r="M58" s="37"/>
      <c r="N58" s="37"/>
      <c r="O58" s="39"/>
      <c r="P58" s="3"/>
      <c r="Q58" s="3"/>
    </row>
    <row r="59" spans="1:17" x14ac:dyDescent="0.3">
      <c r="A59" s="110">
        <f t="shared" si="1"/>
        <v>1</v>
      </c>
      <c r="B59" s="112">
        <f>ROW()-ROW(TabConsolidation[[#Headers],[N]])</f>
        <v>42</v>
      </c>
      <c r="C59" s="34"/>
      <c r="D59" s="35"/>
      <c r="E59" s="36" t="s">
        <v>46</v>
      </c>
      <c r="F59" s="38"/>
      <c r="G59" s="38"/>
      <c r="H59" s="50"/>
      <c r="I59" s="51" t="s">
        <v>32</v>
      </c>
      <c r="J59" s="55"/>
      <c r="K59" s="53"/>
      <c r="L59" s="57"/>
      <c r="M59" s="37"/>
      <c r="N59" s="37"/>
      <c r="O59" s="39"/>
      <c r="P59" s="3"/>
      <c r="Q59" s="3"/>
    </row>
    <row r="60" spans="1:17" x14ac:dyDescent="0.3">
      <c r="A60" s="110">
        <f t="shared" si="1"/>
        <v>1</v>
      </c>
      <c r="B60" s="112">
        <f>ROW()-ROW(TabConsolidation[[#Headers],[N]])</f>
        <v>43</v>
      </c>
      <c r="C60" s="34"/>
      <c r="D60" s="35"/>
      <c r="E60" s="36" t="s">
        <v>47</v>
      </c>
      <c r="F60" s="38"/>
      <c r="G60" s="38"/>
      <c r="H60" s="50"/>
      <c r="I60" s="51" t="s">
        <v>32</v>
      </c>
      <c r="J60" s="55"/>
      <c r="K60" s="53"/>
      <c r="L60" s="57"/>
      <c r="M60" s="37"/>
      <c r="N60" s="37"/>
      <c r="O60" s="39"/>
      <c r="P60" s="3"/>
      <c r="Q60" s="3"/>
    </row>
    <row r="61" spans="1:17" x14ac:dyDescent="0.3">
      <c r="A61" s="110">
        <f t="shared" si="1"/>
        <v>1</v>
      </c>
      <c r="B61" s="112">
        <f>ROW()-ROW(TabConsolidation[[#Headers],[N]])</f>
        <v>44</v>
      </c>
      <c r="C61" s="34"/>
      <c r="D61" s="35"/>
      <c r="E61" s="36" t="s">
        <v>49</v>
      </c>
      <c r="F61" s="38"/>
      <c r="G61" s="38"/>
      <c r="H61" s="50"/>
      <c r="I61" s="51" t="s">
        <v>32</v>
      </c>
      <c r="J61" s="55"/>
      <c r="K61" s="53"/>
      <c r="L61" s="57"/>
      <c r="M61" s="37"/>
      <c r="N61" s="37"/>
      <c r="O61" s="39"/>
      <c r="P61" s="3"/>
      <c r="Q61" s="3"/>
    </row>
    <row r="62" spans="1:17" x14ac:dyDescent="0.3">
      <c r="A62" s="110">
        <f t="shared" si="1"/>
        <v>1</v>
      </c>
      <c r="B62" s="112">
        <f>ROW()-ROW(TabConsolidation[[#Headers],[N]])</f>
        <v>45</v>
      </c>
      <c r="C62" s="34"/>
      <c r="D62" s="35"/>
      <c r="E62" s="36" t="s">
        <v>47</v>
      </c>
      <c r="F62" s="38"/>
      <c r="G62" s="38"/>
      <c r="H62" s="50"/>
      <c r="I62" s="51" t="s">
        <v>32</v>
      </c>
      <c r="J62" s="55"/>
      <c r="K62" s="53"/>
      <c r="L62" s="57"/>
      <c r="M62" s="37"/>
      <c r="N62" s="37"/>
      <c r="O62" s="39"/>
      <c r="P62" s="3"/>
      <c r="Q62" s="3"/>
    </row>
    <row r="63" spans="1:17" x14ac:dyDescent="0.3">
      <c r="A63" s="110">
        <f t="shared" si="1"/>
        <v>1</v>
      </c>
      <c r="B63" s="112">
        <f>ROW()-ROW(TabConsolidation[[#Headers],[N]])</f>
        <v>46</v>
      </c>
      <c r="C63" s="34"/>
      <c r="D63" s="35"/>
      <c r="E63" s="36" t="s">
        <v>48</v>
      </c>
      <c r="F63" s="38"/>
      <c r="G63" s="38"/>
      <c r="H63" s="50"/>
      <c r="I63" s="51" t="s">
        <v>32</v>
      </c>
      <c r="J63" s="55"/>
      <c r="K63" s="53"/>
      <c r="L63" s="57"/>
      <c r="M63" s="37"/>
      <c r="N63" s="37"/>
      <c r="O63" s="39"/>
      <c r="P63" s="3"/>
      <c r="Q63" s="3"/>
    </row>
    <row r="64" spans="1:17" x14ac:dyDescent="0.3">
      <c r="A64" s="110">
        <f t="shared" si="1"/>
        <v>1</v>
      </c>
      <c r="B64" s="112">
        <f>ROW()-ROW(TabConsolidation[[#Headers],[N]])</f>
        <v>47</v>
      </c>
      <c r="C64" s="34"/>
      <c r="D64" s="35"/>
      <c r="E64" s="36" t="s">
        <v>44</v>
      </c>
      <c r="F64" s="38"/>
      <c r="G64" s="38"/>
      <c r="H64" s="50"/>
      <c r="I64" s="51" t="s">
        <v>32</v>
      </c>
      <c r="J64" s="55"/>
      <c r="K64" s="53"/>
      <c r="L64" s="57"/>
      <c r="M64" s="37"/>
      <c r="N64" s="37"/>
      <c r="O64" s="39"/>
      <c r="P64" s="3"/>
      <c r="Q64" s="3"/>
    </row>
    <row r="65" spans="1:17" x14ac:dyDescent="0.3">
      <c r="A65" s="110">
        <f t="shared" si="1"/>
        <v>1</v>
      </c>
      <c r="B65" s="112">
        <f>ROW()-ROW(TabConsolidation[[#Headers],[N]])</f>
        <v>48</v>
      </c>
      <c r="C65" s="34"/>
      <c r="D65" s="35"/>
      <c r="E65" s="36" t="s">
        <v>51</v>
      </c>
      <c r="F65" s="38"/>
      <c r="G65" s="38"/>
      <c r="H65" s="50"/>
      <c r="I65" s="51" t="s">
        <v>32</v>
      </c>
      <c r="J65" s="55"/>
      <c r="K65" s="53"/>
      <c r="L65" s="57"/>
      <c r="M65" s="37"/>
      <c r="N65" s="37"/>
      <c r="O65" s="39"/>
      <c r="P65" s="3"/>
      <c r="Q65" s="3"/>
    </row>
    <row r="66" spans="1:17" x14ac:dyDescent="0.3">
      <c r="A66" s="110">
        <f t="shared" si="1"/>
        <v>1</v>
      </c>
      <c r="B66" s="112">
        <f>ROW()-ROW(TabConsolidation[[#Headers],[N]])</f>
        <v>49</v>
      </c>
      <c r="C66" s="34"/>
      <c r="D66" s="35"/>
      <c r="E66" s="36" t="s">
        <v>51</v>
      </c>
      <c r="F66" s="38"/>
      <c r="G66" s="38"/>
      <c r="H66" s="50"/>
      <c r="I66" s="51" t="s">
        <v>32</v>
      </c>
      <c r="J66" s="55"/>
      <c r="K66" s="53"/>
      <c r="L66" s="57"/>
      <c r="M66" s="37"/>
      <c r="N66" s="37"/>
      <c r="O66" s="39"/>
      <c r="P66" s="3"/>
      <c r="Q66" s="3"/>
    </row>
    <row r="67" spans="1:17" x14ac:dyDescent="0.3">
      <c r="A67" s="110">
        <f t="shared" si="1"/>
        <v>1</v>
      </c>
      <c r="B67" s="112">
        <f>ROW()-ROW(TabConsolidation[[#Headers],[N]])</f>
        <v>50</v>
      </c>
      <c r="C67" s="34"/>
      <c r="D67" s="35"/>
      <c r="E67" s="36" t="s">
        <v>52</v>
      </c>
      <c r="F67" s="38"/>
      <c r="G67" s="38"/>
      <c r="H67" s="50"/>
      <c r="I67" s="51" t="s">
        <v>32</v>
      </c>
      <c r="J67" s="55"/>
      <c r="K67" s="53"/>
      <c r="L67" s="57"/>
      <c r="M67" s="37"/>
      <c r="N67" s="37"/>
      <c r="O67" s="39"/>
      <c r="P67" s="3"/>
      <c r="Q67" s="3"/>
    </row>
    <row r="68" spans="1:17" x14ac:dyDescent="0.3">
      <c r="A68" s="110">
        <f t="shared" si="1"/>
        <v>1</v>
      </c>
      <c r="B68" s="112">
        <f>ROW()-ROW(TabConsolidation[[#Headers],[N]])</f>
        <v>51</v>
      </c>
      <c r="C68" s="34"/>
      <c r="D68" s="35"/>
      <c r="E68" s="36" t="s">
        <v>53</v>
      </c>
      <c r="F68" s="38"/>
      <c r="G68" s="38"/>
      <c r="H68" s="50"/>
      <c r="I68" s="51" t="s">
        <v>32</v>
      </c>
      <c r="J68" s="55"/>
      <c r="K68" s="53"/>
      <c r="L68" s="57"/>
      <c r="M68" s="37"/>
      <c r="N68" s="37"/>
      <c r="O68" s="39"/>
      <c r="P68" s="3"/>
      <c r="Q68" s="3"/>
    </row>
    <row r="69" spans="1:17" x14ac:dyDescent="0.3">
      <c r="A69" s="110">
        <f t="shared" si="1"/>
        <v>1</v>
      </c>
      <c r="B69" s="112">
        <f>ROW()-ROW(TabConsolidation[[#Headers],[N]])</f>
        <v>52</v>
      </c>
      <c r="C69" s="34"/>
      <c r="D69" s="35"/>
      <c r="E69" s="36" t="s">
        <v>54</v>
      </c>
      <c r="F69" s="38"/>
      <c r="G69" s="38"/>
      <c r="H69" s="50"/>
      <c r="I69" s="51" t="s">
        <v>32</v>
      </c>
      <c r="J69" s="55"/>
      <c r="K69" s="53"/>
      <c r="L69" s="57"/>
      <c r="M69" s="37"/>
      <c r="N69" s="37"/>
      <c r="O69" s="39"/>
      <c r="P69" s="3"/>
      <c r="Q69" s="3"/>
    </row>
    <row r="70" spans="1:17" x14ac:dyDescent="0.3">
      <c r="A70" s="110">
        <f t="shared" si="1"/>
        <v>1</v>
      </c>
      <c r="B70" s="112">
        <f>ROW()-ROW(TabConsolidation[[#Headers],[N]])</f>
        <v>53</v>
      </c>
      <c r="C70" s="34"/>
      <c r="D70" s="35"/>
      <c r="E70" s="36" t="s">
        <v>55</v>
      </c>
      <c r="F70" s="38"/>
      <c r="G70" s="38"/>
      <c r="H70" s="50"/>
      <c r="I70" s="51" t="s">
        <v>32</v>
      </c>
      <c r="J70" s="55"/>
      <c r="K70" s="53"/>
      <c r="L70" s="57"/>
      <c r="M70" s="37"/>
      <c r="N70" s="37"/>
      <c r="O70" s="39"/>
      <c r="P70" s="3"/>
      <c r="Q70" s="3"/>
    </row>
    <row r="71" spans="1:17" x14ac:dyDescent="0.3">
      <c r="A71" s="110">
        <f t="shared" si="1"/>
        <v>1</v>
      </c>
      <c r="B71" s="112">
        <f>ROW()-ROW(TabConsolidation[[#Headers],[N]])</f>
        <v>54</v>
      </c>
      <c r="C71" s="34"/>
      <c r="D71" s="35"/>
      <c r="E71" s="36" t="s">
        <v>56</v>
      </c>
      <c r="F71" s="38"/>
      <c r="G71" s="38"/>
      <c r="H71" s="50"/>
      <c r="I71" s="51" t="s">
        <v>32</v>
      </c>
      <c r="J71" s="55"/>
      <c r="K71" s="53"/>
      <c r="L71" s="57"/>
      <c r="M71" s="37"/>
      <c r="N71" s="37"/>
      <c r="O71" s="39"/>
      <c r="P71" s="3"/>
      <c r="Q71" s="3"/>
    </row>
    <row r="72" spans="1:17" x14ac:dyDescent="0.3">
      <c r="A72" s="110">
        <f t="shared" si="1"/>
        <v>1</v>
      </c>
      <c r="B72" s="112">
        <f>ROW()-ROW(TabConsolidation[[#Headers],[N]])</f>
        <v>55</v>
      </c>
      <c r="C72" s="34"/>
      <c r="D72" s="35"/>
      <c r="E72" s="36" t="s">
        <v>57</v>
      </c>
      <c r="F72" s="38"/>
      <c r="G72" s="38"/>
      <c r="H72" s="50"/>
      <c r="I72" s="51" t="s">
        <v>32</v>
      </c>
      <c r="J72" s="55"/>
      <c r="K72" s="53"/>
      <c r="L72" s="57"/>
      <c r="M72" s="37"/>
      <c r="N72" s="37"/>
      <c r="O72" s="39"/>
      <c r="P72" s="3"/>
      <c r="Q72" s="3"/>
    </row>
    <row r="73" spans="1:17" x14ac:dyDescent="0.3">
      <c r="A73" s="110">
        <f t="shared" si="1"/>
        <v>1</v>
      </c>
      <c r="B73" s="112">
        <f>ROW()-ROW(TabConsolidation[[#Headers],[N]])</f>
        <v>56</v>
      </c>
      <c r="C73" s="34"/>
      <c r="D73" s="35"/>
      <c r="E73" s="36" t="s">
        <v>58</v>
      </c>
      <c r="F73" s="38"/>
      <c r="G73" s="38"/>
      <c r="H73" s="50"/>
      <c r="I73" s="51" t="s">
        <v>32</v>
      </c>
      <c r="J73" s="55"/>
      <c r="K73" s="53"/>
      <c r="L73" s="57"/>
      <c r="M73" s="37"/>
      <c r="N73" s="37"/>
      <c r="O73" s="39"/>
      <c r="P73" s="3"/>
      <c r="Q73" s="3"/>
    </row>
    <row r="74" spans="1:17" x14ac:dyDescent="0.3">
      <c r="A74" s="110">
        <f t="shared" si="1"/>
        <v>1</v>
      </c>
      <c r="B74" s="112">
        <f>ROW()-ROW(TabConsolidation[[#Headers],[N]])</f>
        <v>57</v>
      </c>
      <c r="C74" s="34"/>
      <c r="D74" s="35"/>
      <c r="E74" s="36" t="s">
        <v>59</v>
      </c>
      <c r="F74" s="38"/>
      <c r="G74" s="38"/>
      <c r="H74" s="50"/>
      <c r="I74" s="51" t="s">
        <v>32</v>
      </c>
      <c r="J74" s="55"/>
      <c r="K74" s="53"/>
      <c r="L74" s="57"/>
      <c r="M74" s="37"/>
      <c r="N74" s="37"/>
      <c r="O74" s="39"/>
      <c r="P74" s="3"/>
      <c r="Q74" s="3"/>
    </row>
    <row r="75" spans="1:17" x14ac:dyDescent="0.3">
      <c r="A75" s="110">
        <f t="shared" si="1"/>
        <v>1</v>
      </c>
      <c r="B75" s="112">
        <f>ROW()-ROW(TabConsolidation[[#Headers],[N]])</f>
        <v>58</v>
      </c>
      <c r="C75" s="34"/>
      <c r="D75" s="35"/>
      <c r="E75" s="36" t="s">
        <v>60</v>
      </c>
      <c r="F75" s="38"/>
      <c r="G75" s="38"/>
      <c r="H75" s="50"/>
      <c r="I75" s="51" t="s">
        <v>32</v>
      </c>
      <c r="J75" s="55"/>
      <c r="K75" s="53"/>
      <c r="L75" s="57"/>
      <c r="M75" s="37"/>
      <c r="N75" s="37"/>
      <c r="O75" s="39"/>
      <c r="P75" s="3"/>
      <c r="Q75" s="3"/>
    </row>
    <row r="76" spans="1:17" x14ac:dyDescent="0.3">
      <c r="A76" s="110">
        <f t="shared" si="1"/>
        <v>1</v>
      </c>
      <c r="B76" s="112">
        <f>ROW()-ROW(TabConsolidation[[#Headers],[N]])</f>
        <v>59</v>
      </c>
      <c r="C76" s="34"/>
      <c r="D76" s="35"/>
      <c r="E76" s="36" t="s">
        <v>61</v>
      </c>
      <c r="F76" s="38"/>
      <c r="G76" s="38"/>
      <c r="H76" s="50"/>
      <c r="I76" s="51" t="s">
        <v>32</v>
      </c>
      <c r="J76" s="55"/>
      <c r="K76" s="53"/>
      <c r="L76" s="57"/>
      <c r="M76" s="37"/>
      <c r="N76" s="37"/>
      <c r="O76" s="39"/>
      <c r="P76" s="3"/>
      <c r="Q76" s="3"/>
    </row>
    <row r="77" spans="1:17" x14ac:dyDescent="0.3">
      <c r="A77" s="110">
        <f t="shared" si="1"/>
        <v>1</v>
      </c>
      <c r="B77" s="112">
        <f>ROW()-ROW(TabConsolidation[[#Headers],[N]])</f>
        <v>60</v>
      </c>
      <c r="C77" s="34"/>
      <c r="D77" s="35"/>
      <c r="E77" s="36" t="s">
        <v>62</v>
      </c>
      <c r="F77" s="38"/>
      <c r="G77" s="38"/>
      <c r="H77" s="50"/>
      <c r="I77" s="51" t="s">
        <v>32</v>
      </c>
      <c r="J77" s="55"/>
      <c r="K77" s="53"/>
      <c r="L77" s="57"/>
      <c r="M77" s="37"/>
      <c r="N77" s="37"/>
      <c r="O77" s="39"/>
      <c r="P77" s="3"/>
      <c r="Q77" s="3"/>
    </row>
    <row r="78" spans="1:17" x14ac:dyDescent="0.3">
      <c r="A78" s="110">
        <f t="shared" si="1"/>
        <v>1</v>
      </c>
      <c r="B78" s="112">
        <f>ROW()-ROW(TabConsolidation[[#Headers],[N]])</f>
        <v>61</v>
      </c>
      <c r="C78" s="34"/>
      <c r="D78" s="35"/>
      <c r="E78" s="36" t="s">
        <v>64</v>
      </c>
      <c r="F78" s="38"/>
      <c r="G78" s="38"/>
      <c r="H78" s="50"/>
      <c r="I78" s="51" t="s">
        <v>32</v>
      </c>
      <c r="J78" s="55"/>
      <c r="K78" s="53"/>
      <c r="L78" s="57"/>
      <c r="M78" s="37"/>
      <c r="N78" s="37"/>
      <c r="O78" s="39"/>
      <c r="P78" s="3"/>
      <c r="Q78" s="3"/>
    </row>
    <row r="79" spans="1:17" x14ac:dyDescent="0.3">
      <c r="A79" s="110">
        <f t="shared" si="1"/>
        <v>1</v>
      </c>
      <c r="B79" s="112">
        <f>ROW()-ROW(TabConsolidation[[#Headers],[N]])</f>
        <v>62</v>
      </c>
      <c r="C79" s="34"/>
      <c r="D79" s="35"/>
      <c r="E79" s="36" t="s">
        <v>64</v>
      </c>
      <c r="F79" s="38"/>
      <c r="G79" s="38"/>
      <c r="H79" s="50"/>
      <c r="I79" s="51" t="s">
        <v>32</v>
      </c>
      <c r="J79" s="55"/>
      <c r="K79" s="53"/>
      <c r="L79" s="57"/>
      <c r="M79" s="37"/>
      <c r="N79" s="37"/>
      <c r="O79" s="39"/>
      <c r="P79" s="3"/>
      <c r="Q79" s="3"/>
    </row>
    <row r="80" spans="1:17" x14ac:dyDescent="0.3">
      <c r="A80" s="110">
        <f t="shared" si="1"/>
        <v>1</v>
      </c>
      <c r="B80" s="112">
        <f>ROW()-ROW(TabConsolidation[[#Headers],[N]])</f>
        <v>63</v>
      </c>
      <c r="C80" s="34"/>
      <c r="D80" s="35"/>
      <c r="E80" s="36" t="s">
        <v>65</v>
      </c>
      <c r="F80" s="38"/>
      <c r="G80" s="38"/>
      <c r="H80" s="50"/>
      <c r="I80" s="51" t="s">
        <v>32</v>
      </c>
      <c r="J80" s="55"/>
      <c r="K80" s="53"/>
      <c r="L80" s="57"/>
      <c r="M80" s="37"/>
      <c r="N80" s="37"/>
      <c r="O80" s="39"/>
      <c r="P80" s="3"/>
      <c r="Q80" s="3"/>
    </row>
    <row r="81" spans="1:17" x14ac:dyDescent="0.3">
      <c r="A81" s="110">
        <f t="shared" si="1"/>
        <v>1</v>
      </c>
      <c r="B81" s="112">
        <f>ROW()-ROW(TabConsolidation[[#Headers],[N]])</f>
        <v>64</v>
      </c>
      <c r="C81" s="34"/>
      <c r="D81" s="35"/>
      <c r="E81" s="36" t="s">
        <v>66</v>
      </c>
      <c r="F81" s="38"/>
      <c r="G81" s="38"/>
      <c r="H81" s="50"/>
      <c r="I81" s="51" t="s">
        <v>32</v>
      </c>
      <c r="J81" s="55"/>
      <c r="K81" s="53"/>
      <c r="L81" s="57"/>
      <c r="M81" s="37"/>
      <c r="N81" s="37"/>
      <c r="O81" s="39"/>
      <c r="P81" s="3"/>
      <c r="Q81" s="3"/>
    </row>
    <row r="82" spans="1:17" x14ac:dyDescent="0.3">
      <c r="A82" s="110">
        <f t="shared" ref="A82:A113" si="2">IF(COUNTA(H82,I82,L82), 1,0)</f>
        <v>1</v>
      </c>
      <c r="B82" s="112">
        <f>ROW()-ROW(TabConsolidation[[#Headers],[N]])</f>
        <v>65</v>
      </c>
      <c r="C82" s="34"/>
      <c r="D82" s="35"/>
      <c r="E82" s="36" t="s">
        <v>67</v>
      </c>
      <c r="F82" s="38"/>
      <c r="G82" s="38"/>
      <c r="H82" s="50"/>
      <c r="I82" s="51" t="s">
        <v>32</v>
      </c>
      <c r="J82" s="55"/>
      <c r="K82" s="53"/>
      <c r="L82" s="57"/>
      <c r="M82" s="37"/>
      <c r="N82" s="37"/>
      <c r="O82" s="39"/>
      <c r="P82" s="3"/>
      <c r="Q82" s="3"/>
    </row>
    <row r="83" spans="1:17" x14ac:dyDescent="0.3">
      <c r="A83" s="110">
        <f t="shared" si="2"/>
        <v>1</v>
      </c>
      <c r="B83" s="112">
        <f>ROW()-ROW(TabConsolidation[[#Headers],[N]])</f>
        <v>66</v>
      </c>
      <c r="C83" s="34"/>
      <c r="D83" s="35"/>
      <c r="E83" s="36" t="s">
        <v>68</v>
      </c>
      <c r="F83" s="38"/>
      <c r="G83" s="38"/>
      <c r="H83" s="50"/>
      <c r="I83" s="51" t="s">
        <v>32</v>
      </c>
      <c r="J83" s="55"/>
      <c r="K83" s="53"/>
      <c r="L83" s="57"/>
      <c r="M83" s="37"/>
      <c r="N83" s="37"/>
      <c r="O83" s="39"/>
      <c r="P83" s="3"/>
      <c r="Q83" s="3"/>
    </row>
    <row r="84" spans="1:17" x14ac:dyDescent="0.3">
      <c r="A84" s="110">
        <f t="shared" si="2"/>
        <v>1</v>
      </c>
      <c r="B84" s="112">
        <f>ROW()-ROW(TabConsolidation[[#Headers],[N]])</f>
        <v>67</v>
      </c>
      <c r="C84" s="34"/>
      <c r="D84" s="35"/>
      <c r="E84" s="36" t="s">
        <v>68</v>
      </c>
      <c r="F84" s="38"/>
      <c r="G84" s="38"/>
      <c r="H84" s="50"/>
      <c r="I84" s="51" t="s">
        <v>32</v>
      </c>
      <c r="J84" s="55"/>
      <c r="K84" s="53"/>
      <c r="L84" s="57"/>
      <c r="M84" s="37"/>
      <c r="N84" s="37"/>
      <c r="O84" s="39"/>
      <c r="P84" s="3"/>
      <c r="Q84" s="3"/>
    </row>
    <row r="85" spans="1:17" x14ac:dyDescent="0.3">
      <c r="A85" s="110">
        <f t="shared" si="2"/>
        <v>1</v>
      </c>
      <c r="B85" s="112">
        <f>ROW()-ROW(TabConsolidation[[#Headers],[N]])</f>
        <v>68</v>
      </c>
      <c r="C85" s="34"/>
      <c r="D85" s="35"/>
      <c r="E85" s="36" t="s">
        <v>69</v>
      </c>
      <c r="F85" s="38"/>
      <c r="G85" s="38"/>
      <c r="H85" s="50"/>
      <c r="I85" s="51" t="s">
        <v>32</v>
      </c>
      <c r="J85" s="55"/>
      <c r="K85" s="53"/>
      <c r="L85" s="57"/>
      <c r="M85" s="37"/>
      <c r="N85" s="37"/>
      <c r="O85" s="39"/>
      <c r="P85" s="3"/>
      <c r="Q85" s="3"/>
    </row>
    <row r="86" spans="1:17" x14ac:dyDescent="0.3">
      <c r="A86" s="110">
        <f t="shared" si="2"/>
        <v>1</v>
      </c>
      <c r="B86" s="112">
        <f>ROW()-ROW(TabConsolidation[[#Headers],[N]])</f>
        <v>69</v>
      </c>
      <c r="C86" s="34"/>
      <c r="D86" s="35"/>
      <c r="E86" s="36" t="s">
        <v>69</v>
      </c>
      <c r="F86" s="38"/>
      <c r="G86" s="38"/>
      <c r="H86" s="50"/>
      <c r="I86" s="51" t="s">
        <v>32</v>
      </c>
      <c r="J86" s="55"/>
      <c r="K86" s="53"/>
      <c r="L86" s="57"/>
      <c r="M86" s="37"/>
      <c r="N86" s="37"/>
      <c r="O86" s="39"/>
      <c r="P86" s="3"/>
      <c r="Q86" s="3"/>
    </row>
    <row r="87" spans="1:17" x14ac:dyDescent="0.3">
      <c r="A87" s="110">
        <f t="shared" si="2"/>
        <v>1</v>
      </c>
      <c r="B87" s="112">
        <f>ROW()-ROW(TabConsolidation[[#Headers],[N]])</f>
        <v>70</v>
      </c>
      <c r="C87" s="34"/>
      <c r="D87" s="35"/>
      <c r="E87" s="36" t="s">
        <v>70</v>
      </c>
      <c r="F87" s="38"/>
      <c r="G87" s="38"/>
      <c r="H87" s="50"/>
      <c r="I87" s="51" t="s">
        <v>32</v>
      </c>
      <c r="J87" s="55"/>
      <c r="K87" s="53"/>
      <c r="L87" s="57"/>
      <c r="M87" s="37"/>
      <c r="N87" s="37"/>
      <c r="O87" s="39"/>
      <c r="P87" s="3"/>
      <c r="Q87" s="3"/>
    </row>
    <row r="88" spans="1:17" x14ac:dyDescent="0.3">
      <c r="A88" s="110">
        <f t="shared" si="2"/>
        <v>1</v>
      </c>
      <c r="B88" s="112">
        <f>ROW()-ROW(TabConsolidation[[#Headers],[N]])</f>
        <v>71</v>
      </c>
      <c r="C88" s="34"/>
      <c r="D88" s="35"/>
      <c r="E88" s="36" t="s">
        <v>102</v>
      </c>
      <c r="F88" s="38"/>
      <c r="G88" s="38"/>
      <c r="H88" s="50"/>
      <c r="I88" s="51" t="s">
        <v>32</v>
      </c>
      <c r="J88" s="55"/>
      <c r="K88" s="53"/>
      <c r="L88" s="57"/>
      <c r="M88" s="37"/>
      <c r="N88" s="37"/>
      <c r="O88" s="39"/>
      <c r="P88" s="3"/>
      <c r="Q88" s="3"/>
    </row>
    <row r="89" spans="1:17" x14ac:dyDescent="0.3">
      <c r="A89" s="110">
        <f t="shared" si="2"/>
        <v>1</v>
      </c>
      <c r="B89" s="112">
        <f>ROW()-ROW(TabConsolidation[[#Headers],[N]])</f>
        <v>72</v>
      </c>
      <c r="C89" s="34"/>
      <c r="D89" s="35"/>
      <c r="E89" s="36" t="s">
        <v>71</v>
      </c>
      <c r="F89" s="38"/>
      <c r="G89" s="38"/>
      <c r="H89" s="50"/>
      <c r="I89" s="51" t="s">
        <v>32</v>
      </c>
      <c r="J89" s="55"/>
      <c r="K89" s="53"/>
      <c r="L89" s="57"/>
      <c r="M89" s="37"/>
      <c r="N89" s="37"/>
      <c r="O89" s="39"/>
      <c r="P89" s="3"/>
      <c r="Q89" s="3"/>
    </row>
    <row r="90" spans="1:17" x14ac:dyDescent="0.3">
      <c r="A90" s="110">
        <f t="shared" si="2"/>
        <v>1</v>
      </c>
      <c r="B90" s="112">
        <f>ROW()-ROW(TabConsolidation[[#Headers],[N]])</f>
        <v>73</v>
      </c>
      <c r="C90" s="97" t="s">
        <v>103</v>
      </c>
      <c r="D90" s="98" t="s">
        <v>73</v>
      </c>
      <c r="E90" s="99" t="s">
        <v>104</v>
      </c>
      <c r="F90" s="49"/>
      <c r="G90" s="38"/>
      <c r="H90" s="50"/>
      <c r="I90" s="51" t="s">
        <v>32</v>
      </c>
      <c r="J90" s="55"/>
      <c r="K90" s="53"/>
      <c r="L90" s="57"/>
      <c r="M90" s="37"/>
      <c r="N90" s="37"/>
      <c r="O90" s="39"/>
      <c r="P90" s="3"/>
      <c r="Q90" s="3"/>
    </row>
    <row r="91" spans="1:17" x14ac:dyDescent="0.3">
      <c r="A91" s="110">
        <f t="shared" si="2"/>
        <v>1</v>
      </c>
      <c r="B91" s="112">
        <f>ROW()-ROW(TabConsolidation[[#Headers],[N]])</f>
        <v>74</v>
      </c>
      <c r="C91" s="34"/>
      <c r="D91" s="35"/>
      <c r="E91" s="36" t="s">
        <v>105</v>
      </c>
      <c r="F91" s="38"/>
      <c r="G91" s="38"/>
      <c r="H91" s="50"/>
      <c r="I91" s="51" t="s">
        <v>32</v>
      </c>
      <c r="J91" s="55"/>
      <c r="K91" s="53"/>
      <c r="L91" s="57"/>
      <c r="M91" s="37"/>
      <c r="N91" s="37"/>
      <c r="O91" s="39"/>
      <c r="P91" s="3"/>
      <c r="Q91" s="3"/>
    </row>
    <row r="92" spans="1:17" x14ac:dyDescent="0.3">
      <c r="A92" s="110">
        <f t="shared" si="2"/>
        <v>1</v>
      </c>
      <c r="B92" s="112">
        <f>ROW()-ROW(TabConsolidation[[#Headers],[N]])</f>
        <v>75</v>
      </c>
      <c r="C92" s="34"/>
      <c r="D92" s="35"/>
      <c r="E92" s="36" t="s">
        <v>106</v>
      </c>
      <c r="F92" s="38"/>
      <c r="G92" s="38"/>
      <c r="H92" s="50"/>
      <c r="I92" s="51" t="s">
        <v>32</v>
      </c>
      <c r="J92" s="55"/>
      <c r="K92" s="53"/>
      <c r="L92" s="57"/>
      <c r="M92" s="37"/>
      <c r="N92" s="37"/>
      <c r="O92" s="39"/>
      <c r="P92" s="3"/>
      <c r="Q92" s="3"/>
    </row>
    <row r="93" spans="1:17" x14ac:dyDescent="0.3">
      <c r="A93" s="110">
        <f t="shared" si="2"/>
        <v>1</v>
      </c>
      <c r="B93" s="112">
        <f>ROW()-ROW(TabConsolidation[[#Headers],[N]])</f>
        <v>76</v>
      </c>
      <c r="C93" s="34"/>
      <c r="D93" s="35"/>
      <c r="E93" s="36" t="s">
        <v>107</v>
      </c>
      <c r="F93" s="38"/>
      <c r="G93" s="38"/>
      <c r="H93" s="50"/>
      <c r="I93" s="51" t="s">
        <v>32</v>
      </c>
      <c r="J93" s="55"/>
      <c r="K93" s="53"/>
      <c r="L93" s="57"/>
      <c r="M93" s="37"/>
      <c r="N93" s="37"/>
      <c r="O93" s="39"/>
      <c r="P93" s="3"/>
      <c r="Q93" s="3"/>
    </row>
    <row r="94" spans="1:17" x14ac:dyDescent="0.3">
      <c r="A94" s="110">
        <f t="shared" si="2"/>
        <v>1</v>
      </c>
      <c r="B94" s="112">
        <f>ROW()-ROW(TabConsolidation[[#Headers],[N]])</f>
        <v>77</v>
      </c>
      <c r="C94" s="34"/>
      <c r="D94" s="35"/>
      <c r="E94" s="36" t="s">
        <v>108</v>
      </c>
      <c r="F94" s="38"/>
      <c r="G94" s="38"/>
      <c r="H94" s="50"/>
      <c r="I94" s="51" t="s">
        <v>32</v>
      </c>
      <c r="J94" s="55"/>
      <c r="K94" s="53"/>
      <c r="L94" s="57"/>
      <c r="M94" s="37"/>
      <c r="N94" s="37"/>
      <c r="O94" s="39"/>
      <c r="P94" s="3"/>
      <c r="Q94" s="3"/>
    </row>
    <row r="95" spans="1:17" x14ac:dyDescent="0.3">
      <c r="A95" s="110">
        <f t="shared" si="2"/>
        <v>1</v>
      </c>
      <c r="B95" s="112">
        <f>ROW()-ROW(TabConsolidation[[#Headers],[N]])</f>
        <v>78</v>
      </c>
      <c r="C95" s="34"/>
      <c r="D95" s="35"/>
      <c r="E95" s="36" t="s">
        <v>109</v>
      </c>
      <c r="F95" s="38"/>
      <c r="G95" s="38"/>
      <c r="H95" s="50"/>
      <c r="I95" s="51" t="s">
        <v>32</v>
      </c>
      <c r="J95" s="55"/>
      <c r="K95" s="53"/>
      <c r="L95" s="57"/>
      <c r="M95" s="37"/>
      <c r="N95" s="37"/>
      <c r="O95" s="39"/>
      <c r="P95" s="3"/>
      <c r="Q95" s="3"/>
    </row>
    <row r="96" spans="1:17" x14ac:dyDescent="0.3">
      <c r="A96" s="110">
        <f t="shared" si="2"/>
        <v>1</v>
      </c>
      <c r="B96" s="112">
        <f>ROW()-ROW(TabConsolidation[[#Headers],[N]])</f>
        <v>79</v>
      </c>
      <c r="C96" s="34"/>
      <c r="D96" s="35"/>
      <c r="E96" s="36" t="s">
        <v>110</v>
      </c>
      <c r="F96" s="38"/>
      <c r="G96" s="38"/>
      <c r="H96" s="50"/>
      <c r="I96" s="51" t="s">
        <v>32</v>
      </c>
      <c r="J96" s="55"/>
      <c r="K96" s="53"/>
      <c r="L96" s="57"/>
      <c r="M96" s="37"/>
      <c r="N96" s="37"/>
      <c r="O96" s="39"/>
      <c r="P96" s="3"/>
      <c r="Q96" s="3"/>
    </row>
    <row r="97" spans="1:17" x14ac:dyDescent="0.3">
      <c r="A97" s="110">
        <f t="shared" si="2"/>
        <v>1</v>
      </c>
      <c r="B97" s="112">
        <f>ROW()-ROW(TabConsolidation[[#Headers],[N]])</f>
        <v>80</v>
      </c>
      <c r="C97" s="34"/>
      <c r="D97" s="35"/>
      <c r="E97" s="36" t="s">
        <v>111</v>
      </c>
      <c r="F97" s="38"/>
      <c r="G97" s="38"/>
      <c r="H97" s="50"/>
      <c r="I97" s="51" t="s">
        <v>32</v>
      </c>
      <c r="J97" s="55"/>
      <c r="K97" s="53"/>
      <c r="L97" s="57"/>
      <c r="M97" s="37"/>
      <c r="N97" s="37"/>
      <c r="O97" s="39"/>
      <c r="P97" s="3"/>
      <c r="Q97" s="3"/>
    </row>
    <row r="98" spans="1:17" x14ac:dyDescent="0.3">
      <c r="A98" s="110">
        <f t="shared" si="2"/>
        <v>1</v>
      </c>
      <c r="B98" s="112">
        <f>ROW()-ROW(TabConsolidation[[#Headers],[N]])</f>
        <v>81</v>
      </c>
      <c r="C98" s="34"/>
      <c r="D98" s="35"/>
      <c r="E98" s="36" t="s">
        <v>112</v>
      </c>
      <c r="F98" s="38"/>
      <c r="G98" s="38"/>
      <c r="H98" s="50"/>
      <c r="I98" s="51" t="s">
        <v>32</v>
      </c>
      <c r="J98" s="55"/>
      <c r="K98" s="53"/>
      <c r="L98" s="57"/>
      <c r="M98" s="37"/>
      <c r="N98" s="37"/>
      <c r="O98" s="39"/>
      <c r="P98" s="3"/>
      <c r="Q98" s="3"/>
    </row>
    <row r="99" spans="1:17" x14ac:dyDescent="0.3">
      <c r="A99" s="110">
        <f t="shared" si="2"/>
        <v>1</v>
      </c>
      <c r="B99" s="112">
        <f>ROW()-ROW(TabConsolidation[[#Headers],[N]])</f>
        <v>82</v>
      </c>
      <c r="C99" s="34"/>
      <c r="D99" s="35"/>
      <c r="E99" s="36" t="s">
        <v>113</v>
      </c>
      <c r="F99" s="38"/>
      <c r="G99" s="38"/>
      <c r="H99" s="50"/>
      <c r="I99" s="51" t="s">
        <v>32</v>
      </c>
      <c r="J99" s="55"/>
      <c r="K99" s="53"/>
      <c r="L99" s="57"/>
      <c r="M99" s="37"/>
      <c r="N99" s="37"/>
      <c r="O99" s="39"/>
      <c r="P99" s="3"/>
      <c r="Q99" s="3"/>
    </row>
    <row r="100" spans="1:17" x14ac:dyDescent="0.3">
      <c r="A100" s="110">
        <f t="shared" si="2"/>
        <v>1</v>
      </c>
      <c r="B100" s="112">
        <f>ROW()-ROW(TabConsolidation[[#Headers],[N]])</f>
        <v>83</v>
      </c>
      <c r="C100" s="34"/>
      <c r="D100" s="35"/>
      <c r="E100" s="36" t="s">
        <v>114</v>
      </c>
      <c r="F100" s="38"/>
      <c r="G100" s="38"/>
      <c r="H100" s="50"/>
      <c r="I100" s="51" t="s">
        <v>32</v>
      </c>
      <c r="J100" s="55"/>
      <c r="K100" s="53"/>
      <c r="L100" s="57"/>
      <c r="M100" s="37"/>
      <c r="N100" s="37"/>
      <c r="O100" s="39"/>
      <c r="P100" s="3"/>
      <c r="Q100" s="3"/>
    </row>
    <row r="101" spans="1:17" x14ac:dyDescent="0.3">
      <c r="A101" s="110">
        <f t="shared" si="2"/>
        <v>1</v>
      </c>
      <c r="B101" s="112">
        <f>ROW()-ROW(TabConsolidation[[#Headers],[N]])</f>
        <v>84</v>
      </c>
      <c r="C101" s="34"/>
      <c r="D101" s="35"/>
      <c r="E101" s="36" t="s">
        <v>115</v>
      </c>
      <c r="F101" s="38"/>
      <c r="G101" s="38"/>
      <c r="H101" s="50"/>
      <c r="I101" s="51" t="s">
        <v>32</v>
      </c>
      <c r="J101" s="55"/>
      <c r="K101" s="53"/>
      <c r="L101" s="57"/>
      <c r="M101" s="37"/>
      <c r="N101" s="37"/>
      <c r="O101" s="39"/>
      <c r="P101" s="3"/>
      <c r="Q101" s="3"/>
    </row>
    <row r="102" spans="1:17" x14ac:dyDescent="0.3">
      <c r="A102" s="110">
        <f t="shared" si="2"/>
        <v>1</v>
      </c>
      <c r="B102" s="112">
        <f>ROW()-ROW(TabConsolidation[[#Headers],[N]])</f>
        <v>85</v>
      </c>
      <c r="C102" s="34"/>
      <c r="D102" s="35"/>
      <c r="E102" s="36" t="s">
        <v>116</v>
      </c>
      <c r="F102" s="38"/>
      <c r="G102" s="38"/>
      <c r="H102" s="50"/>
      <c r="I102" s="51" t="s">
        <v>32</v>
      </c>
      <c r="J102" s="55"/>
      <c r="K102" s="53"/>
      <c r="L102" s="57"/>
      <c r="M102" s="37"/>
      <c r="N102" s="37"/>
      <c r="O102" s="39"/>
      <c r="P102" s="3"/>
      <c r="Q102" s="3"/>
    </row>
    <row r="103" spans="1:17" x14ac:dyDescent="0.3">
      <c r="A103" s="110">
        <f t="shared" si="2"/>
        <v>1</v>
      </c>
      <c r="B103" s="112">
        <f>ROW()-ROW(TabConsolidation[[#Headers],[N]])</f>
        <v>86</v>
      </c>
      <c r="C103" s="34"/>
      <c r="D103" s="35"/>
      <c r="E103" s="36" t="s">
        <v>117</v>
      </c>
      <c r="F103" s="38"/>
      <c r="G103" s="38"/>
      <c r="H103" s="50"/>
      <c r="I103" s="51" t="s">
        <v>32</v>
      </c>
      <c r="J103" s="55"/>
      <c r="K103" s="53"/>
      <c r="L103" s="57"/>
      <c r="M103" s="37"/>
      <c r="N103" s="37"/>
      <c r="O103" s="39"/>
      <c r="P103" s="3"/>
      <c r="Q103" s="3"/>
    </row>
    <row r="104" spans="1:17" x14ac:dyDescent="0.3">
      <c r="A104" s="110">
        <f t="shared" si="2"/>
        <v>1</v>
      </c>
      <c r="B104" s="112">
        <f>ROW()-ROW(TabConsolidation[[#Headers],[N]])</f>
        <v>87</v>
      </c>
      <c r="C104" s="34"/>
      <c r="D104" s="35"/>
      <c r="E104" s="36" t="s">
        <v>118</v>
      </c>
      <c r="F104" s="38"/>
      <c r="G104" s="38"/>
      <c r="H104" s="50"/>
      <c r="I104" s="51" t="s">
        <v>32</v>
      </c>
      <c r="J104" s="55"/>
      <c r="K104" s="53"/>
      <c r="L104" s="57"/>
      <c r="M104" s="37"/>
      <c r="N104" s="37"/>
      <c r="O104" s="39"/>
      <c r="P104" s="3"/>
      <c r="Q104" s="3"/>
    </row>
    <row r="105" spans="1:17" x14ac:dyDescent="0.3">
      <c r="A105" s="110">
        <f t="shared" si="2"/>
        <v>1</v>
      </c>
      <c r="B105" s="112">
        <f>ROW()-ROW(TabConsolidation[[#Headers],[N]])</f>
        <v>88</v>
      </c>
      <c r="C105" s="34"/>
      <c r="D105" s="35"/>
      <c r="E105" s="36" t="s">
        <v>119</v>
      </c>
      <c r="F105" s="38"/>
      <c r="G105" s="38"/>
      <c r="H105" s="50"/>
      <c r="I105" s="51" t="s">
        <v>32</v>
      </c>
      <c r="J105" s="55"/>
      <c r="K105" s="53"/>
      <c r="L105" s="57"/>
      <c r="M105" s="37"/>
      <c r="N105" s="37"/>
      <c r="O105" s="39"/>
      <c r="P105" s="3"/>
      <c r="Q105" s="3"/>
    </row>
    <row r="106" spans="1:17" x14ac:dyDescent="0.3">
      <c r="A106" s="110">
        <f t="shared" si="2"/>
        <v>1</v>
      </c>
      <c r="B106" s="112">
        <f>ROW()-ROW(TabConsolidation[[#Headers],[N]])</f>
        <v>89</v>
      </c>
      <c r="C106" s="34"/>
      <c r="D106" s="35"/>
      <c r="E106" s="36" t="s">
        <v>120</v>
      </c>
      <c r="F106" s="38"/>
      <c r="G106" s="38"/>
      <c r="H106" s="50"/>
      <c r="I106" s="51" t="s">
        <v>32</v>
      </c>
      <c r="J106" s="55"/>
      <c r="K106" s="53"/>
      <c r="L106" s="57"/>
      <c r="M106" s="37"/>
      <c r="N106" s="37"/>
      <c r="O106" s="39"/>
      <c r="P106" s="3"/>
      <c r="Q106" s="3"/>
    </row>
    <row r="107" spans="1:17" x14ac:dyDescent="0.3">
      <c r="A107" s="110">
        <f t="shared" si="2"/>
        <v>1</v>
      </c>
      <c r="B107" s="112">
        <f>ROW()-ROW(TabConsolidation[[#Headers],[N]])</f>
        <v>90</v>
      </c>
      <c r="C107" s="34"/>
      <c r="D107" s="35"/>
      <c r="E107" s="36" t="s">
        <v>121</v>
      </c>
      <c r="F107" s="38"/>
      <c r="G107" s="38"/>
      <c r="H107" s="50"/>
      <c r="I107" s="51" t="s">
        <v>32</v>
      </c>
      <c r="J107" s="55"/>
      <c r="K107" s="53"/>
      <c r="L107" s="57"/>
      <c r="M107" s="37"/>
      <c r="N107" s="37"/>
      <c r="O107" s="39"/>
      <c r="P107" s="3"/>
      <c r="Q107" s="3"/>
    </row>
    <row r="108" spans="1:17" x14ac:dyDescent="0.3">
      <c r="A108" s="110">
        <f t="shared" si="2"/>
        <v>1</v>
      </c>
      <c r="B108" s="112">
        <f>ROW()-ROW(TabConsolidation[[#Headers],[N]])</f>
        <v>91</v>
      </c>
      <c r="C108" s="34"/>
      <c r="D108" s="35"/>
      <c r="E108" s="36" t="s">
        <v>122</v>
      </c>
      <c r="F108" s="38"/>
      <c r="G108" s="38"/>
      <c r="H108" s="50"/>
      <c r="I108" s="51" t="s">
        <v>32</v>
      </c>
      <c r="J108" s="55"/>
      <c r="K108" s="53"/>
      <c r="L108" s="57"/>
      <c r="M108" s="37"/>
      <c r="N108" s="37"/>
      <c r="O108" s="39"/>
      <c r="P108" s="3"/>
      <c r="Q108" s="3"/>
    </row>
    <row r="109" spans="1:17" x14ac:dyDescent="0.3">
      <c r="A109" s="110">
        <f t="shared" si="2"/>
        <v>1</v>
      </c>
      <c r="B109" s="112">
        <f>ROW()-ROW(TabConsolidation[[#Headers],[N]])</f>
        <v>92</v>
      </c>
      <c r="C109" s="34"/>
      <c r="D109" s="35"/>
      <c r="E109" s="36" t="s">
        <v>95</v>
      </c>
      <c r="F109" s="38"/>
      <c r="G109" s="38"/>
      <c r="H109" s="50"/>
      <c r="I109" s="51" t="s">
        <v>32</v>
      </c>
      <c r="J109" s="55"/>
      <c r="K109" s="53"/>
      <c r="L109" s="57"/>
      <c r="M109" s="37"/>
      <c r="N109" s="37"/>
      <c r="O109" s="39"/>
      <c r="P109" s="3"/>
      <c r="Q109" s="3"/>
    </row>
    <row r="110" spans="1:17" x14ac:dyDescent="0.3">
      <c r="A110" s="110">
        <f t="shared" si="2"/>
        <v>1</v>
      </c>
      <c r="B110" s="112">
        <f>ROW()-ROW(TabConsolidation[[#Headers],[N]])</f>
        <v>93</v>
      </c>
      <c r="C110" s="34"/>
      <c r="D110" s="35"/>
      <c r="E110" s="36" t="s">
        <v>123</v>
      </c>
      <c r="F110" s="38"/>
      <c r="G110" s="38"/>
      <c r="H110" s="50"/>
      <c r="I110" s="51" t="s">
        <v>32</v>
      </c>
      <c r="J110" s="55"/>
      <c r="K110" s="53"/>
      <c r="L110" s="57"/>
      <c r="M110" s="37"/>
      <c r="N110" s="37"/>
      <c r="O110" s="39"/>
      <c r="P110" s="3"/>
      <c r="Q110" s="3"/>
    </row>
    <row r="111" spans="1:17" x14ac:dyDescent="0.3">
      <c r="A111" s="110">
        <f t="shared" si="2"/>
        <v>1</v>
      </c>
      <c r="B111" s="112">
        <f>ROW()-ROW(TabConsolidation[[#Headers],[N]])</f>
        <v>94</v>
      </c>
      <c r="C111" s="34"/>
      <c r="D111" s="35"/>
      <c r="E111" s="36" t="s">
        <v>30</v>
      </c>
      <c r="F111" s="38"/>
      <c r="G111" s="38"/>
      <c r="H111" s="50"/>
      <c r="I111" s="51" t="s">
        <v>32</v>
      </c>
      <c r="J111" s="55"/>
      <c r="K111" s="53"/>
      <c r="L111" s="57"/>
      <c r="M111" s="37"/>
      <c r="N111" s="37"/>
      <c r="O111" s="39"/>
      <c r="P111" s="3"/>
      <c r="Q111" s="3"/>
    </row>
    <row r="112" spans="1:17" x14ac:dyDescent="0.3">
      <c r="A112" s="110">
        <f t="shared" si="2"/>
        <v>1</v>
      </c>
      <c r="B112" s="112">
        <f>ROW()-ROW(TabConsolidation[[#Headers],[N]])</f>
        <v>95</v>
      </c>
      <c r="C112" s="34"/>
      <c r="D112" s="35"/>
      <c r="E112" s="36" t="s">
        <v>124</v>
      </c>
      <c r="F112" s="38"/>
      <c r="G112" s="38"/>
      <c r="H112" s="50"/>
      <c r="I112" s="51" t="s">
        <v>32</v>
      </c>
      <c r="J112" s="55"/>
      <c r="K112" s="53"/>
      <c r="L112" s="57"/>
      <c r="M112" s="37"/>
      <c r="N112" s="37"/>
      <c r="O112" s="39"/>
      <c r="P112" s="3"/>
      <c r="Q112" s="3"/>
    </row>
    <row r="113" spans="1:17" x14ac:dyDescent="0.3">
      <c r="A113" s="110">
        <f t="shared" si="2"/>
        <v>1</v>
      </c>
      <c r="B113" s="112">
        <f>ROW()-ROW(TabConsolidation[[#Headers],[N]])</f>
        <v>96</v>
      </c>
      <c r="C113" s="34"/>
      <c r="D113" s="35"/>
      <c r="E113" s="36" t="s">
        <v>125</v>
      </c>
      <c r="F113" s="38"/>
      <c r="G113" s="38"/>
      <c r="H113" s="50"/>
      <c r="I113" s="51" t="s">
        <v>32</v>
      </c>
      <c r="J113" s="55"/>
      <c r="K113" s="53"/>
      <c r="L113" s="57"/>
      <c r="M113" s="37"/>
      <c r="N113" s="37"/>
      <c r="O113" s="39"/>
      <c r="P113" s="3"/>
      <c r="Q113" s="3"/>
    </row>
    <row r="114" spans="1:17" x14ac:dyDescent="0.3">
      <c r="A114" s="110">
        <f t="shared" ref="A114:A145" si="3">IF(COUNTA(H114,I114,L114), 1,0)</f>
        <v>1</v>
      </c>
      <c r="B114" s="112">
        <f>ROW()-ROW(TabConsolidation[[#Headers],[N]])</f>
        <v>97</v>
      </c>
      <c r="C114" s="34"/>
      <c r="D114" s="35"/>
      <c r="E114" s="36" t="s">
        <v>126</v>
      </c>
      <c r="F114" s="38"/>
      <c r="G114" s="38"/>
      <c r="H114" s="50"/>
      <c r="I114" s="51" t="s">
        <v>32</v>
      </c>
      <c r="J114" s="55"/>
      <c r="K114" s="53"/>
      <c r="L114" s="57"/>
      <c r="M114" s="37"/>
      <c r="N114" s="37"/>
      <c r="O114" s="39"/>
      <c r="P114" s="3"/>
      <c r="Q114" s="3"/>
    </row>
    <row r="115" spans="1:17" x14ac:dyDescent="0.3">
      <c r="A115" s="110">
        <f t="shared" si="3"/>
        <v>1</v>
      </c>
      <c r="B115" s="112">
        <f>ROW()-ROW(TabConsolidation[[#Headers],[N]])</f>
        <v>98</v>
      </c>
      <c r="C115" s="34"/>
      <c r="D115" s="35"/>
      <c r="E115" s="36" t="s">
        <v>127</v>
      </c>
      <c r="F115" s="38"/>
      <c r="G115" s="38"/>
      <c r="H115" s="50"/>
      <c r="I115" s="51" t="s">
        <v>32</v>
      </c>
      <c r="J115" s="55"/>
      <c r="K115" s="53"/>
      <c r="L115" s="57"/>
      <c r="M115" s="37"/>
      <c r="N115" s="37"/>
      <c r="O115" s="39"/>
      <c r="P115" s="3"/>
      <c r="Q115" s="3"/>
    </row>
    <row r="116" spans="1:17" x14ac:dyDescent="0.3">
      <c r="A116" s="110">
        <f t="shared" si="3"/>
        <v>1</v>
      </c>
      <c r="B116" s="112">
        <f>ROW()-ROW(TabConsolidation[[#Headers],[N]])</f>
        <v>99</v>
      </c>
      <c r="C116" s="34"/>
      <c r="D116" s="35"/>
      <c r="E116" s="36" t="s">
        <v>128</v>
      </c>
      <c r="F116" s="38"/>
      <c r="G116" s="38"/>
      <c r="H116" s="50"/>
      <c r="I116" s="51" t="s">
        <v>32</v>
      </c>
      <c r="J116" s="55"/>
      <c r="K116" s="53"/>
      <c r="L116" s="57"/>
      <c r="M116" s="37"/>
      <c r="N116" s="37"/>
      <c r="O116" s="39"/>
      <c r="P116" s="3"/>
      <c r="Q116" s="3"/>
    </row>
    <row r="117" spans="1:17" x14ac:dyDescent="0.3">
      <c r="A117" s="110">
        <f t="shared" si="3"/>
        <v>1</v>
      </c>
      <c r="B117" s="112">
        <f>ROW()-ROW(TabConsolidation[[#Headers],[N]])</f>
        <v>100</v>
      </c>
      <c r="C117" s="34"/>
      <c r="D117" s="35"/>
      <c r="E117" s="36" t="s">
        <v>129</v>
      </c>
      <c r="F117" s="38"/>
      <c r="G117" s="38"/>
      <c r="H117" s="50"/>
      <c r="I117" s="51" t="s">
        <v>32</v>
      </c>
      <c r="J117" s="55"/>
      <c r="K117" s="53"/>
      <c r="L117" s="57"/>
      <c r="M117" s="37"/>
      <c r="N117" s="37"/>
      <c r="O117" s="39"/>
      <c r="P117" s="3"/>
      <c r="Q117" s="3"/>
    </row>
    <row r="118" spans="1:17" x14ac:dyDescent="0.3">
      <c r="A118" s="110">
        <f t="shared" si="3"/>
        <v>1</v>
      </c>
      <c r="B118" s="112">
        <f>ROW()-ROW(TabConsolidation[[#Headers],[N]])</f>
        <v>101</v>
      </c>
      <c r="C118" s="34"/>
      <c r="D118" s="35"/>
      <c r="E118" s="36" t="s">
        <v>23</v>
      </c>
      <c r="F118" s="38"/>
      <c r="G118" s="38"/>
      <c r="H118" s="50"/>
      <c r="I118" s="51" t="s">
        <v>32</v>
      </c>
      <c r="J118" s="55"/>
      <c r="K118" s="53"/>
      <c r="L118" s="57"/>
      <c r="M118" s="37"/>
      <c r="N118" s="37"/>
      <c r="O118" s="39"/>
      <c r="P118" s="3"/>
      <c r="Q118" s="3"/>
    </row>
    <row r="119" spans="1:17" x14ac:dyDescent="0.3">
      <c r="A119" s="110">
        <f t="shared" si="3"/>
        <v>1</v>
      </c>
      <c r="B119" s="112">
        <f>ROW()-ROW(TabConsolidation[[#Headers],[N]])</f>
        <v>102</v>
      </c>
      <c r="C119" s="34"/>
      <c r="D119" s="35"/>
      <c r="E119" s="36" t="s">
        <v>24</v>
      </c>
      <c r="F119" s="38"/>
      <c r="G119" s="38"/>
      <c r="H119" s="50"/>
      <c r="I119" s="51" t="s">
        <v>32</v>
      </c>
      <c r="J119" s="55"/>
      <c r="K119" s="53"/>
      <c r="L119" s="57"/>
      <c r="M119" s="37"/>
      <c r="N119" s="37"/>
      <c r="O119" s="39"/>
      <c r="P119" s="3"/>
      <c r="Q119" s="3"/>
    </row>
    <row r="120" spans="1:17" x14ac:dyDescent="0.3">
      <c r="A120" s="110">
        <f t="shared" si="3"/>
        <v>1</v>
      </c>
      <c r="B120" s="112">
        <f>ROW()-ROW(TabConsolidation[[#Headers],[N]])</f>
        <v>103</v>
      </c>
      <c r="C120" s="34"/>
      <c r="D120" s="35"/>
      <c r="E120" s="36" t="s">
        <v>130</v>
      </c>
      <c r="F120" s="38"/>
      <c r="G120" s="38"/>
      <c r="H120" s="50"/>
      <c r="I120" s="51" t="s">
        <v>32</v>
      </c>
      <c r="J120" s="55"/>
      <c r="K120" s="53"/>
      <c r="L120" s="57"/>
      <c r="M120" s="37"/>
      <c r="N120" s="37"/>
      <c r="O120" s="39"/>
      <c r="P120" s="3"/>
      <c r="Q120" s="3"/>
    </row>
    <row r="121" spans="1:17" x14ac:dyDescent="0.3">
      <c r="A121" s="110">
        <f t="shared" si="3"/>
        <v>1</v>
      </c>
      <c r="B121" s="112">
        <f>ROW()-ROW(TabConsolidation[[#Headers],[N]])</f>
        <v>104</v>
      </c>
      <c r="C121" s="34"/>
      <c r="D121" s="35"/>
      <c r="E121" s="36" t="s">
        <v>131</v>
      </c>
      <c r="F121" s="38"/>
      <c r="G121" s="38"/>
      <c r="H121" s="50"/>
      <c r="I121" s="51" t="s">
        <v>32</v>
      </c>
      <c r="J121" s="55"/>
      <c r="K121" s="53"/>
      <c r="L121" s="57"/>
      <c r="M121" s="37"/>
      <c r="N121" s="37"/>
      <c r="O121" s="39"/>
      <c r="P121" s="3"/>
      <c r="Q121" s="3"/>
    </row>
    <row r="122" spans="1:17" x14ac:dyDescent="0.3">
      <c r="A122" s="110">
        <f t="shared" si="3"/>
        <v>1</v>
      </c>
      <c r="B122" s="112">
        <f>ROW()-ROW(TabConsolidation[[#Headers],[N]])</f>
        <v>105</v>
      </c>
      <c r="C122" s="34"/>
      <c r="D122" s="35"/>
      <c r="E122" s="36" t="s">
        <v>132</v>
      </c>
      <c r="F122" s="38"/>
      <c r="G122" s="38"/>
      <c r="H122" s="50"/>
      <c r="I122" s="51" t="s">
        <v>32</v>
      </c>
      <c r="J122" s="55"/>
      <c r="K122" s="53"/>
      <c r="L122" s="57"/>
      <c r="M122" s="37"/>
      <c r="N122" s="37"/>
      <c r="O122" s="39"/>
      <c r="P122" s="3"/>
      <c r="Q122" s="3"/>
    </row>
    <row r="123" spans="1:17" x14ac:dyDescent="0.3">
      <c r="A123" s="110">
        <f t="shared" si="3"/>
        <v>1</v>
      </c>
      <c r="B123" s="112">
        <f>ROW()-ROW(TabConsolidation[[#Headers],[N]])</f>
        <v>106</v>
      </c>
      <c r="C123" s="34"/>
      <c r="D123" s="35"/>
      <c r="E123" s="36" t="s">
        <v>133</v>
      </c>
      <c r="F123" s="38"/>
      <c r="G123" s="38"/>
      <c r="H123" s="50"/>
      <c r="I123" s="51" t="s">
        <v>32</v>
      </c>
      <c r="J123" s="55"/>
      <c r="K123" s="53"/>
      <c r="L123" s="57"/>
      <c r="M123" s="37"/>
      <c r="N123" s="37"/>
      <c r="O123" s="39"/>
      <c r="P123" s="3"/>
      <c r="Q123" s="3"/>
    </row>
    <row r="124" spans="1:17" x14ac:dyDescent="0.3">
      <c r="A124" s="110">
        <f t="shared" si="3"/>
        <v>1</v>
      </c>
      <c r="B124" s="112">
        <f>ROW()-ROW(TabConsolidation[[#Headers],[N]])</f>
        <v>107</v>
      </c>
      <c r="C124" s="34"/>
      <c r="D124" s="35"/>
      <c r="E124" s="36" t="s">
        <v>28</v>
      </c>
      <c r="F124" s="38"/>
      <c r="G124" s="38"/>
      <c r="H124" s="50"/>
      <c r="I124" s="51" t="s">
        <v>32</v>
      </c>
      <c r="J124" s="55"/>
      <c r="K124" s="53"/>
      <c r="L124" s="57"/>
      <c r="M124" s="37"/>
      <c r="N124" s="37"/>
      <c r="O124" s="39"/>
      <c r="P124" s="3"/>
      <c r="Q124" s="3"/>
    </row>
    <row r="125" spans="1:17" x14ac:dyDescent="0.3">
      <c r="A125" s="110">
        <f t="shared" si="3"/>
        <v>1</v>
      </c>
      <c r="B125" s="112">
        <f>ROW()-ROW(TabConsolidation[[#Headers],[N]])</f>
        <v>108</v>
      </c>
      <c r="C125" s="34"/>
      <c r="D125" s="35"/>
      <c r="E125" s="36" t="s">
        <v>134</v>
      </c>
      <c r="F125" s="38"/>
      <c r="G125" s="38"/>
      <c r="H125" s="50"/>
      <c r="I125" s="51" t="s">
        <v>32</v>
      </c>
      <c r="J125" s="55"/>
      <c r="K125" s="53"/>
      <c r="L125" s="57"/>
      <c r="M125" s="37"/>
      <c r="N125" s="37"/>
      <c r="O125" s="39"/>
      <c r="P125" s="3"/>
      <c r="Q125" s="3"/>
    </row>
    <row r="126" spans="1:17" x14ac:dyDescent="0.3">
      <c r="A126" s="110">
        <f t="shared" si="3"/>
        <v>1</v>
      </c>
      <c r="B126" s="112">
        <f>ROW()-ROW(TabConsolidation[[#Headers],[N]])</f>
        <v>109</v>
      </c>
      <c r="C126" s="34"/>
      <c r="D126" s="35"/>
      <c r="E126" s="36" t="s">
        <v>135</v>
      </c>
      <c r="F126" s="38"/>
      <c r="G126" s="38"/>
      <c r="H126" s="50"/>
      <c r="I126" s="51" t="s">
        <v>32</v>
      </c>
      <c r="J126" s="55"/>
      <c r="K126" s="53"/>
      <c r="L126" s="57"/>
      <c r="M126" s="37"/>
      <c r="N126" s="37"/>
      <c r="O126" s="39"/>
      <c r="P126" s="3"/>
      <c r="Q126" s="3"/>
    </row>
    <row r="127" spans="1:17" x14ac:dyDescent="0.3">
      <c r="A127" s="110">
        <f t="shared" si="3"/>
        <v>1</v>
      </c>
      <c r="B127" s="112">
        <f>ROW()-ROW(TabConsolidation[[#Headers],[N]])</f>
        <v>110</v>
      </c>
      <c r="C127" s="34"/>
      <c r="D127" s="35"/>
      <c r="E127" s="36" t="s">
        <v>115</v>
      </c>
      <c r="F127" s="38"/>
      <c r="G127" s="38"/>
      <c r="H127" s="50"/>
      <c r="I127" s="51" t="s">
        <v>32</v>
      </c>
      <c r="J127" s="55"/>
      <c r="K127" s="53"/>
      <c r="L127" s="57"/>
      <c r="M127" s="37"/>
      <c r="N127" s="37"/>
      <c r="O127" s="39"/>
      <c r="P127" s="3"/>
      <c r="Q127" s="3"/>
    </row>
    <row r="128" spans="1:17" x14ac:dyDescent="0.3">
      <c r="A128" s="110">
        <f t="shared" si="3"/>
        <v>1</v>
      </c>
      <c r="B128" s="112">
        <f>ROW()-ROW(TabConsolidation[[#Headers],[N]])</f>
        <v>111</v>
      </c>
      <c r="C128" s="34"/>
      <c r="D128" s="35"/>
      <c r="E128" s="36" t="s">
        <v>136</v>
      </c>
      <c r="F128" s="38"/>
      <c r="G128" s="38"/>
      <c r="H128" s="50"/>
      <c r="I128" s="51" t="s">
        <v>32</v>
      </c>
      <c r="J128" s="55"/>
      <c r="K128" s="53"/>
      <c r="L128" s="57"/>
      <c r="M128" s="37"/>
      <c r="N128" s="37"/>
      <c r="O128" s="39"/>
      <c r="P128" s="3"/>
      <c r="Q128" s="3"/>
    </row>
    <row r="129" spans="1:17" x14ac:dyDescent="0.3">
      <c r="A129" s="110">
        <f t="shared" si="3"/>
        <v>1</v>
      </c>
      <c r="B129" s="112">
        <f>ROW()-ROW(TabConsolidation[[#Headers],[N]])</f>
        <v>112</v>
      </c>
      <c r="C129" s="34"/>
      <c r="D129" s="35"/>
      <c r="E129" s="36" t="s">
        <v>137</v>
      </c>
      <c r="F129" s="38"/>
      <c r="G129" s="38"/>
      <c r="H129" s="50"/>
      <c r="I129" s="51" t="s">
        <v>32</v>
      </c>
      <c r="J129" s="55"/>
      <c r="K129" s="53"/>
      <c r="L129" s="57"/>
      <c r="M129" s="37"/>
      <c r="N129" s="37"/>
      <c r="O129" s="39"/>
      <c r="P129" s="3"/>
      <c r="Q129" s="3"/>
    </row>
    <row r="130" spans="1:17" x14ac:dyDescent="0.3">
      <c r="A130" s="110">
        <f t="shared" si="3"/>
        <v>1</v>
      </c>
      <c r="B130" s="112">
        <f>ROW()-ROW(TabConsolidation[[#Headers],[N]])</f>
        <v>113</v>
      </c>
      <c r="C130" s="34"/>
      <c r="D130" s="35"/>
      <c r="E130" s="36" t="s">
        <v>138</v>
      </c>
      <c r="F130" s="38"/>
      <c r="G130" s="38"/>
      <c r="H130" s="50"/>
      <c r="I130" s="51" t="s">
        <v>32</v>
      </c>
      <c r="J130" s="55"/>
      <c r="K130" s="53"/>
      <c r="L130" s="57"/>
      <c r="M130" s="37"/>
      <c r="N130" s="37"/>
      <c r="O130" s="39"/>
      <c r="P130" s="3"/>
      <c r="Q130" s="3"/>
    </row>
    <row r="131" spans="1:17" x14ac:dyDescent="0.3">
      <c r="A131" s="110">
        <f t="shared" si="3"/>
        <v>1</v>
      </c>
      <c r="B131" s="112">
        <f>ROW()-ROW(TabConsolidation[[#Headers],[N]])</f>
        <v>114</v>
      </c>
      <c r="C131" s="34"/>
      <c r="D131" s="35"/>
      <c r="E131" s="36" t="s">
        <v>139</v>
      </c>
      <c r="F131" s="38"/>
      <c r="G131" s="38"/>
      <c r="H131" s="50"/>
      <c r="I131" s="51" t="s">
        <v>32</v>
      </c>
      <c r="J131" s="55"/>
      <c r="K131" s="53"/>
      <c r="L131" s="57"/>
      <c r="M131" s="37"/>
      <c r="N131" s="37"/>
      <c r="O131" s="39"/>
      <c r="P131" s="3"/>
      <c r="Q131" s="3"/>
    </row>
    <row r="132" spans="1:17" x14ac:dyDescent="0.3">
      <c r="A132" s="110">
        <f t="shared" si="3"/>
        <v>1</v>
      </c>
      <c r="B132" s="112">
        <f>ROW()-ROW(TabConsolidation[[#Headers],[N]])</f>
        <v>115</v>
      </c>
      <c r="C132" s="34"/>
      <c r="D132" s="35"/>
      <c r="E132" s="36" t="s">
        <v>140</v>
      </c>
      <c r="F132" s="38"/>
      <c r="G132" s="38"/>
      <c r="H132" s="50"/>
      <c r="I132" s="51" t="s">
        <v>32</v>
      </c>
      <c r="J132" s="55"/>
      <c r="K132" s="53"/>
      <c r="L132" s="57"/>
      <c r="M132" s="37"/>
      <c r="N132" s="37"/>
      <c r="O132" s="39"/>
      <c r="P132" s="3"/>
      <c r="Q132" s="3"/>
    </row>
    <row r="133" spans="1:17" x14ac:dyDescent="0.3">
      <c r="A133" s="110">
        <f t="shared" si="3"/>
        <v>1</v>
      </c>
      <c r="B133" s="112">
        <f>ROW()-ROW(TabConsolidation[[#Headers],[N]])</f>
        <v>116</v>
      </c>
      <c r="C133" s="34"/>
      <c r="D133" s="35"/>
      <c r="E133" s="36" t="s">
        <v>21</v>
      </c>
      <c r="F133" s="38"/>
      <c r="G133" s="38"/>
      <c r="H133" s="50"/>
      <c r="I133" s="51" t="s">
        <v>32</v>
      </c>
      <c r="J133" s="55"/>
      <c r="K133" s="53"/>
      <c r="L133" s="57"/>
      <c r="M133" s="37"/>
      <c r="N133" s="37"/>
      <c r="O133" s="39"/>
      <c r="P133" s="3"/>
      <c r="Q133" s="3"/>
    </row>
    <row r="134" spans="1:17" x14ac:dyDescent="0.3">
      <c r="A134" s="110">
        <f t="shared" si="3"/>
        <v>1</v>
      </c>
      <c r="B134" s="112">
        <f>ROW()-ROW(TabConsolidation[[#Headers],[N]])</f>
        <v>117</v>
      </c>
      <c r="C134" s="34"/>
      <c r="D134" s="35"/>
      <c r="E134" s="36" t="s">
        <v>141</v>
      </c>
      <c r="F134" s="38"/>
      <c r="G134" s="38"/>
      <c r="H134" s="50"/>
      <c r="I134" s="51" t="s">
        <v>32</v>
      </c>
      <c r="J134" s="55"/>
      <c r="K134" s="53"/>
      <c r="L134" s="57"/>
      <c r="M134" s="37"/>
      <c r="N134" s="37"/>
      <c r="O134" s="39"/>
      <c r="P134" s="3"/>
      <c r="Q134" s="3"/>
    </row>
    <row r="135" spans="1:17" x14ac:dyDescent="0.3">
      <c r="A135" s="110">
        <f t="shared" si="3"/>
        <v>1</v>
      </c>
      <c r="B135" s="112">
        <f>ROW()-ROW(TabConsolidation[[#Headers],[N]])</f>
        <v>118</v>
      </c>
      <c r="C135" s="34"/>
      <c r="D135" s="35"/>
      <c r="E135" s="36" t="s">
        <v>142</v>
      </c>
      <c r="F135" s="38"/>
      <c r="G135" s="38"/>
      <c r="H135" s="50"/>
      <c r="I135" s="51" t="s">
        <v>32</v>
      </c>
      <c r="J135" s="55"/>
      <c r="K135" s="53"/>
      <c r="L135" s="57"/>
      <c r="M135" s="37"/>
      <c r="N135" s="37"/>
      <c r="O135" s="39"/>
      <c r="P135" s="3"/>
      <c r="Q135" s="3"/>
    </row>
    <row r="136" spans="1:17" x14ac:dyDescent="0.3">
      <c r="A136" s="110">
        <f t="shared" si="3"/>
        <v>1</v>
      </c>
      <c r="B136" s="112">
        <f>ROW()-ROW(TabConsolidation[[#Headers],[N]])</f>
        <v>119</v>
      </c>
      <c r="C136" s="34"/>
      <c r="D136" s="35"/>
      <c r="E136" s="36" t="s">
        <v>143</v>
      </c>
      <c r="F136" s="38"/>
      <c r="G136" s="38"/>
      <c r="H136" s="50"/>
      <c r="I136" s="51" t="s">
        <v>32</v>
      </c>
      <c r="J136" s="55"/>
      <c r="K136" s="53"/>
      <c r="L136" s="57"/>
      <c r="M136" s="37"/>
      <c r="N136" s="37"/>
      <c r="O136" s="39"/>
      <c r="P136" s="3"/>
      <c r="Q136" s="3"/>
    </row>
    <row r="137" spans="1:17" x14ac:dyDescent="0.3">
      <c r="A137" s="110">
        <f t="shared" si="3"/>
        <v>1</v>
      </c>
      <c r="B137" s="112">
        <f>ROW()-ROW(TabConsolidation[[#Headers],[N]])</f>
        <v>120</v>
      </c>
      <c r="C137" s="97" t="s">
        <v>144</v>
      </c>
      <c r="D137" s="98" t="s">
        <v>73</v>
      </c>
      <c r="E137" s="99" t="s">
        <v>27</v>
      </c>
      <c r="F137" s="49"/>
      <c r="G137" s="38"/>
      <c r="H137" s="50"/>
      <c r="I137" s="51" t="s">
        <v>32</v>
      </c>
      <c r="J137" s="55"/>
      <c r="K137" s="53"/>
      <c r="L137" s="57"/>
      <c r="M137" s="37"/>
      <c r="N137" s="37"/>
      <c r="O137" s="39"/>
      <c r="P137" s="3"/>
      <c r="Q137" s="3"/>
    </row>
    <row r="138" spans="1:17" x14ac:dyDescent="0.3">
      <c r="A138" s="110">
        <f t="shared" si="3"/>
        <v>1</v>
      </c>
      <c r="B138" s="112">
        <f>ROW()-ROW(TabConsolidation[[#Headers],[N]])</f>
        <v>121</v>
      </c>
      <c r="C138" s="34"/>
      <c r="D138" s="35"/>
      <c r="E138" s="36" t="s">
        <v>145</v>
      </c>
      <c r="F138" s="38"/>
      <c r="G138" s="38"/>
      <c r="H138" s="50"/>
      <c r="I138" s="51" t="s">
        <v>32</v>
      </c>
      <c r="J138" s="55"/>
      <c r="K138" s="53"/>
      <c r="L138" s="57"/>
      <c r="M138" s="37"/>
      <c r="N138" s="37"/>
      <c r="O138" s="39"/>
      <c r="P138" s="3"/>
      <c r="Q138" s="3"/>
    </row>
    <row r="139" spans="1:17" x14ac:dyDescent="0.3">
      <c r="A139" s="110">
        <f t="shared" si="3"/>
        <v>1</v>
      </c>
      <c r="B139" s="112">
        <f>ROW()-ROW(TabConsolidation[[#Headers],[N]])</f>
        <v>122</v>
      </c>
      <c r="C139" s="34"/>
      <c r="D139" s="35"/>
      <c r="E139" s="36" t="s">
        <v>146</v>
      </c>
      <c r="F139" s="38"/>
      <c r="G139" s="38"/>
      <c r="H139" s="50"/>
      <c r="I139" s="51" t="s">
        <v>32</v>
      </c>
      <c r="J139" s="55"/>
      <c r="K139" s="53"/>
      <c r="L139" s="57"/>
      <c r="M139" s="37"/>
      <c r="N139" s="37"/>
      <c r="O139" s="39"/>
      <c r="P139" s="3"/>
      <c r="Q139" s="3"/>
    </row>
    <row r="140" spans="1:17" x14ac:dyDescent="0.3">
      <c r="A140" s="110">
        <f t="shared" si="3"/>
        <v>1</v>
      </c>
      <c r="B140" s="112">
        <f>ROW()-ROW(TabConsolidation[[#Headers],[N]])</f>
        <v>123</v>
      </c>
      <c r="C140" s="34"/>
      <c r="D140" s="35"/>
      <c r="E140" s="36" t="s">
        <v>147</v>
      </c>
      <c r="F140" s="38"/>
      <c r="G140" s="38"/>
      <c r="H140" s="50"/>
      <c r="I140" s="51" t="s">
        <v>32</v>
      </c>
      <c r="J140" s="55"/>
      <c r="K140" s="53"/>
      <c r="L140" s="57"/>
      <c r="M140" s="37"/>
      <c r="N140" s="37"/>
      <c r="O140" s="39"/>
      <c r="P140" s="3"/>
      <c r="Q140" s="3"/>
    </row>
    <row r="141" spans="1:17" x14ac:dyDescent="0.3">
      <c r="A141" s="110">
        <f t="shared" si="3"/>
        <v>1</v>
      </c>
      <c r="B141" s="112">
        <f>ROW()-ROW(TabConsolidation[[#Headers],[N]])</f>
        <v>124</v>
      </c>
      <c r="C141" s="34"/>
      <c r="D141" s="35"/>
      <c r="E141" s="36" t="s">
        <v>148</v>
      </c>
      <c r="F141" s="38"/>
      <c r="G141" s="38"/>
      <c r="H141" s="50"/>
      <c r="I141" s="51" t="s">
        <v>32</v>
      </c>
      <c r="J141" s="55"/>
      <c r="K141" s="53"/>
      <c r="L141" s="57"/>
      <c r="M141" s="37"/>
      <c r="N141" s="37"/>
      <c r="O141" s="39"/>
      <c r="P141" s="3"/>
      <c r="Q141" s="3"/>
    </row>
    <row r="142" spans="1:17" x14ac:dyDescent="0.3">
      <c r="A142" s="110">
        <f t="shared" si="3"/>
        <v>1</v>
      </c>
      <c r="B142" s="112">
        <f>ROW()-ROW(TabConsolidation[[#Headers],[N]])</f>
        <v>125</v>
      </c>
      <c r="C142" s="34"/>
      <c r="D142" s="35"/>
      <c r="E142" s="36" t="s">
        <v>149</v>
      </c>
      <c r="F142" s="38"/>
      <c r="G142" s="38"/>
      <c r="H142" s="50"/>
      <c r="I142" s="51" t="s">
        <v>32</v>
      </c>
      <c r="J142" s="55"/>
      <c r="K142" s="53"/>
      <c r="L142" s="57"/>
      <c r="M142" s="37"/>
      <c r="N142" s="37"/>
      <c r="O142" s="39"/>
      <c r="P142" s="3"/>
      <c r="Q142" s="3"/>
    </row>
    <row r="143" spans="1:17" x14ac:dyDescent="0.3">
      <c r="A143" s="110">
        <f t="shared" si="3"/>
        <v>1</v>
      </c>
      <c r="B143" s="112">
        <f>ROW()-ROW(TabConsolidation[[#Headers],[N]])</f>
        <v>126</v>
      </c>
      <c r="C143" s="34"/>
      <c r="D143" s="35"/>
      <c r="E143" s="36" t="s">
        <v>150</v>
      </c>
      <c r="F143" s="38"/>
      <c r="G143" s="38"/>
      <c r="H143" s="50"/>
      <c r="I143" s="51" t="s">
        <v>32</v>
      </c>
      <c r="J143" s="55"/>
      <c r="K143" s="53"/>
      <c r="L143" s="57"/>
      <c r="M143" s="37"/>
      <c r="N143" s="37"/>
      <c r="O143" s="39"/>
      <c r="P143" s="3"/>
      <c r="Q143" s="3"/>
    </row>
    <row r="144" spans="1:17" x14ac:dyDescent="0.3">
      <c r="A144" s="110">
        <f t="shared" si="3"/>
        <v>1</v>
      </c>
      <c r="B144" s="112">
        <f>ROW()-ROW(TabConsolidation[[#Headers],[N]])</f>
        <v>127</v>
      </c>
      <c r="C144" s="34"/>
      <c r="D144" s="35"/>
      <c r="E144" s="36" t="s">
        <v>151</v>
      </c>
      <c r="F144" s="38"/>
      <c r="G144" s="38"/>
      <c r="H144" s="50"/>
      <c r="I144" s="51" t="s">
        <v>32</v>
      </c>
      <c r="J144" s="55"/>
      <c r="K144" s="53"/>
      <c r="L144" s="57"/>
      <c r="M144" s="37"/>
      <c r="N144" s="37"/>
      <c r="O144" s="39"/>
      <c r="P144" s="3"/>
      <c r="Q144" s="3"/>
    </row>
    <row r="145" spans="1:17" x14ac:dyDescent="0.3">
      <c r="A145" s="110">
        <f t="shared" si="3"/>
        <v>1</v>
      </c>
      <c r="B145" s="112">
        <f>ROW()-ROW(TabConsolidation[[#Headers],[N]])</f>
        <v>128</v>
      </c>
      <c r="C145" s="34"/>
      <c r="D145" s="35"/>
      <c r="E145" s="36" t="s">
        <v>152</v>
      </c>
      <c r="F145" s="38"/>
      <c r="G145" s="38"/>
      <c r="H145" s="50"/>
      <c r="I145" s="51" t="s">
        <v>32</v>
      </c>
      <c r="J145" s="55"/>
      <c r="K145" s="53"/>
      <c r="L145" s="57"/>
      <c r="M145" s="37"/>
      <c r="N145" s="37"/>
      <c r="O145" s="39"/>
      <c r="P145" s="3"/>
      <c r="Q145" s="3"/>
    </row>
    <row r="146" spans="1:17" x14ac:dyDescent="0.3">
      <c r="A146" s="110">
        <f t="shared" ref="A146:A177" si="4">IF(COUNTA(H146,I146,L146), 1,0)</f>
        <v>1</v>
      </c>
      <c r="B146" s="112">
        <f>ROW()-ROW(TabConsolidation[[#Headers],[N]])</f>
        <v>129</v>
      </c>
      <c r="C146" s="34"/>
      <c r="D146" s="35"/>
      <c r="E146" s="36" t="s">
        <v>153</v>
      </c>
      <c r="F146" s="38"/>
      <c r="G146" s="38"/>
      <c r="H146" s="50"/>
      <c r="I146" s="51" t="s">
        <v>32</v>
      </c>
      <c r="J146" s="55"/>
      <c r="K146" s="53"/>
      <c r="L146" s="57"/>
      <c r="M146" s="37"/>
      <c r="N146" s="37"/>
      <c r="O146" s="39"/>
      <c r="P146" s="3"/>
      <c r="Q146" s="3"/>
    </row>
    <row r="147" spans="1:17" x14ac:dyDescent="0.3">
      <c r="A147" s="110">
        <f t="shared" si="4"/>
        <v>1</v>
      </c>
      <c r="B147" s="112">
        <f>ROW()-ROW(TabConsolidation[[#Headers],[N]])</f>
        <v>130</v>
      </c>
      <c r="C147" s="34"/>
      <c r="D147" s="35"/>
      <c r="E147" s="36" t="s">
        <v>154</v>
      </c>
      <c r="F147" s="38"/>
      <c r="G147" s="38"/>
      <c r="H147" s="50"/>
      <c r="I147" s="51" t="s">
        <v>32</v>
      </c>
      <c r="J147" s="55"/>
      <c r="K147" s="53"/>
      <c r="L147" s="57"/>
      <c r="M147" s="37"/>
      <c r="N147" s="37"/>
      <c r="O147" s="39"/>
      <c r="P147" s="3"/>
      <c r="Q147" s="3"/>
    </row>
    <row r="148" spans="1:17" x14ac:dyDescent="0.3">
      <c r="A148" s="110">
        <f t="shared" si="4"/>
        <v>1</v>
      </c>
      <c r="B148" s="112">
        <f>ROW()-ROW(TabConsolidation[[#Headers],[N]])</f>
        <v>131</v>
      </c>
      <c r="C148" s="34"/>
      <c r="D148" s="35"/>
      <c r="E148" s="36" t="s">
        <v>155</v>
      </c>
      <c r="F148" s="38"/>
      <c r="G148" s="38"/>
      <c r="H148" s="50"/>
      <c r="I148" s="51" t="s">
        <v>32</v>
      </c>
      <c r="J148" s="55"/>
      <c r="K148" s="53"/>
      <c r="L148" s="57"/>
      <c r="M148" s="37"/>
      <c r="N148" s="37"/>
      <c r="O148" s="39"/>
      <c r="P148" s="3"/>
      <c r="Q148" s="3"/>
    </row>
    <row r="149" spans="1:17" x14ac:dyDescent="0.3">
      <c r="A149" s="110">
        <f t="shared" si="4"/>
        <v>1</v>
      </c>
      <c r="B149" s="112">
        <f>ROW()-ROW(TabConsolidation[[#Headers],[N]])</f>
        <v>132</v>
      </c>
      <c r="C149" s="34"/>
      <c r="D149" s="35"/>
      <c r="E149" s="36" t="s">
        <v>156</v>
      </c>
      <c r="F149" s="38"/>
      <c r="G149" s="38"/>
      <c r="H149" s="50"/>
      <c r="I149" s="51" t="s">
        <v>32</v>
      </c>
      <c r="J149" s="55"/>
      <c r="K149" s="53"/>
      <c r="L149" s="57"/>
      <c r="M149" s="37"/>
      <c r="N149" s="37"/>
      <c r="O149" s="39"/>
      <c r="P149" s="3"/>
      <c r="Q149" s="3"/>
    </row>
    <row r="150" spans="1:17" x14ac:dyDescent="0.3">
      <c r="A150" s="110">
        <f t="shared" si="4"/>
        <v>1</v>
      </c>
      <c r="B150" s="112">
        <f>ROW()-ROW(TabConsolidation[[#Headers],[N]])</f>
        <v>133</v>
      </c>
      <c r="C150" s="34"/>
      <c r="D150" s="35"/>
      <c r="E150" s="36" t="s">
        <v>157</v>
      </c>
      <c r="F150" s="38"/>
      <c r="G150" s="38"/>
      <c r="H150" s="50"/>
      <c r="I150" s="51" t="s">
        <v>32</v>
      </c>
      <c r="J150" s="55"/>
      <c r="K150" s="53"/>
      <c r="L150" s="57"/>
      <c r="M150" s="37"/>
      <c r="N150" s="37"/>
      <c r="O150" s="39"/>
      <c r="P150" s="3"/>
      <c r="Q150" s="3"/>
    </row>
    <row r="151" spans="1:17" x14ac:dyDescent="0.3">
      <c r="A151" s="110">
        <f t="shared" si="4"/>
        <v>1</v>
      </c>
      <c r="B151" s="112">
        <f>ROW()-ROW(TabConsolidation[[#Headers],[N]])</f>
        <v>134</v>
      </c>
      <c r="C151" s="34"/>
      <c r="D151" s="35"/>
      <c r="E151" s="36" t="s">
        <v>158</v>
      </c>
      <c r="F151" s="38"/>
      <c r="G151" s="38"/>
      <c r="H151" s="50"/>
      <c r="I151" s="51" t="s">
        <v>32</v>
      </c>
      <c r="J151" s="55"/>
      <c r="K151" s="53"/>
      <c r="L151" s="57"/>
      <c r="M151" s="37"/>
      <c r="N151" s="37"/>
      <c r="O151" s="39"/>
      <c r="P151" s="3"/>
      <c r="Q151" s="3"/>
    </row>
    <row r="152" spans="1:17" x14ac:dyDescent="0.3">
      <c r="A152" s="110">
        <f t="shared" si="4"/>
        <v>1</v>
      </c>
      <c r="B152" s="112">
        <f>ROW()-ROW(TabConsolidation[[#Headers],[N]])</f>
        <v>135</v>
      </c>
      <c r="C152" s="34"/>
      <c r="D152" s="35"/>
      <c r="E152" s="36" t="s">
        <v>159</v>
      </c>
      <c r="F152" s="38"/>
      <c r="G152" s="38"/>
      <c r="H152" s="50"/>
      <c r="I152" s="51" t="s">
        <v>32</v>
      </c>
      <c r="J152" s="55"/>
      <c r="K152" s="53"/>
      <c r="L152" s="57"/>
      <c r="M152" s="37"/>
      <c r="N152" s="37"/>
      <c r="O152" s="39"/>
      <c r="P152" s="3"/>
      <c r="Q152" s="3"/>
    </row>
    <row r="153" spans="1:17" x14ac:dyDescent="0.3">
      <c r="A153" s="110">
        <f t="shared" si="4"/>
        <v>1</v>
      </c>
      <c r="B153" s="112">
        <f>ROW()-ROW(TabConsolidation[[#Headers],[N]])</f>
        <v>136</v>
      </c>
      <c r="C153" s="34"/>
      <c r="D153" s="35"/>
      <c r="E153" s="36" t="s">
        <v>160</v>
      </c>
      <c r="F153" s="38"/>
      <c r="G153" s="38"/>
      <c r="H153" s="50"/>
      <c r="I153" s="51" t="s">
        <v>32</v>
      </c>
      <c r="J153" s="55"/>
      <c r="K153" s="53"/>
      <c r="L153" s="57"/>
      <c r="M153" s="37"/>
      <c r="N153" s="37"/>
      <c r="O153" s="39"/>
      <c r="P153" s="3"/>
      <c r="Q153" s="3"/>
    </row>
    <row r="154" spans="1:17" x14ac:dyDescent="0.3">
      <c r="A154" s="110">
        <f t="shared" si="4"/>
        <v>1</v>
      </c>
      <c r="B154" s="112">
        <f>ROW()-ROW(TabConsolidation[[#Headers],[N]])</f>
        <v>137</v>
      </c>
      <c r="C154" s="34"/>
      <c r="D154" s="35"/>
      <c r="E154" s="36" t="s">
        <v>30</v>
      </c>
      <c r="F154" s="38"/>
      <c r="G154" s="38"/>
      <c r="H154" s="50"/>
      <c r="I154" s="51" t="s">
        <v>32</v>
      </c>
      <c r="J154" s="55"/>
      <c r="K154" s="53"/>
      <c r="L154" s="57"/>
      <c r="M154" s="37"/>
      <c r="N154" s="37"/>
      <c r="O154" s="39"/>
      <c r="P154" s="3"/>
      <c r="Q154" s="3"/>
    </row>
    <row r="155" spans="1:17" x14ac:dyDescent="0.3">
      <c r="A155" s="110">
        <f t="shared" si="4"/>
        <v>1</v>
      </c>
      <c r="B155" s="112">
        <f>ROW()-ROW(TabConsolidation[[#Headers],[N]])</f>
        <v>138</v>
      </c>
      <c r="C155" s="34"/>
      <c r="D155" s="35"/>
      <c r="E155" s="36" t="s">
        <v>31</v>
      </c>
      <c r="F155" s="38"/>
      <c r="G155" s="38"/>
      <c r="H155" s="50"/>
      <c r="I155" s="51" t="s">
        <v>32</v>
      </c>
      <c r="J155" s="55"/>
      <c r="K155" s="53"/>
      <c r="L155" s="57"/>
      <c r="M155" s="37"/>
      <c r="N155" s="37"/>
      <c r="O155" s="39"/>
      <c r="P155" s="3"/>
      <c r="Q155" s="3"/>
    </row>
    <row r="156" spans="1:17" x14ac:dyDescent="0.3">
      <c r="A156" s="110">
        <f t="shared" si="4"/>
        <v>1</v>
      </c>
      <c r="B156" s="112">
        <f>ROW()-ROW(TabConsolidation[[#Headers],[N]])</f>
        <v>139</v>
      </c>
      <c r="C156" s="97" t="s">
        <v>161</v>
      </c>
      <c r="D156" s="98" t="s">
        <v>162</v>
      </c>
      <c r="E156" s="99" t="s">
        <v>163</v>
      </c>
      <c r="F156" s="49"/>
      <c r="G156" s="38"/>
      <c r="H156" s="50"/>
      <c r="I156" s="51" t="s">
        <v>32</v>
      </c>
      <c r="J156" s="55"/>
      <c r="K156" s="53"/>
      <c r="L156" s="57"/>
      <c r="M156" s="37"/>
      <c r="N156" s="37"/>
      <c r="O156" s="39"/>
      <c r="P156" s="3"/>
      <c r="Q156" s="3"/>
    </row>
    <row r="157" spans="1:17" x14ac:dyDescent="0.3">
      <c r="A157" s="110">
        <f t="shared" si="4"/>
        <v>1</v>
      </c>
      <c r="B157" s="112">
        <f>ROW()-ROW(TabConsolidation[[#Headers],[N]])</f>
        <v>140</v>
      </c>
      <c r="C157" s="34"/>
      <c r="D157" s="35"/>
      <c r="E157" s="36" t="s">
        <v>11</v>
      </c>
      <c r="F157" s="38"/>
      <c r="G157" s="38"/>
      <c r="H157" s="50"/>
      <c r="I157" s="51" t="s">
        <v>32</v>
      </c>
      <c r="J157" s="55"/>
      <c r="K157" s="53"/>
      <c r="L157" s="57"/>
      <c r="M157" s="37"/>
      <c r="N157" s="37"/>
      <c r="O157" s="39"/>
      <c r="P157" s="3"/>
      <c r="Q157" s="3"/>
    </row>
    <row r="158" spans="1:17" x14ac:dyDescent="0.3">
      <c r="A158" s="110">
        <f t="shared" si="4"/>
        <v>1</v>
      </c>
      <c r="B158" s="112">
        <f>ROW()-ROW(TabConsolidation[[#Headers],[N]])</f>
        <v>141</v>
      </c>
      <c r="C158" s="34"/>
      <c r="D158" s="35"/>
      <c r="E158" s="36" t="s">
        <v>164</v>
      </c>
      <c r="F158" s="38"/>
      <c r="G158" s="38"/>
      <c r="H158" s="50"/>
      <c r="I158" s="51" t="s">
        <v>32</v>
      </c>
      <c r="J158" s="55"/>
      <c r="K158" s="53"/>
      <c r="L158" s="57"/>
      <c r="M158" s="37"/>
      <c r="N158" s="37"/>
      <c r="O158" s="39"/>
      <c r="P158" s="3"/>
      <c r="Q158" s="3"/>
    </row>
    <row r="159" spans="1:17" x14ac:dyDescent="0.3">
      <c r="A159" s="110">
        <f t="shared" si="4"/>
        <v>1</v>
      </c>
      <c r="B159" s="112">
        <f>ROW()-ROW(TabConsolidation[[#Headers],[N]])</f>
        <v>142</v>
      </c>
      <c r="C159" s="34"/>
      <c r="D159" s="35"/>
      <c r="E159" s="36" t="s">
        <v>165</v>
      </c>
      <c r="F159" s="38"/>
      <c r="G159" s="38"/>
      <c r="H159" s="50"/>
      <c r="I159" s="51" t="s">
        <v>32</v>
      </c>
      <c r="J159" s="55"/>
      <c r="K159" s="53"/>
      <c r="L159" s="57"/>
      <c r="M159" s="37"/>
      <c r="N159" s="37"/>
      <c r="O159" s="39"/>
      <c r="P159" s="3"/>
      <c r="Q159" s="3"/>
    </row>
    <row r="160" spans="1:17" x14ac:dyDescent="0.3">
      <c r="A160" s="110">
        <f t="shared" si="4"/>
        <v>1</v>
      </c>
      <c r="B160" s="112">
        <f>ROW()-ROW(TabConsolidation[[#Headers],[N]])</f>
        <v>143</v>
      </c>
      <c r="C160" s="34"/>
      <c r="D160" s="35"/>
      <c r="E160" s="36" t="s">
        <v>166</v>
      </c>
      <c r="F160" s="38"/>
      <c r="G160" s="38"/>
      <c r="H160" s="50"/>
      <c r="I160" s="51" t="s">
        <v>32</v>
      </c>
      <c r="J160" s="55"/>
      <c r="K160" s="53"/>
      <c r="L160" s="57"/>
      <c r="M160" s="37"/>
      <c r="N160" s="37"/>
      <c r="O160" s="39"/>
      <c r="P160" s="3"/>
      <c r="Q160" s="3"/>
    </row>
    <row r="161" spans="1:17" x14ac:dyDescent="0.3">
      <c r="A161" s="110">
        <f t="shared" si="4"/>
        <v>1</v>
      </c>
      <c r="B161" s="112">
        <f>ROW()-ROW(TabConsolidation[[#Headers],[N]])</f>
        <v>144</v>
      </c>
      <c r="C161" s="34"/>
      <c r="D161" s="35"/>
      <c r="E161" s="36" t="s">
        <v>4</v>
      </c>
      <c r="F161" s="38"/>
      <c r="G161" s="38"/>
      <c r="H161" s="50"/>
      <c r="I161" s="51" t="s">
        <v>32</v>
      </c>
      <c r="J161" s="55"/>
      <c r="K161" s="53"/>
      <c r="L161" s="57"/>
      <c r="M161" s="37"/>
      <c r="N161" s="37"/>
      <c r="O161" s="39"/>
      <c r="P161" s="3"/>
      <c r="Q161" s="3"/>
    </row>
    <row r="162" spans="1:17" x14ac:dyDescent="0.3">
      <c r="A162" s="110">
        <f t="shared" si="4"/>
        <v>1</v>
      </c>
      <c r="B162" s="112">
        <f>ROW()-ROW(TabConsolidation[[#Headers],[N]])</f>
        <v>145</v>
      </c>
      <c r="C162" s="34"/>
      <c r="D162" s="35"/>
      <c r="E162" s="36" t="s">
        <v>167</v>
      </c>
      <c r="F162" s="38"/>
      <c r="G162" s="38"/>
      <c r="H162" s="50"/>
      <c r="I162" s="51" t="s">
        <v>32</v>
      </c>
      <c r="J162" s="55"/>
      <c r="K162" s="53"/>
      <c r="L162" s="57"/>
      <c r="M162" s="37"/>
      <c r="N162" s="37"/>
      <c r="O162" s="39"/>
      <c r="P162" s="3"/>
      <c r="Q162" s="3"/>
    </row>
    <row r="163" spans="1:17" x14ac:dyDescent="0.3">
      <c r="A163" s="110">
        <f t="shared" si="4"/>
        <v>1</v>
      </c>
      <c r="B163" s="112">
        <f>ROW()-ROW(TabConsolidation[[#Headers],[N]])</f>
        <v>146</v>
      </c>
      <c r="C163" s="34"/>
      <c r="D163" s="35"/>
      <c r="E163" s="36" t="s">
        <v>168</v>
      </c>
      <c r="F163" s="38"/>
      <c r="G163" s="38"/>
      <c r="H163" s="50"/>
      <c r="I163" s="51" t="s">
        <v>32</v>
      </c>
      <c r="J163" s="55"/>
      <c r="K163" s="53"/>
      <c r="L163" s="57"/>
      <c r="M163" s="37"/>
      <c r="N163" s="37"/>
      <c r="O163" s="39"/>
      <c r="P163" s="3"/>
      <c r="Q163" s="3"/>
    </row>
    <row r="164" spans="1:17" x14ac:dyDescent="0.3">
      <c r="A164" s="110">
        <f t="shared" si="4"/>
        <v>1</v>
      </c>
      <c r="B164" s="112">
        <f>ROW()-ROW(TabConsolidation[[#Headers],[N]])</f>
        <v>147</v>
      </c>
      <c r="C164" s="34"/>
      <c r="D164" s="98" t="s">
        <v>169</v>
      </c>
      <c r="E164" s="99" t="s">
        <v>170</v>
      </c>
      <c r="F164" s="49"/>
      <c r="G164" s="38"/>
      <c r="H164" s="50"/>
      <c r="I164" s="51" t="s">
        <v>32</v>
      </c>
      <c r="J164" s="55"/>
      <c r="K164" s="53"/>
      <c r="L164" s="57"/>
      <c r="M164" s="37"/>
      <c r="N164" s="37"/>
      <c r="O164" s="39"/>
      <c r="P164" s="3"/>
      <c r="Q164" s="3"/>
    </row>
    <row r="165" spans="1:17" x14ac:dyDescent="0.3">
      <c r="A165" s="110">
        <f t="shared" si="4"/>
        <v>1</v>
      </c>
      <c r="B165" s="112">
        <f>ROW()-ROW(TabConsolidation[[#Headers],[N]])</f>
        <v>148</v>
      </c>
      <c r="C165" s="34"/>
      <c r="D165" s="35"/>
      <c r="E165" s="36" t="s">
        <v>171</v>
      </c>
      <c r="F165" s="38"/>
      <c r="G165" s="38"/>
      <c r="H165" s="50"/>
      <c r="I165" s="51" t="s">
        <v>32</v>
      </c>
      <c r="J165" s="55"/>
      <c r="K165" s="53"/>
      <c r="L165" s="57"/>
      <c r="M165" s="37"/>
      <c r="N165" s="37"/>
      <c r="O165" s="39"/>
      <c r="P165" s="3"/>
      <c r="Q165" s="3"/>
    </row>
    <row r="166" spans="1:17" x14ac:dyDescent="0.3">
      <c r="A166" s="110">
        <f t="shared" si="4"/>
        <v>1</v>
      </c>
      <c r="B166" s="112">
        <f>ROW()-ROW(TabConsolidation[[#Headers],[N]])</f>
        <v>149</v>
      </c>
      <c r="C166" s="34"/>
      <c r="D166" s="35"/>
      <c r="E166" s="36" t="s">
        <v>7</v>
      </c>
      <c r="F166" s="38"/>
      <c r="G166" s="38"/>
      <c r="H166" s="50"/>
      <c r="I166" s="51" t="s">
        <v>32</v>
      </c>
      <c r="J166" s="55"/>
      <c r="K166" s="53"/>
      <c r="L166" s="57"/>
      <c r="M166" s="37"/>
      <c r="N166" s="37"/>
      <c r="O166" s="39"/>
      <c r="P166" s="3"/>
      <c r="Q166" s="3"/>
    </row>
    <row r="167" spans="1:17" x14ac:dyDescent="0.3">
      <c r="A167" s="110">
        <f t="shared" si="4"/>
        <v>1</v>
      </c>
      <c r="B167" s="112">
        <f>ROW()-ROW(TabConsolidation[[#Headers],[N]])</f>
        <v>150</v>
      </c>
      <c r="C167" s="34"/>
      <c r="D167" s="35"/>
      <c r="E167" s="36" t="s">
        <v>172</v>
      </c>
      <c r="F167" s="38"/>
      <c r="G167" s="38"/>
      <c r="H167" s="50"/>
      <c r="I167" s="51"/>
      <c r="J167" s="55"/>
      <c r="K167" s="53"/>
      <c r="L167" s="57" t="s">
        <v>32</v>
      </c>
      <c r="M167" s="37"/>
      <c r="N167" s="37"/>
      <c r="O167" s="39"/>
      <c r="P167" s="3"/>
      <c r="Q167" s="3"/>
    </row>
    <row r="168" spans="1:17" x14ac:dyDescent="0.3">
      <c r="A168" s="110">
        <f t="shared" si="4"/>
        <v>1</v>
      </c>
      <c r="B168" s="112">
        <f>ROW()-ROW(TabConsolidation[[#Headers],[N]])</f>
        <v>151</v>
      </c>
      <c r="C168" s="34"/>
      <c r="D168" s="35"/>
      <c r="E168" s="36" t="s">
        <v>173</v>
      </c>
      <c r="F168" s="38"/>
      <c r="G168" s="38"/>
      <c r="H168" s="50"/>
      <c r="I168" s="51"/>
      <c r="J168" s="55"/>
      <c r="K168" s="53"/>
      <c r="L168" s="57" t="s">
        <v>32</v>
      </c>
      <c r="M168" s="37"/>
      <c r="N168" s="37"/>
      <c r="O168" s="39"/>
      <c r="P168" s="3"/>
      <c r="Q168" s="3"/>
    </row>
    <row r="169" spans="1:17" x14ac:dyDescent="0.3">
      <c r="A169" s="110">
        <f t="shared" si="4"/>
        <v>1</v>
      </c>
      <c r="B169" s="112">
        <f>ROW()-ROW(TabConsolidation[[#Headers],[N]])</f>
        <v>152</v>
      </c>
      <c r="C169" s="34"/>
      <c r="D169" s="35"/>
      <c r="E169" s="36" t="s">
        <v>174</v>
      </c>
      <c r="F169" s="38"/>
      <c r="G169" s="38"/>
      <c r="H169" s="50"/>
      <c r="I169" s="51"/>
      <c r="J169" s="55"/>
      <c r="K169" s="53"/>
      <c r="L169" s="57" t="s">
        <v>32</v>
      </c>
      <c r="M169" s="37"/>
      <c r="N169" s="37"/>
      <c r="O169" s="39"/>
      <c r="P169" s="3"/>
      <c r="Q169" s="3"/>
    </row>
    <row r="170" spans="1:17" x14ac:dyDescent="0.3">
      <c r="A170" s="110">
        <f t="shared" si="4"/>
        <v>1</v>
      </c>
      <c r="B170" s="112">
        <f>ROW()-ROW(TabConsolidation[[#Headers],[N]])</f>
        <v>153</v>
      </c>
      <c r="C170" s="34"/>
      <c r="D170" s="35"/>
      <c r="E170" s="36" t="s">
        <v>175</v>
      </c>
      <c r="F170" s="38"/>
      <c r="G170" s="38"/>
      <c r="H170" s="50"/>
      <c r="I170" s="51"/>
      <c r="J170" s="55"/>
      <c r="K170" s="53"/>
      <c r="L170" s="57" t="s">
        <v>32</v>
      </c>
      <c r="M170" s="37"/>
      <c r="N170" s="37"/>
      <c r="O170" s="39"/>
      <c r="P170" s="3"/>
      <c r="Q170" s="3"/>
    </row>
    <row r="171" spans="1:17" x14ac:dyDescent="0.3">
      <c r="A171" s="110">
        <f t="shared" si="4"/>
        <v>1</v>
      </c>
      <c r="B171" s="112">
        <f>ROW()-ROW(TabConsolidation[[#Headers],[N]])</f>
        <v>154</v>
      </c>
      <c r="C171" s="97" t="s">
        <v>176</v>
      </c>
      <c r="D171" s="98" t="s">
        <v>177</v>
      </c>
      <c r="E171" s="99" t="s">
        <v>6</v>
      </c>
      <c r="F171" s="49"/>
      <c r="G171" s="38"/>
      <c r="H171" s="50"/>
      <c r="I171" s="51"/>
      <c r="J171" s="55"/>
      <c r="K171" s="53"/>
      <c r="L171" s="57" t="s">
        <v>32</v>
      </c>
      <c r="M171" s="37"/>
      <c r="N171" s="37"/>
      <c r="O171" s="39"/>
      <c r="P171" s="3"/>
      <c r="Q171" s="3"/>
    </row>
    <row r="172" spans="1:17" x14ac:dyDescent="0.3">
      <c r="A172" s="110">
        <f t="shared" si="4"/>
        <v>1</v>
      </c>
      <c r="B172" s="112">
        <f>ROW()-ROW(TabConsolidation[[#Headers],[N]])</f>
        <v>155</v>
      </c>
      <c r="C172" s="34"/>
      <c r="D172" s="35"/>
      <c r="E172" s="36" t="s">
        <v>178</v>
      </c>
      <c r="F172" s="38"/>
      <c r="G172" s="38"/>
      <c r="H172" s="50"/>
      <c r="I172" s="51"/>
      <c r="J172" s="55"/>
      <c r="K172" s="53"/>
      <c r="L172" s="57" t="s">
        <v>32</v>
      </c>
      <c r="M172" s="37"/>
      <c r="N172" s="37"/>
      <c r="O172" s="39"/>
      <c r="P172" s="3"/>
      <c r="Q172" s="3"/>
    </row>
    <row r="173" spans="1:17" x14ac:dyDescent="0.3">
      <c r="A173" s="110">
        <f t="shared" si="4"/>
        <v>1</v>
      </c>
      <c r="B173" s="112">
        <f>ROW()-ROW(TabConsolidation[[#Headers],[N]])</f>
        <v>156</v>
      </c>
      <c r="C173" s="34"/>
      <c r="D173" s="35"/>
      <c r="E173" s="36" t="s">
        <v>7</v>
      </c>
      <c r="F173" s="38"/>
      <c r="G173" s="38"/>
      <c r="H173" s="50"/>
      <c r="I173" s="51"/>
      <c r="J173" s="55"/>
      <c r="K173" s="53"/>
      <c r="L173" s="57" t="s">
        <v>32</v>
      </c>
      <c r="M173" s="37"/>
      <c r="N173" s="37"/>
      <c r="O173" s="39"/>
      <c r="P173" s="3"/>
      <c r="Q173" s="3"/>
    </row>
    <row r="174" spans="1:17" x14ac:dyDescent="0.3">
      <c r="A174" s="110">
        <f t="shared" si="4"/>
        <v>1</v>
      </c>
      <c r="B174" s="112">
        <f>ROW()-ROW(TabConsolidation[[#Headers],[N]])</f>
        <v>157</v>
      </c>
      <c r="C174" s="34"/>
      <c r="D174" s="35"/>
      <c r="E174" s="36" t="s">
        <v>8</v>
      </c>
      <c r="F174" s="38"/>
      <c r="G174" s="38"/>
      <c r="H174" s="50"/>
      <c r="I174" s="51"/>
      <c r="J174" s="55"/>
      <c r="K174" s="53"/>
      <c r="L174" s="57" t="s">
        <v>32</v>
      </c>
      <c r="M174" s="37"/>
      <c r="N174" s="37"/>
      <c r="O174" s="39"/>
      <c r="P174" s="3"/>
      <c r="Q174" s="3"/>
    </row>
    <row r="175" spans="1:17" x14ac:dyDescent="0.3">
      <c r="A175" s="110">
        <f t="shared" si="4"/>
        <v>1</v>
      </c>
      <c r="B175" s="112">
        <f>ROW()-ROW(TabConsolidation[[#Headers],[N]])</f>
        <v>158</v>
      </c>
      <c r="C175" s="34"/>
      <c r="D175" s="35"/>
      <c r="E175" s="36" t="s">
        <v>179</v>
      </c>
      <c r="F175" s="38"/>
      <c r="G175" s="38"/>
      <c r="H175" s="50"/>
      <c r="I175" s="51"/>
      <c r="J175" s="55"/>
      <c r="K175" s="53"/>
      <c r="L175" s="57" t="s">
        <v>32</v>
      </c>
      <c r="M175" s="37"/>
      <c r="N175" s="37"/>
      <c r="O175" s="39"/>
      <c r="P175" s="3"/>
      <c r="Q175" s="3"/>
    </row>
    <row r="176" spans="1:17" x14ac:dyDescent="0.3">
      <c r="A176" s="110">
        <f t="shared" si="4"/>
        <v>1</v>
      </c>
      <c r="B176" s="112">
        <f>ROW()-ROW(TabConsolidation[[#Headers],[N]])</f>
        <v>159</v>
      </c>
      <c r="C176" s="34"/>
      <c r="D176" s="35"/>
      <c r="E176" s="36" t="s">
        <v>180</v>
      </c>
      <c r="F176" s="38"/>
      <c r="G176" s="38"/>
      <c r="H176" s="50"/>
      <c r="I176" s="51"/>
      <c r="J176" s="55"/>
      <c r="K176" s="53"/>
      <c r="L176" s="57" t="s">
        <v>32</v>
      </c>
      <c r="M176" s="37"/>
      <c r="N176" s="37"/>
      <c r="O176" s="39"/>
      <c r="P176" s="3"/>
      <c r="Q176" s="3"/>
    </row>
    <row r="177" spans="1:17" x14ac:dyDescent="0.3">
      <c r="A177" s="110">
        <f t="shared" si="4"/>
        <v>1</v>
      </c>
      <c r="B177" s="112">
        <f>ROW()-ROW(TabConsolidation[[#Headers],[N]])</f>
        <v>160</v>
      </c>
      <c r="C177" s="34"/>
      <c r="D177" s="35"/>
      <c r="E177" s="36" t="s">
        <v>181</v>
      </c>
      <c r="F177" s="38"/>
      <c r="G177" s="38"/>
      <c r="H177" s="50"/>
      <c r="I177" s="51"/>
      <c r="J177" s="55"/>
      <c r="K177" s="53"/>
      <c r="L177" s="57" t="s">
        <v>32</v>
      </c>
      <c r="M177" s="37"/>
      <c r="N177" s="37"/>
      <c r="O177" s="39"/>
      <c r="P177" s="3"/>
      <c r="Q177" s="3"/>
    </row>
    <row r="178" spans="1:17" x14ac:dyDescent="0.3">
      <c r="A178" s="110">
        <f t="shared" ref="A178:A204" si="5">IF(COUNTA(H178,I178,L178), 1,0)</f>
        <v>1</v>
      </c>
      <c r="B178" s="112">
        <f>ROW()-ROW(TabConsolidation[[#Headers],[N]])</f>
        <v>161</v>
      </c>
      <c r="C178" s="34"/>
      <c r="D178" s="35"/>
      <c r="E178" s="36" t="s">
        <v>182</v>
      </c>
      <c r="F178" s="38"/>
      <c r="G178" s="38"/>
      <c r="H178" s="50"/>
      <c r="I178" s="51"/>
      <c r="J178" s="55"/>
      <c r="K178" s="53"/>
      <c r="L178" s="57" t="s">
        <v>32</v>
      </c>
      <c r="M178" s="37"/>
      <c r="N178" s="37"/>
      <c r="O178" s="39"/>
      <c r="P178" s="3"/>
      <c r="Q178" s="3"/>
    </row>
    <row r="179" spans="1:17" x14ac:dyDescent="0.3">
      <c r="A179" s="110">
        <f t="shared" si="5"/>
        <v>1</v>
      </c>
      <c r="B179" s="112">
        <f>ROW()-ROW(TabConsolidation[[#Headers],[N]])</f>
        <v>162</v>
      </c>
      <c r="C179" s="34"/>
      <c r="D179" s="35"/>
      <c r="E179" s="36" t="s">
        <v>183</v>
      </c>
      <c r="F179" s="38"/>
      <c r="G179" s="38"/>
      <c r="H179" s="50"/>
      <c r="I179" s="51"/>
      <c r="J179" s="55"/>
      <c r="K179" s="53"/>
      <c r="L179" s="57" t="s">
        <v>32</v>
      </c>
      <c r="M179" s="37"/>
      <c r="N179" s="37"/>
      <c r="O179" s="39"/>
      <c r="P179" s="3"/>
      <c r="Q179" s="3"/>
    </row>
    <row r="180" spans="1:17" x14ac:dyDescent="0.3">
      <c r="A180" s="110">
        <f t="shared" si="5"/>
        <v>1</v>
      </c>
      <c r="B180" s="112">
        <f>ROW()-ROW(TabConsolidation[[#Headers],[N]])</f>
        <v>163</v>
      </c>
      <c r="C180" s="34"/>
      <c r="D180" s="35"/>
      <c r="E180" s="36" t="s">
        <v>9</v>
      </c>
      <c r="F180" s="38"/>
      <c r="G180" s="38"/>
      <c r="H180" s="50"/>
      <c r="I180" s="51"/>
      <c r="J180" s="55"/>
      <c r="K180" s="53"/>
      <c r="L180" s="57" t="s">
        <v>32</v>
      </c>
      <c r="M180" s="37"/>
      <c r="N180" s="37"/>
      <c r="O180" s="39"/>
      <c r="P180" s="3"/>
      <c r="Q180" s="3"/>
    </row>
    <row r="181" spans="1:17" x14ac:dyDescent="0.3">
      <c r="A181" s="110">
        <f t="shared" si="5"/>
        <v>1</v>
      </c>
      <c r="B181" s="112">
        <f>ROW()-ROW(TabConsolidation[[#Headers],[N]])</f>
        <v>164</v>
      </c>
      <c r="C181" s="34"/>
      <c r="D181" s="98" t="s">
        <v>10</v>
      </c>
      <c r="E181" s="99" t="s">
        <v>11</v>
      </c>
      <c r="F181" s="49"/>
      <c r="G181" s="38"/>
      <c r="H181" s="50"/>
      <c r="I181" s="51"/>
      <c r="J181" s="55"/>
      <c r="K181" s="53"/>
      <c r="L181" s="57" t="s">
        <v>32</v>
      </c>
      <c r="M181" s="37"/>
      <c r="N181" s="37"/>
      <c r="O181" s="39"/>
      <c r="P181" s="3"/>
      <c r="Q181" s="3"/>
    </row>
    <row r="182" spans="1:17" x14ac:dyDescent="0.3">
      <c r="A182" s="110">
        <f t="shared" si="5"/>
        <v>1</v>
      </c>
      <c r="B182" s="112">
        <f>ROW()-ROW(TabConsolidation[[#Headers],[N]])</f>
        <v>165</v>
      </c>
      <c r="C182" s="34"/>
      <c r="D182" s="35"/>
      <c r="E182" s="36" t="s">
        <v>184</v>
      </c>
      <c r="F182" s="38"/>
      <c r="G182" s="38"/>
      <c r="H182" s="50"/>
      <c r="I182" s="51"/>
      <c r="J182" s="55"/>
      <c r="K182" s="53"/>
      <c r="L182" s="57" t="s">
        <v>32</v>
      </c>
      <c r="M182" s="37"/>
      <c r="N182" s="37"/>
      <c r="O182" s="39"/>
      <c r="P182" s="3"/>
      <c r="Q182" s="3"/>
    </row>
    <row r="183" spans="1:17" x14ac:dyDescent="0.3">
      <c r="A183" s="110">
        <f t="shared" si="5"/>
        <v>1</v>
      </c>
      <c r="B183" s="112">
        <f>ROW()-ROW(TabConsolidation[[#Headers],[N]])</f>
        <v>166</v>
      </c>
      <c r="C183" s="34"/>
      <c r="D183" s="35"/>
      <c r="E183" s="36" t="s">
        <v>185</v>
      </c>
      <c r="F183" s="38"/>
      <c r="G183" s="38"/>
      <c r="H183" s="50"/>
      <c r="I183" s="51"/>
      <c r="J183" s="55"/>
      <c r="K183" s="53"/>
      <c r="L183" s="57" t="s">
        <v>32</v>
      </c>
      <c r="M183" s="37"/>
      <c r="N183" s="37"/>
      <c r="O183" s="39"/>
      <c r="P183" s="3"/>
      <c r="Q183" s="3"/>
    </row>
    <row r="184" spans="1:17" x14ac:dyDescent="0.3">
      <c r="A184" s="110">
        <f t="shared" si="5"/>
        <v>1</v>
      </c>
      <c r="B184" s="112">
        <f>ROW()-ROW(TabConsolidation[[#Headers],[N]])</f>
        <v>167</v>
      </c>
      <c r="C184" s="34"/>
      <c r="D184" s="35"/>
      <c r="E184" s="36" t="s">
        <v>186</v>
      </c>
      <c r="F184" s="38"/>
      <c r="G184" s="38"/>
      <c r="H184" s="50"/>
      <c r="I184" s="51"/>
      <c r="J184" s="55"/>
      <c r="K184" s="53"/>
      <c r="L184" s="57" t="s">
        <v>32</v>
      </c>
      <c r="M184" s="37"/>
      <c r="N184" s="37"/>
      <c r="O184" s="39"/>
      <c r="P184" s="3"/>
      <c r="Q184" s="3"/>
    </row>
    <row r="185" spans="1:17" x14ac:dyDescent="0.3">
      <c r="A185" s="110">
        <f t="shared" si="5"/>
        <v>1</v>
      </c>
      <c r="B185" s="112">
        <f>ROW()-ROW(TabConsolidation[[#Headers],[N]])</f>
        <v>168</v>
      </c>
      <c r="C185" s="34"/>
      <c r="D185" s="35"/>
      <c r="E185" s="36" t="s">
        <v>187</v>
      </c>
      <c r="F185" s="38"/>
      <c r="G185" s="38"/>
      <c r="H185" s="50"/>
      <c r="I185" s="51"/>
      <c r="J185" s="55"/>
      <c r="K185" s="53"/>
      <c r="L185" s="57" t="s">
        <v>32</v>
      </c>
      <c r="M185" s="37"/>
      <c r="N185" s="37"/>
      <c r="O185" s="39"/>
      <c r="P185" s="3"/>
      <c r="Q185" s="3"/>
    </row>
    <row r="186" spans="1:17" x14ac:dyDescent="0.3">
      <c r="A186" s="110">
        <f t="shared" si="5"/>
        <v>1</v>
      </c>
      <c r="B186" s="112">
        <f>ROW()-ROW(TabConsolidation[[#Headers],[N]])</f>
        <v>169</v>
      </c>
      <c r="C186" s="34"/>
      <c r="D186" s="35"/>
      <c r="E186" s="36" t="s">
        <v>188</v>
      </c>
      <c r="F186" s="38"/>
      <c r="G186" s="38"/>
      <c r="H186" s="50"/>
      <c r="I186" s="51"/>
      <c r="J186" s="55"/>
      <c r="K186" s="53"/>
      <c r="L186" s="57" t="s">
        <v>32</v>
      </c>
      <c r="M186" s="37"/>
      <c r="N186" s="37"/>
      <c r="O186" s="39"/>
      <c r="P186" s="3"/>
      <c r="Q186" s="3"/>
    </row>
    <row r="187" spans="1:17" x14ac:dyDescent="0.3">
      <c r="A187" s="110">
        <f t="shared" si="5"/>
        <v>1</v>
      </c>
      <c r="B187" s="112">
        <f>ROW()-ROW(TabConsolidation[[#Headers],[N]])</f>
        <v>170</v>
      </c>
      <c r="C187" s="97" t="s">
        <v>189</v>
      </c>
      <c r="D187" s="98" t="s">
        <v>12</v>
      </c>
      <c r="E187" s="99" t="s">
        <v>190</v>
      </c>
      <c r="F187" s="49"/>
      <c r="G187" s="38"/>
      <c r="H187" s="50"/>
      <c r="I187" s="51"/>
      <c r="J187" s="55"/>
      <c r="K187" s="53"/>
      <c r="L187" s="57" t="s">
        <v>32</v>
      </c>
      <c r="M187" s="37"/>
      <c r="N187" s="37"/>
      <c r="O187" s="39"/>
      <c r="P187" s="3"/>
      <c r="Q187" s="3"/>
    </row>
    <row r="188" spans="1:17" x14ac:dyDescent="0.3">
      <c r="A188" s="110">
        <f t="shared" si="5"/>
        <v>1</v>
      </c>
      <c r="B188" s="112">
        <f>ROW()-ROW(TabConsolidation[[#Headers],[N]])</f>
        <v>171</v>
      </c>
      <c r="C188" s="34"/>
      <c r="D188" s="98" t="s">
        <v>22</v>
      </c>
      <c r="E188" s="99" t="s">
        <v>191</v>
      </c>
      <c r="F188" s="49"/>
      <c r="G188" s="38"/>
      <c r="H188" s="50"/>
      <c r="I188" s="51"/>
      <c r="J188" s="55"/>
      <c r="K188" s="53"/>
      <c r="L188" s="57" t="s">
        <v>32</v>
      </c>
      <c r="M188" s="37"/>
      <c r="N188" s="37"/>
      <c r="O188" s="39"/>
      <c r="P188" s="3"/>
      <c r="Q188" s="3"/>
    </row>
    <row r="189" spans="1:17" x14ac:dyDescent="0.3">
      <c r="A189" s="110">
        <f t="shared" si="5"/>
        <v>1</v>
      </c>
      <c r="B189" s="112">
        <f>ROW()-ROW(TabConsolidation[[#Headers],[N]])</f>
        <v>172</v>
      </c>
      <c r="C189" s="34"/>
      <c r="D189" s="98" t="s">
        <v>192</v>
      </c>
      <c r="E189" s="99" t="s">
        <v>193</v>
      </c>
      <c r="F189" s="49"/>
      <c r="G189" s="38"/>
      <c r="H189" s="50"/>
      <c r="I189" s="51"/>
      <c r="J189" s="55"/>
      <c r="K189" s="53"/>
      <c r="L189" s="57" t="s">
        <v>32</v>
      </c>
      <c r="M189" s="37"/>
      <c r="N189" s="37"/>
      <c r="O189" s="39"/>
      <c r="P189" s="3"/>
      <c r="Q189" s="3"/>
    </row>
    <row r="190" spans="1:17" x14ac:dyDescent="0.3">
      <c r="A190" s="110">
        <f t="shared" si="5"/>
        <v>1</v>
      </c>
      <c r="B190" s="112">
        <f>ROW()-ROW(TabConsolidation[[#Headers],[N]])</f>
        <v>173</v>
      </c>
      <c r="C190" s="34"/>
      <c r="D190" s="98" t="s">
        <v>5</v>
      </c>
      <c r="E190" s="99" t="s">
        <v>194</v>
      </c>
      <c r="F190" s="49"/>
      <c r="G190" s="38"/>
      <c r="H190" s="50"/>
      <c r="I190" s="51"/>
      <c r="J190" s="55"/>
      <c r="K190" s="53"/>
      <c r="L190" s="57" t="s">
        <v>32</v>
      </c>
      <c r="M190" s="37"/>
      <c r="N190" s="37"/>
      <c r="O190" s="39"/>
      <c r="P190" s="3"/>
      <c r="Q190" s="3"/>
    </row>
    <row r="191" spans="1:17" x14ac:dyDescent="0.3">
      <c r="A191" s="110">
        <f t="shared" si="5"/>
        <v>1</v>
      </c>
      <c r="B191" s="112">
        <f>ROW()-ROW(TabConsolidation[[#Headers],[N]])</f>
        <v>174</v>
      </c>
      <c r="C191" s="34"/>
      <c r="D191" s="98" t="s">
        <v>26</v>
      </c>
      <c r="E191" s="99" t="s">
        <v>195</v>
      </c>
      <c r="F191" s="49"/>
      <c r="G191" s="38"/>
      <c r="H191" s="50"/>
      <c r="I191" s="51"/>
      <c r="J191" s="55"/>
      <c r="K191" s="53"/>
      <c r="L191" s="57" t="s">
        <v>32</v>
      </c>
      <c r="M191" s="37"/>
      <c r="N191" s="37"/>
      <c r="O191" s="39"/>
      <c r="P191" s="3"/>
      <c r="Q191" s="3"/>
    </row>
    <row r="192" spans="1:17" x14ac:dyDescent="0.3">
      <c r="A192" s="110">
        <f t="shared" si="5"/>
        <v>1</v>
      </c>
      <c r="B192" s="112">
        <f>ROW()-ROW(TabConsolidation[[#Headers],[N]])</f>
        <v>175</v>
      </c>
      <c r="C192" s="34"/>
      <c r="D192" s="98" t="s">
        <v>196</v>
      </c>
      <c r="E192" s="99" t="s">
        <v>197</v>
      </c>
      <c r="F192" s="49"/>
      <c r="G192" s="38"/>
      <c r="H192" s="50"/>
      <c r="I192" s="51"/>
      <c r="J192" s="55"/>
      <c r="K192" s="53"/>
      <c r="L192" s="57" t="s">
        <v>32</v>
      </c>
      <c r="M192" s="37"/>
      <c r="N192" s="37"/>
      <c r="O192" s="39"/>
      <c r="P192" s="3"/>
      <c r="Q192" s="3"/>
    </row>
    <row r="193" spans="1:17" x14ac:dyDescent="0.3">
      <c r="A193" s="110">
        <f t="shared" si="5"/>
        <v>1</v>
      </c>
      <c r="B193" s="112">
        <f>ROW()-ROW(TabConsolidation[[#Headers],[N]])</f>
        <v>176</v>
      </c>
      <c r="C193" s="34"/>
      <c r="D193" s="98" t="s">
        <v>25</v>
      </c>
      <c r="E193" s="99" t="s">
        <v>198</v>
      </c>
      <c r="F193" s="49"/>
      <c r="G193" s="38"/>
      <c r="H193" s="50"/>
      <c r="I193" s="51"/>
      <c r="J193" s="55"/>
      <c r="K193" s="53"/>
      <c r="L193" s="57" t="s">
        <v>32</v>
      </c>
      <c r="M193" s="37"/>
      <c r="N193" s="37"/>
      <c r="O193" s="39"/>
      <c r="P193" s="3"/>
      <c r="Q193" s="3"/>
    </row>
    <row r="194" spans="1:17" x14ac:dyDescent="0.3">
      <c r="A194" s="110">
        <f t="shared" si="5"/>
        <v>1</v>
      </c>
      <c r="B194" s="112">
        <f>ROW()-ROW(TabConsolidation[[#Headers],[N]])</f>
        <v>177</v>
      </c>
      <c r="C194" s="34"/>
      <c r="D194" s="40" t="s">
        <v>199</v>
      </c>
      <c r="E194" s="36"/>
      <c r="F194" s="38"/>
      <c r="G194" s="38"/>
      <c r="H194" s="50"/>
      <c r="I194" s="51"/>
      <c r="J194" s="55"/>
      <c r="K194" s="53"/>
      <c r="L194" s="57" t="s">
        <v>32</v>
      </c>
      <c r="M194" s="37"/>
      <c r="N194" s="37"/>
      <c r="O194" s="39"/>
      <c r="P194" s="3"/>
      <c r="Q194" s="3"/>
    </row>
    <row r="195" spans="1:17" x14ac:dyDescent="0.3">
      <c r="A195" s="110">
        <f t="shared" si="5"/>
        <v>1</v>
      </c>
      <c r="B195" s="112">
        <f>ROW()-ROW(TabConsolidation[[#Headers],[N]])</f>
        <v>178</v>
      </c>
      <c r="C195" s="41"/>
      <c r="D195" s="40"/>
      <c r="E195" s="36"/>
      <c r="F195" s="38"/>
      <c r="G195" s="38"/>
      <c r="H195" s="50"/>
      <c r="I195" s="51"/>
      <c r="J195" s="55"/>
      <c r="K195" s="53"/>
      <c r="L195" s="57" t="s">
        <v>32</v>
      </c>
      <c r="M195" s="37"/>
      <c r="N195" s="37"/>
      <c r="O195" s="39"/>
      <c r="P195" s="3"/>
      <c r="Q195" s="3"/>
    </row>
    <row r="196" spans="1:17" x14ac:dyDescent="0.3">
      <c r="A196" s="110">
        <f t="shared" si="5"/>
        <v>1</v>
      </c>
      <c r="B196" s="112">
        <f>ROW()-ROW(TabConsolidation[[#Headers],[N]])</f>
        <v>179</v>
      </c>
      <c r="C196" s="34"/>
      <c r="D196" s="40" t="s">
        <v>199</v>
      </c>
      <c r="E196" s="36"/>
      <c r="F196" s="38"/>
      <c r="G196" s="38"/>
      <c r="H196" s="50"/>
      <c r="I196" s="51"/>
      <c r="J196" s="55"/>
      <c r="K196" s="53"/>
      <c r="L196" s="57" t="s">
        <v>32</v>
      </c>
      <c r="M196" s="37"/>
      <c r="N196" s="37"/>
      <c r="O196" s="39"/>
      <c r="P196" s="3"/>
      <c r="Q196" s="3"/>
    </row>
    <row r="197" spans="1:17" x14ac:dyDescent="0.3">
      <c r="A197" s="110">
        <f t="shared" si="5"/>
        <v>1</v>
      </c>
      <c r="B197" s="112">
        <f>ROW()-ROW(TabConsolidation[[#Headers],[N]])</f>
        <v>180</v>
      </c>
      <c r="C197" s="41"/>
      <c r="D197" s="40"/>
      <c r="E197" s="36"/>
      <c r="F197" s="38"/>
      <c r="G197" s="38"/>
      <c r="H197" s="50"/>
      <c r="I197" s="51"/>
      <c r="J197" s="55"/>
      <c r="K197" s="53"/>
      <c r="L197" s="57" t="s">
        <v>32</v>
      </c>
      <c r="M197" s="37"/>
      <c r="N197" s="37"/>
      <c r="O197" s="39"/>
      <c r="P197" s="3"/>
      <c r="Q197" s="3"/>
    </row>
    <row r="198" spans="1:17" x14ac:dyDescent="0.3">
      <c r="A198" s="110">
        <f t="shared" si="5"/>
        <v>1</v>
      </c>
      <c r="B198" s="112">
        <f>ROW()-ROW(TabConsolidation[[#Headers],[N]])</f>
        <v>181</v>
      </c>
      <c r="C198" s="34"/>
      <c r="D198" s="40" t="s">
        <v>199</v>
      </c>
      <c r="E198" s="36"/>
      <c r="F198" s="38"/>
      <c r="G198" s="38"/>
      <c r="H198" s="50"/>
      <c r="I198" s="51"/>
      <c r="J198" s="55"/>
      <c r="K198" s="53"/>
      <c r="L198" s="57" t="s">
        <v>32</v>
      </c>
      <c r="M198" s="37"/>
      <c r="N198" s="37"/>
      <c r="O198" s="39"/>
      <c r="P198" s="3"/>
      <c r="Q198" s="3"/>
    </row>
    <row r="199" spans="1:17" x14ac:dyDescent="0.3">
      <c r="A199" s="110">
        <f t="shared" si="5"/>
        <v>1</v>
      </c>
      <c r="B199" s="112">
        <f>ROW()-ROW(TabConsolidation[[#Headers],[N]])</f>
        <v>182</v>
      </c>
      <c r="C199" s="41"/>
      <c r="D199" s="40"/>
      <c r="E199" s="36"/>
      <c r="F199" s="38"/>
      <c r="G199" s="38"/>
      <c r="H199" s="50"/>
      <c r="I199" s="51"/>
      <c r="J199" s="55"/>
      <c r="K199" s="53"/>
      <c r="L199" s="57" t="s">
        <v>32</v>
      </c>
      <c r="M199" s="37"/>
      <c r="N199" s="37"/>
      <c r="O199" s="39"/>
      <c r="P199" s="3"/>
      <c r="Q199" s="3"/>
    </row>
    <row r="200" spans="1:17" x14ac:dyDescent="0.3">
      <c r="A200" s="110">
        <f t="shared" si="5"/>
        <v>1</v>
      </c>
      <c r="B200" s="112">
        <f>ROW()-ROW(TabConsolidation[[#Headers],[N]])</f>
        <v>183</v>
      </c>
      <c r="C200" s="34"/>
      <c r="D200" s="40" t="s">
        <v>199</v>
      </c>
      <c r="E200" s="36"/>
      <c r="F200" s="38"/>
      <c r="G200" s="38"/>
      <c r="H200" s="50"/>
      <c r="I200" s="51"/>
      <c r="J200" s="55"/>
      <c r="K200" s="53"/>
      <c r="L200" s="57" t="s">
        <v>32</v>
      </c>
      <c r="M200" s="37"/>
      <c r="N200" s="37"/>
      <c r="O200" s="39"/>
      <c r="P200" s="3"/>
      <c r="Q200" s="3"/>
    </row>
    <row r="201" spans="1:17" x14ac:dyDescent="0.3">
      <c r="A201" s="110">
        <f t="shared" si="5"/>
        <v>1</v>
      </c>
      <c r="B201" s="112">
        <f>ROW()-ROW(TabConsolidation[[#Headers],[N]])</f>
        <v>184</v>
      </c>
      <c r="C201" s="41"/>
      <c r="D201" s="40"/>
      <c r="E201" s="36"/>
      <c r="F201" s="38"/>
      <c r="G201" s="38"/>
      <c r="H201" s="50"/>
      <c r="I201" s="51"/>
      <c r="J201" s="55"/>
      <c r="K201" s="53"/>
      <c r="L201" s="57" t="s">
        <v>32</v>
      </c>
      <c r="M201" s="37"/>
      <c r="N201" s="37"/>
      <c r="O201" s="39"/>
      <c r="P201" s="3"/>
      <c r="Q201" s="3"/>
    </row>
    <row r="202" spans="1:17" x14ac:dyDescent="0.3">
      <c r="A202" s="110">
        <f t="shared" si="5"/>
        <v>1</v>
      </c>
      <c r="B202" s="112">
        <f>ROW()-ROW(TabConsolidation[[#Headers],[N]])</f>
        <v>185</v>
      </c>
      <c r="C202" s="34"/>
      <c r="D202" s="40" t="s">
        <v>199</v>
      </c>
      <c r="E202" s="36"/>
      <c r="F202" s="38"/>
      <c r="G202" s="38"/>
      <c r="H202" s="50"/>
      <c r="I202" s="51"/>
      <c r="J202" s="55"/>
      <c r="K202" s="53"/>
      <c r="L202" s="57" t="s">
        <v>32</v>
      </c>
      <c r="M202" s="37"/>
      <c r="N202" s="37"/>
      <c r="O202" s="39"/>
      <c r="P202" s="3"/>
      <c r="Q202" s="3"/>
    </row>
    <row r="203" spans="1:17" x14ac:dyDescent="0.3">
      <c r="A203" s="110">
        <f t="shared" si="5"/>
        <v>1</v>
      </c>
      <c r="B203" s="112">
        <f>ROW()-ROW(TabConsolidation[[#Headers],[N]])</f>
        <v>186</v>
      </c>
      <c r="C203" s="41"/>
      <c r="D203" s="40"/>
      <c r="E203" s="36"/>
      <c r="F203" s="38"/>
      <c r="G203" s="38"/>
      <c r="H203" s="50"/>
      <c r="I203" s="51"/>
      <c r="J203" s="55"/>
      <c r="K203" s="53"/>
      <c r="L203" s="57" t="s">
        <v>32</v>
      </c>
      <c r="M203" s="37"/>
      <c r="N203" s="37"/>
      <c r="O203" s="39"/>
      <c r="P203" s="3"/>
      <c r="Q203" s="3"/>
    </row>
    <row r="204" spans="1:17" x14ac:dyDescent="0.3">
      <c r="A204" s="110">
        <f t="shared" si="5"/>
        <v>1</v>
      </c>
      <c r="B204" s="113">
        <f>ROW()-ROW(TabConsolidation[[#Headers],[N]])</f>
        <v>187</v>
      </c>
      <c r="C204" s="42"/>
      <c r="D204" s="43" t="s">
        <v>199</v>
      </c>
      <c r="E204" s="44"/>
      <c r="F204" s="46"/>
      <c r="G204" s="46"/>
      <c r="H204" s="50"/>
      <c r="I204" s="51"/>
      <c r="J204" s="55"/>
      <c r="K204" s="54"/>
      <c r="L204" s="57" t="s">
        <v>32</v>
      </c>
      <c r="M204" s="45"/>
      <c r="N204" s="45"/>
      <c r="O204" s="47"/>
      <c r="P204" s="3"/>
      <c r="Q204" s="3"/>
    </row>
    <row r="205" spans="1:17" s="3" customFormat="1" x14ac:dyDescent="0.3">
      <c r="A205" s="106"/>
      <c r="B205" s="107"/>
    </row>
    <row r="206" spans="1:17" s="3" customFormat="1" x14ac:dyDescent="0.3">
      <c r="A206" s="106"/>
      <c r="B206" s="107"/>
    </row>
    <row r="207" spans="1:17" s="3" customFormat="1" x14ac:dyDescent="0.3">
      <c r="A207" s="106"/>
      <c r="B207" s="107"/>
    </row>
    <row r="208" spans="1:17" s="3" customFormat="1" x14ac:dyDescent="0.3">
      <c r="A208" s="106"/>
      <c r="B208" s="107"/>
    </row>
    <row r="209" spans="1:2" s="3" customFormat="1" x14ac:dyDescent="0.3">
      <c r="A209" s="106"/>
      <c r="B209" s="107"/>
    </row>
    <row r="210" spans="1:2" s="3" customFormat="1" x14ac:dyDescent="0.3">
      <c r="A210" s="106"/>
      <c r="B210" s="107"/>
    </row>
    <row r="211" spans="1:2" s="3" customFormat="1" x14ac:dyDescent="0.3">
      <c r="A211" s="106"/>
      <c r="B211" s="107"/>
    </row>
    <row r="212" spans="1:2" s="3" customFormat="1" x14ac:dyDescent="0.3">
      <c r="A212" s="106"/>
      <c r="B212" s="107"/>
    </row>
    <row r="213" spans="1:2" s="3" customFormat="1" x14ac:dyDescent="0.3">
      <c r="A213" s="106"/>
      <c r="B213" s="107"/>
    </row>
    <row r="214" spans="1:2" s="3" customFormat="1" x14ac:dyDescent="0.3">
      <c r="A214" s="106"/>
      <c r="B214" s="107"/>
    </row>
    <row r="215" spans="1:2" s="3" customFormat="1" x14ac:dyDescent="0.3">
      <c r="A215" s="106"/>
      <c r="B215" s="107"/>
    </row>
    <row r="216" spans="1:2" s="3" customFormat="1" x14ac:dyDescent="0.3">
      <c r="A216" s="106"/>
      <c r="B216" s="107"/>
    </row>
    <row r="217" spans="1:2" s="3" customFormat="1" x14ac:dyDescent="0.3">
      <c r="A217" s="106"/>
      <c r="B217" s="107"/>
    </row>
    <row r="218" spans="1:2" s="3" customFormat="1" x14ac:dyDescent="0.3">
      <c r="A218" s="106"/>
      <c r="B218" s="107"/>
    </row>
    <row r="219" spans="1:2" s="3" customFormat="1" x14ac:dyDescent="0.3">
      <c r="A219" s="106"/>
      <c r="B219" s="107"/>
    </row>
    <row r="220" spans="1:2" s="3" customFormat="1" x14ac:dyDescent="0.3">
      <c r="A220" s="106"/>
      <c r="B220" s="107"/>
    </row>
    <row r="221" spans="1:2" s="3" customFormat="1" x14ac:dyDescent="0.3">
      <c r="A221" s="106"/>
      <c r="B221" s="107"/>
    </row>
    <row r="222" spans="1:2" s="3" customFormat="1" x14ac:dyDescent="0.3">
      <c r="A222" s="106"/>
      <c r="B222" s="107"/>
    </row>
    <row r="223" spans="1:2" s="3" customFormat="1" x14ac:dyDescent="0.3">
      <c r="A223" s="106"/>
      <c r="B223" s="107"/>
    </row>
    <row r="224" spans="1:2" s="3" customFormat="1" x14ac:dyDescent="0.3">
      <c r="A224" s="106"/>
      <c r="B224" s="107"/>
    </row>
    <row r="225" spans="1:2" s="3" customFormat="1" x14ac:dyDescent="0.3">
      <c r="A225" s="106"/>
      <c r="B225" s="107"/>
    </row>
    <row r="226" spans="1:2" s="3" customFormat="1" x14ac:dyDescent="0.3">
      <c r="A226" s="106"/>
      <c r="B226" s="107"/>
    </row>
    <row r="227" spans="1:2" s="3" customFormat="1" x14ac:dyDescent="0.3">
      <c r="A227" s="106"/>
      <c r="B227" s="107"/>
    </row>
    <row r="228" spans="1:2" s="3" customFormat="1" x14ac:dyDescent="0.3">
      <c r="A228" s="106"/>
      <c r="B228" s="107"/>
    </row>
    <row r="229" spans="1:2" s="3" customFormat="1" x14ac:dyDescent="0.3">
      <c r="A229" s="106"/>
      <c r="B229" s="107"/>
    </row>
    <row r="230" spans="1:2" s="3" customFormat="1" x14ac:dyDescent="0.3">
      <c r="A230" s="106"/>
      <c r="B230" s="107"/>
    </row>
    <row r="231" spans="1:2" s="3" customFormat="1" x14ac:dyDescent="0.3">
      <c r="A231" s="106"/>
      <c r="B231" s="107"/>
    </row>
    <row r="232" spans="1:2" s="3" customFormat="1" x14ac:dyDescent="0.3">
      <c r="A232" s="106"/>
      <c r="B232" s="107"/>
    </row>
    <row r="233" spans="1:2" s="3" customFormat="1" x14ac:dyDescent="0.3">
      <c r="A233" s="106"/>
      <c r="B233" s="107"/>
    </row>
    <row r="234" spans="1:2" s="3" customFormat="1" x14ac:dyDescent="0.3">
      <c r="A234" s="106"/>
      <c r="B234" s="107"/>
    </row>
    <row r="235" spans="1:2" s="3" customFormat="1" x14ac:dyDescent="0.3">
      <c r="A235" s="106"/>
      <c r="B235" s="107"/>
    </row>
    <row r="236" spans="1:2" s="3" customFormat="1" x14ac:dyDescent="0.3">
      <c r="A236" s="106"/>
      <c r="B236" s="107"/>
    </row>
    <row r="237" spans="1:2" s="3" customFormat="1" x14ac:dyDescent="0.3">
      <c r="A237" s="106"/>
      <c r="B237" s="107"/>
    </row>
    <row r="238" spans="1:2" s="3" customFormat="1" x14ac:dyDescent="0.3">
      <c r="A238" s="106"/>
      <c r="B238" s="107"/>
    </row>
    <row r="239" spans="1:2" s="3" customFormat="1" x14ac:dyDescent="0.3">
      <c r="A239" s="106"/>
      <c r="B239" s="107"/>
    </row>
    <row r="240" spans="1:2" s="3" customFormat="1" x14ac:dyDescent="0.3">
      <c r="A240" s="106"/>
      <c r="B240" s="107"/>
    </row>
    <row r="241" spans="1:2" s="3" customFormat="1" x14ac:dyDescent="0.3">
      <c r="A241" s="106"/>
      <c r="B241" s="107"/>
    </row>
    <row r="242" spans="1:2" s="3" customFormat="1" x14ac:dyDescent="0.3">
      <c r="A242" s="106"/>
      <c r="B242" s="107"/>
    </row>
    <row r="243" spans="1:2" s="3" customFormat="1" x14ac:dyDescent="0.3">
      <c r="A243" s="106"/>
      <c r="B243" s="107"/>
    </row>
    <row r="244" spans="1:2" s="3" customFormat="1" x14ac:dyDescent="0.3">
      <c r="A244" s="106"/>
      <c r="B244" s="107"/>
    </row>
    <row r="245" spans="1:2" s="3" customFormat="1" x14ac:dyDescent="0.3">
      <c r="A245" s="106"/>
      <c r="B245" s="107"/>
    </row>
    <row r="246" spans="1:2" s="3" customFormat="1" x14ac:dyDescent="0.3">
      <c r="A246" s="106"/>
      <c r="B246" s="107"/>
    </row>
    <row r="247" spans="1:2" s="3" customFormat="1" x14ac:dyDescent="0.3">
      <c r="A247" s="106"/>
      <c r="B247" s="107"/>
    </row>
    <row r="248" spans="1:2" s="3" customFormat="1" x14ac:dyDescent="0.3">
      <c r="A248" s="106"/>
      <c r="B248" s="107"/>
    </row>
    <row r="249" spans="1:2" s="3" customFormat="1" x14ac:dyDescent="0.3">
      <c r="A249" s="106"/>
      <c r="B249" s="107"/>
    </row>
    <row r="250" spans="1:2" s="3" customFormat="1" x14ac:dyDescent="0.3">
      <c r="A250" s="106"/>
      <c r="B250" s="107"/>
    </row>
    <row r="251" spans="1:2" s="3" customFormat="1" x14ac:dyDescent="0.3">
      <c r="A251" s="106"/>
      <c r="B251" s="107"/>
    </row>
    <row r="252" spans="1:2" s="3" customFormat="1" x14ac:dyDescent="0.3">
      <c r="A252" s="106"/>
      <c r="B252" s="107"/>
    </row>
    <row r="253" spans="1:2" s="3" customFormat="1" x14ac:dyDescent="0.3">
      <c r="A253" s="106"/>
      <c r="B253" s="107"/>
    </row>
    <row r="254" spans="1:2" s="3" customFormat="1" x14ac:dyDescent="0.3">
      <c r="A254" s="106"/>
      <c r="B254" s="107"/>
    </row>
    <row r="255" spans="1:2" s="3" customFormat="1" x14ac:dyDescent="0.3">
      <c r="A255" s="106"/>
      <c r="B255" s="107"/>
    </row>
    <row r="256" spans="1:2" s="3" customFormat="1" x14ac:dyDescent="0.3">
      <c r="A256" s="106"/>
      <c r="B256" s="107"/>
    </row>
    <row r="257" spans="1:2" s="3" customFormat="1" x14ac:dyDescent="0.3">
      <c r="A257" s="106"/>
      <c r="B257" s="107"/>
    </row>
    <row r="258" spans="1:2" s="3" customFormat="1" x14ac:dyDescent="0.3">
      <c r="A258" s="106"/>
      <c r="B258" s="107"/>
    </row>
    <row r="259" spans="1:2" s="3" customFormat="1" x14ac:dyDescent="0.3">
      <c r="A259" s="106"/>
      <c r="B259" s="107"/>
    </row>
    <row r="260" spans="1:2" s="3" customFormat="1" x14ac:dyDescent="0.3">
      <c r="A260" s="106"/>
      <c r="B260" s="107"/>
    </row>
    <row r="261" spans="1:2" s="3" customFormat="1" x14ac:dyDescent="0.3">
      <c r="A261" s="106"/>
      <c r="B261" s="107"/>
    </row>
    <row r="262" spans="1:2" s="3" customFormat="1" x14ac:dyDescent="0.3">
      <c r="A262" s="106"/>
      <c r="B262" s="107"/>
    </row>
    <row r="263" spans="1:2" s="3" customFormat="1" x14ac:dyDescent="0.3">
      <c r="A263" s="106"/>
      <c r="B263" s="107"/>
    </row>
    <row r="264" spans="1:2" s="3" customFormat="1" x14ac:dyDescent="0.3">
      <c r="A264" s="106"/>
      <c r="B264" s="107"/>
    </row>
    <row r="265" spans="1:2" s="3" customFormat="1" x14ac:dyDescent="0.3">
      <c r="A265" s="106"/>
      <c r="B265" s="107"/>
    </row>
    <row r="266" spans="1:2" s="3" customFormat="1" x14ac:dyDescent="0.3">
      <c r="A266" s="106"/>
      <c r="B266" s="107"/>
    </row>
    <row r="267" spans="1:2" s="3" customFormat="1" x14ac:dyDescent="0.3">
      <c r="A267" s="106"/>
      <c r="B267" s="107"/>
    </row>
    <row r="268" spans="1:2" s="3" customFormat="1" x14ac:dyDescent="0.3">
      <c r="A268" s="106"/>
      <c r="B268" s="107"/>
    </row>
    <row r="269" spans="1:2" s="3" customFormat="1" x14ac:dyDescent="0.3">
      <c r="A269" s="106"/>
      <c r="B269" s="107"/>
    </row>
    <row r="270" spans="1:2" s="3" customFormat="1" x14ac:dyDescent="0.3">
      <c r="A270" s="106"/>
      <c r="B270" s="107"/>
    </row>
    <row r="271" spans="1:2" s="3" customFormat="1" x14ac:dyDescent="0.3">
      <c r="A271" s="106"/>
      <c r="B271" s="107"/>
    </row>
    <row r="272" spans="1:2" s="3" customFormat="1" x14ac:dyDescent="0.3">
      <c r="A272" s="106"/>
      <c r="B272" s="107"/>
    </row>
    <row r="273" spans="1:2" s="3" customFormat="1" x14ac:dyDescent="0.3">
      <c r="A273" s="106"/>
      <c r="B273" s="107"/>
    </row>
    <row r="274" spans="1:2" s="3" customFormat="1" x14ac:dyDescent="0.3">
      <c r="A274" s="106"/>
      <c r="B274" s="107"/>
    </row>
    <row r="275" spans="1:2" s="3" customFormat="1" x14ac:dyDescent="0.3">
      <c r="A275" s="106"/>
      <c r="B275" s="107"/>
    </row>
    <row r="276" spans="1:2" s="3" customFormat="1" x14ac:dyDescent="0.3">
      <c r="A276" s="106"/>
      <c r="B276" s="107"/>
    </row>
    <row r="277" spans="1:2" s="3" customFormat="1" x14ac:dyDescent="0.3">
      <c r="A277" s="106"/>
      <c r="B277" s="107"/>
    </row>
    <row r="278" spans="1:2" s="3" customFormat="1" x14ac:dyDescent="0.3">
      <c r="A278" s="106"/>
      <c r="B278" s="107"/>
    </row>
    <row r="279" spans="1:2" s="3" customFormat="1" x14ac:dyDescent="0.3">
      <c r="A279" s="106"/>
      <c r="B279" s="107"/>
    </row>
    <row r="280" spans="1:2" s="3" customFormat="1" x14ac:dyDescent="0.3">
      <c r="A280" s="106"/>
      <c r="B280" s="107"/>
    </row>
    <row r="281" spans="1:2" s="3" customFormat="1" x14ac:dyDescent="0.3">
      <c r="A281" s="106"/>
      <c r="B281" s="107"/>
    </row>
    <row r="282" spans="1:2" s="3" customFormat="1" x14ac:dyDescent="0.3">
      <c r="A282" s="106"/>
      <c r="B282" s="107"/>
    </row>
    <row r="283" spans="1:2" s="3" customFormat="1" x14ac:dyDescent="0.3">
      <c r="A283" s="106"/>
      <c r="B283" s="107"/>
    </row>
    <row r="284" spans="1:2" s="3" customFormat="1" x14ac:dyDescent="0.3">
      <c r="A284" s="106"/>
      <c r="B284" s="107"/>
    </row>
    <row r="285" spans="1:2" s="3" customFormat="1" x14ac:dyDescent="0.3">
      <c r="A285" s="106"/>
      <c r="B285" s="107"/>
    </row>
    <row r="286" spans="1:2" s="3" customFormat="1" x14ac:dyDescent="0.3">
      <c r="A286" s="106"/>
      <c r="B286" s="107"/>
    </row>
    <row r="287" spans="1:2" s="3" customFormat="1" x14ac:dyDescent="0.3">
      <c r="A287" s="106"/>
      <c r="B287" s="107"/>
    </row>
    <row r="288" spans="1:2" s="3" customFormat="1" x14ac:dyDescent="0.3">
      <c r="A288" s="106"/>
      <c r="B288" s="107"/>
    </row>
    <row r="289" spans="1:2" s="3" customFormat="1" x14ac:dyDescent="0.3">
      <c r="A289" s="106"/>
      <c r="B289" s="107"/>
    </row>
    <row r="290" spans="1:2" s="3" customFormat="1" x14ac:dyDescent="0.3">
      <c r="A290" s="106"/>
      <c r="B290" s="107"/>
    </row>
    <row r="291" spans="1:2" s="3" customFormat="1" x14ac:dyDescent="0.3">
      <c r="A291" s="106"/>
      <c r="B291" s="107"/>
    </row>
    <row r="292" spans="1:2" s="3" customFormat="1" x14ac:dyDescent="0.3">
      <c r="A292" s="106"/>
      <c r="B292" s="107"/>
    </row>
    <row r="293" spans="1:2" s="3" customFormat="1" x14ac:dyDescent="0.3">
      <c r="A293" s="106"/>
      <c r="B293" s="107"/>
    </row>
    <row r="294" spans="1:2" s="3" customFormat="1" x14ac:dyDescent="0.3">
      <c r="A294" s="106"/>
      <c r="B294" s="107"/>
    </row>
    <row r="295" spans="1:2" s="3" customFormat="1" x14ac:dyDescent="0.3">
      <c r="A295" s="106"/>
      <c r="B295" s="107"/>
    </row>
    <row r="296" spans="1:2" s="3" customFormat="1" x14ac:dyDescent="0.3">
      <c r="A296" s="106"/>
      <c r="B296" s="107"/>
    </row>
    <row r="297" spans="1:2" s="3" customFormat="1" x14ac:dyDescent="0.3">
      <c r="A297" s="106"/>
      <c r="B297" s="107"/>
    </row>
    <row r="298" spans="1:2" s="3" customFormat="1" x14ac:dyDescent="0.3">
      <c r="A298" s="106"/>
      <c r="B298" s="107"/>
    </row>
    <row r="299" spans="1:2" s="3" customFormat="1" x14ac:dyDescent="0.3">
      <c r="A299" s="106"/>
      <c r="B299" s="107"/>
    </row>
    <row r="300" spans="1:2" s="3" customFormat="1" x14ac:dyDescent="0.3">
      <c r="A300" s="106"/>
      <c r="B300" s="107"/>
    </row>
    <row r="301" spans="1:2" s="3" customFormat="1" x14ac:dyDescent="0.3">
      <c r="A301" s="106"/>
      <c r="B301" s="107"/>
    </row>
    <row r="302" spans="1:2" s="3" customFormat="1" x14ac:dyDescent="0.3">
      <c r="A302" s="106"/>
      <c r="B302" s="107"/>
    </row>
    <row r="303" spans="1:2" s="3" customFormat="1" x14ac:dyDescent="0.3">
      <c r="A303" s="106"/>
      <c r="B303" s="107"/>
    </row>
    <row r="304" spans="1:2" s="3" customFormat="1" x14ac:dyDescent="0.3">
      <c r="A304" s="106"/>
      <c r="B304" s="107"/>
    </row>
    <row r="305" spans="1:2" s="3" customFormat="1" x14ac:dyDescent="0.3">
      <c r="A305" s="106"/>
      <c r="B305" s="107"/>
    </row>
    <row r="306" spans="1:2" s="3" customFormat="1" x14ac:dyDescent="0.3">
      <c r="A306" s="106"/>
      <c r="B306" s="107"/>
    </row>
    <row r="307" spans="1:2" s="3" customFormat="1" x14ac:dyDescent="0.3">
      <c r="A307" s="106"/>
      <c r="B307" s="107"/>
    </row>
    <row r="308" spans="1:2" s="3" customFormat="1" x14ac:dyDescent="0.3">
      <c r="A308" s="106"/>
      <c r="B308" s="107"/>
    </row>
    <row r="309" spans="1:2" s="3" customFormat="1" x14ac:dyDescent="0.3">
      <c r="A309" s="106"/>
      <c r="B309" s="107"/>
    </row>
    <row r="310" spans="1:2" s="3" customFormat="1" x14ac:dyDescent="0.3">
      <c r="A310" s="106"/>
      <c r="B310" s="107"/>
    </row>
    <row r="311" spans="1:2" s="3" customFormat="1" x14ac:dyDescent="0.3">
      <c r="A311" s="106"/>
      <c r="B311" s="107"/>
    </row>
    <row r="312" spans="1:2" s="3" customFormat="1" x14ac:dyDescent="0.3">
      <c r="A312" s="106"/>
      <c r="B312" s="107"/>
    </row>
    <row r="313" spans="1:2" s="3" customFormat="1" x14ac:dyDescent="0.3">
      <c r="A313" s="106"/>
      <c r="B313" s="107"/>
    </row>
    <row r="314" spans="1:2" s="3" customFormat="1" x14ac:dyDescent="0.3">
      <c r="A314" s="106"/>
      <c r="B314" s="107"/>
    </row>
    <row r="315" spans="1:2" s="3" customFormat="1" x14ac:dyDescent="0.3">
      <c r="A315" s="106"/>
      <c r="B315" s="107"/>
    </row>
    <row r="316" spans="1:2" s="3" customFormat="1" x14ac:dyDescent="0.3">
      <c r="A316" s="106"/>
      <c r="B316" s="107"/>
    </row>
    <row r="317" spans="1:2" s="3" customFormat="1" x14ac:dyDescent="0.3">
      <c r="A317" s="106"/>
      <c r="B317" s="107"/>
    </row>
    <row r="318" spans="1:2" s="3" customFormat="1" x14ac:dyDescent="0.3">
      <c r="A318" s="106"/>
      <c r="B318" s="107"/>
    </row>
    <row r="319" spans="1:2" s="3" customFormat="1" x14ac:dyDescent="0.3">
      <c r="A319" s="106"/>
      <c r="B319" s="107"/>
    </row>
    <row r="320" spans="1:2" s="3" customFormat="1" x14ac:dyDescent="0.3">
      <c r="A320" s="106"/>
      <c r="B320" s="107"/>
    </row>
    <row r="321" spans="1:2" s="3" customFormat="1" x14ac:dyDescent="0.3">
      <c r="A321" s="106"/>
      <c r="B321" s="107"/>
    </row>
    <row r="322" spans="1:2" s="3" customFormat="1" x14ac:dyDescent="0.3">
      <c r="A322" s="106"/>
      <c r="B322" s="107"/>
    </row>
    <row r="323" spans="1:2" s="3" customFormat="1" x14ac:dyDescent="0.3">
      <c r="A323" s="106"/>
      <c r="B323" s="107"/>
    </row>
    <row r="324" spans="1:2" s="3" customFormat="1" x14ac:dyDescent="0.3">
      <c r="A324" s="106"/>
      <c r="B324" s="107"/>
    </row>
    <row r="325" spans="1:2" s="3" customFormat="1" x14ac:dyDescent="0.3">
      <c r="A325" s="106"/>
      <c r="B325" s="107"/>
    </row>
    <row r="326" spans="1:2" s="3" customFormat="1" x14ac:dyDescent="0.3">
      <c r="A326" s="106"/>
      <c r="B326" s="107"/>
    </row>
    <row r="327" spans="1:2" s="3" customFormat="1" x14ac:dyDescent="0.3">
      <c r="A327" s="106"/>
      <c r="B327" s="107"/>
    </row>
    <row r="328" spans="1:2" s="3" customFormat="1" x14ac:dyDescent="0.3">
      <c r="A328" s="106"/>
      <c r="B328" s="107"/>
    </row>
    <row r="329" spans="1:2" s="3" customFormat="1" x14ac:dyDescent="0.3">
      <c r="A329" s="106"/>
      <c r="B329" s="107"/>
    </row>
    <row r="330" spans="1:2" s="3" customFormat="1" x14ac:dyDescent="0.3">
      <c r="A330" s="106"/>
      <c r="B330" s="107"/>
    </row>
    <row r="331" spans="1:2" s="3" customFormat="1" x14ac:dyDescent="0.3">
      <c r="A331" s="106"/>
      <c r="B331" s="107"/>
    </row>
    <row r="332" spans="1:2" s="3" customFormat="1" x14ac:dyDescent="0.3">
      <c r="A332" s="106"/>
      <c r="B332" s="107"/>
    </row>
    <row r="333" spans="1:2" s="3" customFormat="1" x14ac:dyDescent="0.3">
      <c r="A333" s="106"/>
      <c r="B333" s="107"/>
    </row>
    <row r="334" spans="1:2" s="3" customFormat="1" x14ac:dyDescent="0.3">
      <c r="A334" s="106"/>
      <c r="B334" s="107"/>
    </row>
    <row r="335" spans="1:2" s="3" customFormat="1" x14ac:dyDescent="0.3">
      <c r="A335" s="106"/>
      <c r="B335" s="107"/>
    </row>
    <row r="336" spans="1:2" s="3" customFormat="1" x14ac:dyDescent="0.3">
      <c r="A336" s="106"/>
      <c r="B336" s="107"/>
    </row>
    <row r="337" spans="1:2" s="3" customFormat="1" x14ac:dyDescent="0.3">
      <c r="A337" s="106"/>
      <c r="B337" s="107"/>
    </row>
    <row r="338" spans="1:2" s="3" customFormat="1" x14ac:dyDescent="0.3">
      <c r="A338" s="106"/>
      <c r="B338" s="107"/>
    </row>
    <row r="339" spans="1:2" s="3" customFormat="1" x14ac:dyDescent="0.3">
      <c r="A339" s="106"/>
      <c r="B339" s="107"/>
    </row>
    <row r="340" spans="1:2" s="3" customFormat="1" x14ac:dyDescent="0.3">
      <c r="A340" s="106"/>
      <c r="B340" s="107"/>
    </row>
    <row r="341" spans="1:2" s="3" customFormat="1" x14ac:dyDescent="0.3">
      <c r="A341" s="106"/>
      <c r="B341" s="107"/>
    </row>
    <row r="342" spans="1:2" s="3" customFormat="1" x14ac:dyDescent="0.3">
      <c r="A342" s="106"/>
      <c r="B342" s="107"/>
    </row>
    <row r="343" spans="1:2" s="3" customFormat="1" x14ac:dyDescent="0.3">
      <c r="A343" s="106"/>
      <c r="B343" s="107"/>
    </row>
    <row r="344" spans="1:2" s="3" customFormat="1" x14ac:dyDescent="0.3">
      <c r="A344" s="106"/>
      <c r="B344" s="107"/>
    </row>
    <row r="345" spans="1:2" s="3" customFormat="1" x14ac:dyDescent="0.3">
      <c r="A345" s="106"/>
      <c r="B345" s="107"/>
    </row>
    <row r="346" spans="1:2" s="3" customFormat="1" x14ac:dyDescent="0.3">
      <c r="A346" s="106"/>
      <c r="B346" s="107"/>
    </row>
    <row r="347" spans="1:2" s="3" customFormat="1" x14ac:dyDescent="0.3">
      <c r="A347" s="106"/>
      <c r="B347" s="107"/>
    </row>
    <row r="348" spans="1:2" s="3" customFormat="1" x14ac:dyDescent="0.3">
      <c r="A348" s="106"/>
      <c r="B348" s="107"/>
    </row>
    <row r="349" spans="1:2" s="3" customFormat="1" x14ac:dyDescent="0.3">
      <c r="A349" s="106"/>
      <c r="B349" s="107"/>
    </row>
    <row r="350" spans="1:2" s="3" customFormat="1" x14ac:dyDescent="0.3">
      <c r="A350" s="106"/>
      <c r="B350" s="107"/>
    </row>
    <row r="351" spans="1:2" s="3" customFormat="1" x14ac:dyDescent="0.3">
      <c r="A351" s="106"/>
      <c r="B351" s="107"/>
    </row>
    <row r="352" spans="1:2" s="3" customFormat="1" x14ac:dyDescent="0.3">
      <c r="A352" s="106"/>
      <c r="B352" s="107"/>
    </row>
    <row r="353" spans="1:2" s="3" customFormat="1" x14ac:dyDescent="0.3">
      <c r="A353" s="106"/>
      <c r="B353" s="107"/>
    </row>
    <row r="354" spans="1:2" s="3" customFormat="1" x14ac:dyDescent="0.3">
      <c r="A354" s="106"/>
      <c r="B354" s="107"/>
    </row>
    <row r="355" spans="1:2" s="3" customFormat="1" x14ac:dyDescent="0.3">
      <c r="A355" s="106"/>
      <c r="B355" s="107"/>
    </row>
    <row r="356" spans="1:2" s="3" customFormat="1" x14ac:dyDescent="0.3">
      <c r="A356" s="106"/>
      <c r="B356" s="107"/>
    </row>
    <row r="357" spans="1:2" s="3" customFormat="1" x14ac:dyDescent="0.3">
      <c r="A357" s="106"/>
      <c r="B357" s="107"/>
    </row>
    <row r="358" spans="1:2" s="3" customFormat="1" x14ac:dyDescent="0.3">
      <c r="A358" s="106"/>
      <c r="B358" s="107"/>
    </row>
    <row r="359" spans="1:2" s="3" customFormat="1" x14ac:dyDescent="0.3">
      <c r="A359" s="106"/>
      <c r="B359" s="107"/>
    </row>
    <row r="360" spans="1:2" s="3" customFormat="1" x14ac:dyDescent="0.3">
      <c r="A360" s="106"/>
      <c r="B360" s="107"/>
    </row>
    <row r="361" spans="1:2" s="3" customFormat="1" x14ac:dyDescent="0.3">
      <c r="A361" s="106"/>
      <c r="B361" s="107"/>
    </row>
    <row r="362" spans="1:2" s="3" customFormat="1" x14ac:dyDescent="0.3">
      <c r="A362" s="106"/>
      <c r="B362" s="107"/>
    </row>
    <row r="363" spans="1:2" s="3" customFormat="1" x14ac:dyDescent="0.3">
      <c r="A363" s="106"/>
      <c r="B363" s="107"/>
    </row>
    <row r="364" spans="1:2" s="3" customFormat="1" x14ac:dyDescent="0.3">
      <c r="A364" s="106"/>
      <c r="B364" s="107"/>
    </row>
    <row r="365" spans="1:2" s="3" customFormat="1" x14ac:dyDescent="0.3">
      <c r="A365" s="106"/>
      <c r="B365" s="107"/>
    </row>
    <row r="366" spans="1:2" s="3" customFormat="1" x14ac:dyDescent="0.3">
      <c r="A366" s="106"/>
      <c r="B366" s="107"/>
    </row>
    <row r="367" spans="1:2" s="3" customFormat="1" x14ac:dyDescent="0.3">
      <c r="A367" s="106"/>
      <c r="B367" s="107"/>
    </row>
    <row r="368" spans="1:2" s="3" customFormat="1" x14ac:dyDescent="0.3">
      <c r="A368" s="106"/>
      <c r="B368" s="107"/>
    </row>
    <row r="369" spans="1:2" s="3" customFormat="1" x14ac:dyDescent="0.3">
      <c r="A369" s="106"/>
      <c r="B369" s="107"/>
    </row>
    <row r="370" spans="1:2" s="3" customFormat="1" x14ac:dyDescent="0.3">
      <c r="A370" s="106"/>
      <c r="B370" s="107"/>
    </row>
    <row r="371" spans="1:2" s="3" customFormat="1" x14ac:dyDescent="0.3">
      <c r="A371" s="106"/>
      <c r="B371" s="107"/>
    </row>
    <row r="372" spans="1:2" s="3" customFormat="1" x14ac:dyDescent="0.3">
      <c r="A372" s="106"/>
      <c r="B372" s="107"/>
    </row>
    <row r="373" spans="1:2" s="3" customFormat="1" x14ac:dyDescent="0.3">
      <c r="A373" s="106"/>
      <c r="B373" s="107"/>
    </row>
    <row r="374" spans="1:2" s="3" customFormat="1" x14ac:dyDescent="0.3">
      <c r="A374" s="106"/>
      <c r="B374" s="107"/>
    </row>
    <row r="375" spans="1:2" s="3" customFormat="1" x14ac:dyDescent="0.3">
      <c r="A375" s="106"/>
      <c r="B375" s="107"/>
    </row>
    <row r="376" spans="1:2" s="3" customFormat="1" x14ac:dyDescent="0.3">
      <c r="A376" s="106"/>
      <c r="B376" s="107"/>
    </row>
    <row r="377" spans="1:2" s="3" customFormat="1" x14ac:dyDescent="0.3">
      <c r="A377" s="106"/>
      <c r="B377" s="107"/>
    </row>
    <row r="378" spans="1:2" s="3" customFormat="1" x14ac:dyDescent="0.3">
      <c r="A378" s="106"/>
      <c r="B378" s="107"/>
    </row>
    <row r="379" spans="1:2" s="3" customFormat="1" x14ac:dyDescent="0.3">
      <c r="A379" s="106"/>
      <c r="B379" s="107"/>
    </row>
    <row r="380" spans="1:2" s="3" customFormat="1" x14ac:dyDescent="0.3">
      <c r="A380" s="106"/>
      <c r="B380" s="107"/>
    </row>
    <row r="381" spans="1:2" s="3" customFormat="1" x14ac:dyDescent="0.3">
      <c r="A381" s="106"/>
      <c r="B381" s="107"/>
    </row>
    <row r="382" spans="1:2" s="3" customFormat="1" x14ac:dyDescent="0.3">
      <c r="A382" s="106"/>
      <c r="B382" s="107"/>
    </row>
    <row r="383" spans="1:2" s="3" customFormat="1" x14ac:dyDescent="0.3">
      <c r="A383" s="106"/>
      <c r="B383" s="107"/>
    </row>
    <row r="384" spans="1:2" s="3" customFormat="1" x14ac:dyDescent="0.3">
      <c r="A384" s="106"/>
      <c r="B384" s="107"/>
    </row>
    <row r="385" spans="1:2" s="3" customFormat="1" x14ac:dyDescent="0.3">
      <c r="A385" s="106"/>
      <c r="B385" s="107"/>
    </row>
    <row r="386" spans="1:2" s="3" customFormat="1" x14ac:dyDescent="0.3">
      <c r="A386" s="106"/>
      <c r="B386" s="107"/>
    </row>
    <row r="387" spans="1:2" s="3" customFormat="1" x14ac:dyDescent="0.3">
      <c r="A387" s="106"/>
      <c r="B387" s="107"/>
    </row>
    <row r="388" spans="1:2" s="3" customFormat="1" x14ac:dyDescent="0.3">
      <c r="A388" s="106"/>
      <c r="B388" s="107"/>
    </row>
    <row r="389" spans="1:2" s="3" customFormat="1" x14ac:dyDescent="0.3">
      <c r="A389" s="106"/>
      <c r="B389" s="107"/>
    </row>
    <row r="390" spans="1:2" s="3" customFormat="1" x14ac:dyDescent="0.3">
      <c r="A390" s="106"/>
      <c r="B390" s="107"/>
    </row>
    <row r="391" spans="1:2" s="3" customFormat="1" x14ac:dyDescent="0.3">
      <c r="A391" s="106"/>
      <c r="B391" s="107"/>
    </row>
    <row r="392" spans="1:2" s="3" customFormat="1" x14ac:dyDescent="0.3">
      <c r="A392" s="106"/>
      <c r="B392" s="107"/>
    </row>
    <row r="393" spans="1:2" s="3" customFormat="1" x14ac:dyDescent="0.3">
      <c r="A393" s="106"/>
      <c r="B393" s="107"/>
    </row>
    <row r="394" spans="1:2" s="3" customFormat="1" x14ac:dyDescent="0.3">
      <c r="A394" s="106"/>
      <c r="B394" s="107"/>
    </row>
    <row r="395" spans="1:2" s="3" customFormat="1" x14ac:dyDescent="0.3">
      <c r="A395" s="106"/>
      <c r="B395" s="107"/>
    </row>
    <row r="396" spans="1:2" s="3" customFormat="1" x14ac:dyDescent="0.3">
      <c r="A396" s="106"/>
      <c r="B396" s="107"/>
    </row>
    <row r="397" spans="1:2" s="3" customFormat="1" x14ac:dyDescent="0.3">
      <c r="A397" s="106"/>
      <c r="B397" s="107"/>
    </row>
    <row r="398" spans="1:2" s="3" customFormat="1" x14ac:dyDescent="0.3">
      <c r="A398" s="106"/>
      <c r="B398" s="107"/>
    </row>
    <row r="399" spans="1:2" s="3" customFormat="1" x14ac:dyDescent="0.3">
      <c r="A399" s="106"/>
      <c r="B399" s="107"/>
    </row>
    <row r="400" spans="1:2" s="3" customFormat="1" x14ac:dyDescent="0.3">
      <c r="A400" s="106"/>
      <c r="B400" s="107"/>
    </row>
    <row r="401" spans="1:2" s="3" customFormat="1" x14ac:dyDescent="0.3">
      <c r="A401" s="106"/>
      <c r="B401" s="107"/>
    </row>
    <row r="402" spans="1:2" s="3" customFormat="1" x14ac:dyDescent="0.3">
      <c r="A402" s="106"/>
      <c r="B402" s="107"/>
    </row>
    <row r="403" spans="1:2" s="3" customFormat="1" x14ac:dyDescent="0.3">
      <c r="A403" s="106"/>
      <c r="B403" s="107"/>
    </row>
    <row r="404" spans="1:2" s="3" customFormat="1" x14ac:dyDescent="0.3">
      <c r="A404" s="106"/>
      <c r="B404" s="107"/>
    </row>
    <row r="405" spans="1:2" s="3" customFormat="1" x14ac:dyDescent="0.3">
      <c r="A405" s="106"/>
      <c r="B405" s="107"/>
    </row>
    <row r="406" spans="1:2" s="3" customFormat="1" x14ac:dyDescent="0.3">
      <c r="A406" s="106"/>
      <c r="B406" s="107"/>
    </row>
    <row r="407" spans="1:2" s="3" customFormat="1" x14ac:dyDescent="0.3">
      <c r="A407" s="106"/>
      <c r="B407" s="107"/>
    </row>
    <row r="408" spans="1:2" s="3" customFormat="1" x14ac:dyDescent="0.3">
      <c r="A408" s="106"/>
      <c r="B408" s="107"/>
    </row>
    <row r="409" spans="1:2" s="3" customFormat="1" x14ac:dyDescent="0.3">
      <c r="A409" s="106"/>
      <c r="B409" s="107"/>
    </row>
    <row r="410" spans="1:2" s="3" customFormat="1" x14ac:dyDescent="0.3">
      <c r="A410" s="106"/>
      <c r="B410" s="107"/>
    </row>
    <row r="411" spans="1:2" s="3" customFormat="1" x14ac:dyDescent="0.3">
      <c r="A411" s="106"/>
      <c r="B411" s="107"/>
    </row>
    <row r="412" spans="1:2" s="3" customFormat="1" x14ac:dyDescent="0.3">
      <c r="A412" s="106"/>
      <c r="B412" s="107"/>
    </row>
    <row r="413" spans="1:2" s="3" customFormat="1" x14ac:dyDescent="0.3">
      <c r="A413" s="106"/>
      <c r="B413" s="107"/>
    </row>
    <row r="414" spans="1:2" s="3" customFormat="1" x14ac:dyDescent="0.3">
      <c r="A414" s="106"/>
      <c r="B414" s="107"/>
    </row>
  </sheetData>
  <mergeCells count="6">
    <mergeCell ref="K2:L2"/>
    <mergeCell ref="K4:L4"/>
    <mergeCell ref="I4:J4"/>
    <mergeCell ref="I2:J2"/>
    <mergeCell ref="F4:G4"/>
    <mergeCell ref="F2:G2"/>
  </mergeCells>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6CCC9-8354-48EF-8C10-B1C680FC3EAD}">
  <sheetPr codeName="ShLangue"/>
  <dimension ref="A1:H211"/>
  <sheetViews>
    <sheetView showGridLines="0" workbookViewId="0">
      <selection activeCell="A2" sqref="A2:A23"/>
    </sheetView>
  </sheetViews>
  <sheetFormatPr defaultColWidth="9.109375" defaultRowHeight="14.4" x14ac:dyDescent="0.3"/>
  <cols>
    <col min="1" max="1" width="73.6640625" customWidth="1"/>
    <col min="2" max="2" width="46.33203125" customWidth="1"/>
    <col min="6" max="6" width="15" customWidth="1"/>
    <col min="8" max="8" width="14" customWidth="1"/>
  </cols>
  <sheetData>
    <row r="1" spans="1:8" x14ac:dyDescent="0.3">
      <c r="A1" s="2" t="s">
        <v>256</v>
      </c>
      <c r="B1" s="2" t="s">
        <v>257</v>
      </c>
      <c r="F1" t="s">
        <v>258</v>
      </c>
      <c r="H1" t="s">
        <v>259</v>
      </c>
    </row>
    <row r="2" spans="1:8" x14ac:dyDescent="0.3">
      <c r="A2" s="64" t="s">
        <v>460</v>
      </c>
      <c r="B2" s="2" t="s">
        <v>268</v>
      </c>
      <c r="F2" t="s">
        <v>257</v>
      </c>
      <c r="H2" t="s">
        <v>260</v>
      </c>
    </row>
    <row r="3" spans="1:8" x14ac:dyDescent="0.3">
      <c r="A3" s="64" t="s">
        <v>35</v>
      </c>
      <c r="B3" s="2" t="s">
        <v>263</v>
      </c>
      <c r="F3" t="s">
        <v>256</v>
      </c>
      <c r="H3" t="s">
        <v>262</v>
      </c>
    </row>
    <row r="4" spans="1:8" x14ac:dyDescent="0.3">
      <c r="A4" s="64" t="s">
        <v>36</v>
      </c>
      <c r="B4" s="2" t="s">
        <v>264</v>
      </c>
    </row>
    <row r="5" spans="1:8" x14ac:dyDescent="0.3">
      <c r="A5" s="64" t="s">
        <v>461</v>
      </c>
      <c r="B5" s="2" t="s">
        <v>265</v>
      </c>
    </row>
    <row r="6" spans="1:8" x14ac:dyDescent="0.3">
      <c r="A6" s="64" t="s">
        <v>462</v>
      </c>
      <c r="B6" s="2" t="s">
        <v>266</v>
      </c>
    </row>
    <row r="7" spans="1:8" x14ac:dyDescent="0.3">
      <c r="A7" s="64" t="s">
        <v>38</v>
      </c>
      <c r="B7" s="2" t="s">
        <v>267</v>
      </c>
    </row>
    <row r="8" spans="1:8" x14ac:dyDescent="0.3">
      <c r="A8" s="64" t="s">
        <v>463</v>
      </c>
      <c r="B8" s="2" t="s">
        <v>261</v>
      </c>
    </row>
    <row r="9" spans="1:8" x14ac:dyDescent="0.3">
      <c r="A9" s="64" t="s">
        <v>243</v>
      </c>
      <c r="B9" s="2" t="s">
        <v>269</v>
      </c>
    </row>
    <row r="10" spans="1:8" x14ac:dyDescent="0.3">
      <c r="A10" s="64" t="s">
        <v>244</v>
      </c>
      <c r="B10" s="2" t="s">
        <v>270</v>
      </c>
    </row>
    <row r="11" spans="1:8" x14ac:dyDescent="0.3">
      <c r="A11" s="64" t="s">
        <v>251</v>
      </c>
      <c r="B11" s="2" t="s">
        <v>455</v>
      </c>
    </row>
    <row r="12" spans="1:8" x14ac:dyDescent="0.3">
      <c r="A12" s="64" t="s">
        <v>252</v>
      </c>
      <c r="B12" s="2" t="s">
        <v>456</v>
      </c>
    </row>
    <row r="13" spans="1:8" x14ac:dyDescent="0.3">
      <c r="A13" s="64" t="s">
        <v>0</v>
      </c>
      <c r="B13" s="2" t="s">
        <v>457</v>
      </c>
    </row>
    <row r="14" spans="1:8" x14ac:dyDescent="0.3">
      <c r="A14" s="64" t="s">
        <v>1</v>
      </c>
      <c r="B14" s="2" t="s">
        <v>458</v>
      </c>
    </row>
    <row r="15" spans="1:8" x14ac:dyDescent="0.3">
      <c r="A15" s="64" t="s">
        <v>2</v>
      </c>
      <c r="B15" s="2" t="s">
        <v>459</v>
      </c>
    </row>
    <row r="16" spans="1:8" x14ac:dyDescent="0.3">
      <c r="A16" s="64" t="s">
        <v>464</v>
      </c>
      <c r="B16" s="2" t="s">
        <v>271</v>
      </c>
    </row>
    <row r="17" spans="1:2" x14ac:dyDescent="0.3">
      <c r="A17" s="64" t="s">
        <v>465</v>
      </c>
      <c r="B17" s="2" t="s">
        <v>272</v>
      </c>
    </row>
    <row r="18" spans="1:2" x14ac:dyDescent="0.3">
      <c r="A18" s="64" t="s">
        <v>466</v>
      </c>
      <c r="B18" s="2" t="s">
        <v>273</v>
      </c>
    </row>
    <row r="19" spans="1:2" x14ac:dyDescent="0.3">
      <c r="A19" s="64" t="s">
        <v>467</v>
      </c>
      <c r="B19" s="2" t="s">
        <v>274</v>
      </c>
    </row>
    <row r="20" spans="1:2" x14ac:dyDescent="0.3">
      <c r="A20" s="64" t="s">
        <v>468</v>
      </c>
      <c r="B20" s="2" t="s">
        <v>275</v>
      </c>
    </row>
    <row r="21" spans="1:2" x14ac:dyDescent="0.3">
      <c r="A21" s="64" t="s">
        <v>469</v>
      </c>
      <c r="B21" s="2" t="s">
        <v>276</v>
      </c>
    </row>
    <row r="22" spans="1:2" x14ac:dyDescent="0.3">
      <c r="A22" s="64" t="s">
        <v>3</v>
      </c>
      <c r="B22" s="2" t="s">
        <v>3</v>
      </c>
    </row>
    <row r="23" spans="1:2" x14ac:dyDescent="0.3">
      <c r="A23" s="64" t="s">
        <v>253</v>
      </c>
      <c r="B23" s="2" t="s">
        <v>277</v>
      </c>
    </row>
    <row r="24" spans="1:2" x14ac:dyDescent="0.3">
      <c r="A24" s="64" t="s">
        <v>13</v>
      </c>
      <c r="B24" s="2" t="s">
        <v>278</v>
      </c>
    </row>
    <row r="25" spans="1:2" x14ac:dyDescent="0.3">
      <c r="A25" s="64" t="s">
        <v>74</v>
      </c>
      <c r="B25" s="2" t="s">
        <v>279</v>
      </c>
    </row>
    <row r="26" spans="1:2" x14ac:dyDescent="0.3">
      <c r="A26" s="64" t="s">
        <v>14</v>
      </c>
      <c r="B26" s="2" t="s">
        <v>280</v>
      </c>
    </row>
    <row r="27" spans="1:2" x14ac:dyDescent="0.3">
      <c r="A27" s="64" t="s">
        <v>75</v>
      </c>
      <c r="B27" s="2" t="s">
        <v>281</v>
      </c>
    </row>
    <row r="28" spans="1:2" x14ac:dyDescent="0.3">
      <c r="A28" s="64" t="s">
        <v>76</v>
      </c>
      <c r="B28" s="2" t="s">
        <v>282</v>
      </c>
    </row>
    <row r="29" spans="1:2" x14ac:dyDescent="0.3">
      <c r="A29" s="64" t="s">
        <v>77</v>
      </c>
      <c r="B29" s="2" t="s">
        <v>283</v>
      </c>
    </row>
    <row r="30" spans="1:2" x14ac:dyDescent="0.3">
      <c r="A30" s="64" t="s">
        <v>15</v>
      </c>
      <c r="B30" s="2" t="s">
        <v>284</v>
      </c>
    </row>
    <row r="31" spans="1:2" x14ac:dyDescent="0.3">
      <c r="A31" s="64" t="s">
        <v>16</v>
      </c>
      <c r="B31" s="2" t="s">
        <v>285</v>
      </c>
    </row>
    <row r="32" spans="1:2" x14ac:dyDescent="0.3">
      <c r="A32" s="64" t="s">
        <v>78</v>
      </c>
      <c r="B32" s="2" t="s">
        <v>286</v>
      </c>
    </row>
    <row r="33" spans="1:2" x14ac:dyDescent="0.3">
      <c r="A33" s="64" t="s">
        <v>79</v>
      </c>
      <c r="B33" s="2" t="s">
        <v>287</v>
      </c>
    </row>
    <row r="34" spans="1:2" x14ac:dyDescent="0.3">
      <c r="A34" s="64" t="s">
        <v>80</v>
      </c>
      <c r="B34" s="2" t="s">
        <v>288</v>
      </c>
    </row>
    <row r="35" spans="1:2" x14ac:dyDescent="0.3">
      <c r="A35" s="64" t="s">
        <v>17</v>
      </c>
      <c r="B35" s="2" t="s">
        <v>289</v>
      </c>
    </row>
    <row r="36" spans="1:2" x14ac:dyDescent="0.3">
      <c r="A36" s="64" t="s">
        <v>81</v>
      </c>
      <c r="B36" s="2" t="s">
        <v>290</v>
      </c>
    </row>
    <row r="37" spans="1:2" x14ac:dyDescent="0.3">
      <c r="A37" s="64" t="s">
        <v>82</v>
      </c>
      <c r="B37" s="2" t="s">
        <v>291</v>
      </c>
    </row>
    <row r="38" spans="1:2" x14ac:dyDescent="0.3">
      <c r="A38" s="64" t="s">
        <v>83</v>
      </c>
      <c r="B38" s="2" t="s">
        <v>292</v>
      </c>
    </row>
    <row r="39" spans="1:2" x14ac:dyDescent="0.3">
      <c r="A39" s="64" t="s">
        <v>84</v>
      </c>
      <c r="B39" s="2" t="s">
        <v>293</v>
      </c>
    </row>
    <row r="40" spans="1:2" x14ac:dyDescent="0.3">
      <c r="A40" s="64" t="s">
        <v>85</v>
      </c>
      <c r="B40" s="2" t="s">
        <v>294</v>
      </c>
    </row>
    <row r="41" spans="1:2" x14ac:dyDescent="0.3">
      <c r="A41" s="64" t="s">
        <v>86</v>
      </c>
      <c r="B41" s="2" t="s">
        <v>295</v>
      </c>
    </row>
    <row r="42" spans="1:2" x14ac:dyDescent="0.3">
      <c r="A42" s="64" t="s">
        <v>87</v>
      </c>
      <c r="B42" s="2" t="s">
        <v>296</v>
      </c>
    </row>
    <row r="43" spans="1:2" x14ac:dyDescent="0.3">
      <c r="A43" s="64" t="s">
        <v>88</v>
      </c>
      <c r="B43" s="2" t="s">
        <v>297</v>
      </c>
    </row>
    <row r="44" spans="1:2" x14ac:dyDescent="0.3">
      <c r="A44" s="64" t="s">
        <v>18</v>
      </c>
      <c r="B44" s="2" t="s">
        <v>452</v>
      </c>
    </row>
    <row r="45" spans="1:2" x14ac:dyDescent="0.3">
      <c r="A45" s="64" t="s">
        <v>89</v>
      </c>
      <c r="B45" s="2" t="s">
        <v>298</v>
      </c>
    </row>
    <row r="46" spans="1:2" x14ac:dyDescent="0.3">
      <c r="A46" s="64" t="s">
        <v>90</v>
      </c>
      <c r="B46" s="2" t="s">
        <v>299</v>
      </c>
    </row>
    <row r="47" spans="1:2" x14ac:dyDescent="0.3">
      <c r="A47" s="64" t="s">
        <v>91</v>
      </c>
      <c r="B47" s="2" t="s">
        <v>300</v>
      </c>
    </row>
    <row r="48" spans="1:2" x14ac:dyDescent="0.3">
      <c r="A48" s="64" t="s">
        <v>19</v>
      </c>
      <c r="B48" s="2" t="s">
        <v>301</v>
      </c>
    </row>
    <row r="49" spans="1:2" x14ac:dyDescent="0.3">
      <c r="A49" s="64" t="s">
        <v>20</v>
      </c>
      <c r="B49" s="2" t="s">
        <v>302</v>
      </c>
    </row>
    <row r="50" spans="1:2" x14ac:dyDescent="0.3">
      <c r="A50" s="64" t="s">
        <v>92</v>
      </c>
      <c r="B50" s="2" t="s">
        <v>303</v>
      </c>
    </row>
    <row r="51" spans="1:2" x14ac:dyDescent="0.3">
      <c r="A51" s="64" t="s">
        <v>93</v>
      </c>
      <c r="B51" s="2" t="s">
        <v>304</v>
      </c>
    </row>
    <row r="52" spans="1:2" x14ac:dyDescent="0.3">
      <c r="A52" s="64" t="s">
        <v>21</v>
      </c>
      <c r="B52" s="2" t="s">
        <v>305</v>
      </c>
    </row>
    <row r="53" spans="1:2" x14ac:dyDescent="0.3">
      <c r="A53" s="64" t="s">
        <v>94</v>
      </c>
      <c r="B53" s="2" t="s">
        <v>306</v>
      </c>
    </row>
    <row r="54" spans="1:2" x14ac:dyDescent="0.3">
      <c r="A54" s="64" t="s">
        <v>95</v>
      </c>
      <c r="B54" s="2" t="s">
        <v>307</v>
      </c>
    </row>
    <row r="55" spans="1:2" x14ac:dyDescent="0.3">
      <c r="A55" s="64" t="s">
        <v>96</v>
      </c>
      <c r="B55" s="2" t="s">
        <v>308</v>
      </c>
    </row>
    <row r="56" spans="1:2" x14ac:dyDescent="0.3">
      <c r="A56" s="64" t="s">
        <v>97</v>
      </c>
      <c r="B56" s="2" t="s">
        <v>309</v>
      </c>
    </row>
    <row r="57" spans="1:2" x14ac:dyDescent="0.3">
      <c r="A57" s="64" t="s">
        <v>98</v>
      </c>
      <c r="B57" s="2" t="s">
        <v>310</v>
      </c>
    </row>
    <row r="58" spans="1:2" x14ac:dyDescent="0.3">
      <c r="A58" s="64" t="s">
        <v>99</v>
      </c>
      <c r="B58" s="2" t="s">
        <v>311</v>
      </c>
    </row>
    <row r="59" spans="1:2" x14ac:dyDescent="0.3">
      <c r="A59" s="64" t="s">
        <v>100</v>
      </c>
      <c r="B59" s="2" t="s">
        <v>312</v>
      </c>
    </row>
    <row r="60" spans="1:2" x14ac:dyDescent="0.3">
      <c r="A60" s="64" t="s">
        <v>101</v>
      </c>
      <c r="B60" s="2" t="s">
        <v>313</v>
      </c>
    </row>
    <row r="61" spans="1:2" x14ac:dyDescent="0.3">
      <c r="A61" s="64" t="s">
        <v>41</v>
      </c>
      <c r="B61" s="2" t="s">
        <v>314</v>
      </c>
    </row>
    <row r="62" spans="1:2" x14ac:dyDescent="0.3">
      <c r="A62" s="64" t="s">
        <v>42</v>
      </c>
      <c r="B62" s="2" t="s">
        <v>315</v>
      </c>
    </row>
    <row r="63" spans="1:2" x14ac:dyDescent="0.3">
      <c r="A63" s="64" t="s">
        <v>43</v>
      </c>
      <c r="B63" s="2" t="s">
        <v>316</v>
      </c>
    </row>
    <row r="64" spans="1:2" x14ac:dyDescent="0.3">
      <c r="A64" s="64" t="s">
        <v>45</v>
      </c>
      <c r="B64" s="2" t="s">
        <v>317</v>
      </c>
    </row>
    <row r="65" spans="1:2" x14ac:dyDescent="0.3">
      <c r="A65" s="64" t="s">
        <v>46</v>
      </c>
      <c r="B65" s="2" t="s">
        <v>318</v>
      </c>
    </row>
    <row r="66" spans="1:2" x14ac:dyDescent="0.3">
      <c r="A66" s="64" t="s">
        <v>49</v>
      </c>
      <c r="B66" s="2" t="s">
        <v>319</v>
      </c>
    </row>
    <row r="67" spans="1:2" x14ac:dyDescent="0.3">
      <c r="A67" s="64" t="s">
        <v>47</v>
      </c>
      <c r="B67" s="2" t="s">
        <v>320</v>
      </c>
    </row>
    <row r="68" spans="1:2" x14ac:dyDescent="0.3">
      <c r="A68" s="64" t="s">
        <v>48</v>
      </c>
      <c r="B68" s="2" t="s">
        <v>321</v>
      </c>
    </row>
    <row r="69" spans="1:2" x14ac:dyDescent="0.3">
      <c r="A69" s="64" t="s">
        <v>44</v>
      </c>
      <c r="B69" s="2" t="s">
        <v>322</v>
      </c>
    </row>
    <row r="70" spans="1:2" x14ac:dyDescent="0.3">
      <c r="A70" s="64" t="s">
        <v>50</v>
      </c>
      <c r="B70" s="2" t="s">
        <v>323</v>
      </c>
    </row>
    <row r="71" spans="1:2" x14ac:dyDescent="0.3">
      <c r="A71" s="64" t="s">
        <v>51</v>
      </c>
      <c r="B71" s="2" t="s">
        <v>323</v>
      </c>
    </row>
    <row r="72" spans="1:2" x14ac:dyDescent="0.3">
      <c r="A72" s="64" t="s">
        <v>52</v>
      </c>
      <c r="B72" s="2" t="s">
        <v>324</v>
      </c>
    </row>
    <row r="73" spans="1:2" x14ac:dyDescent="0.3">
      <c r="A73" s="64" t="s">
        <v>53</v>
      </c>
      <c r="B73" s="2" t="s">
        <v>325</v>
      </c>
    </row>
    <row r="74" spans="1:2" x14ac:dyDescent="0.3">
      <c r="A74" s="64" t="s">
        <v>54</v>
      </c>
      <c r="B74" s="2" t="s">
        <v>326</v>
      </c>
    </row>
    <row r="75" spans="1:2" x14ac:dyDescent="0.3">
      <c r="A75" s="64" t="s">
        <v>55</v>
      </c>
      <c r="B75" s="2" t="s">
        <v>327</v>
      </c>
    </row>
    <row r="76" spans="1:2" x14ac:dyDescent="0.3">
      <c r="A76" s="64" t="s">
        <v>56</v>
      </c>
      <c r="B76" s="2" t="s">
        <v>328</v>
      </c>
    </row>
    <row r="77" spans="1:2" x14ac:dyDescent="0.3">
      <c r="A77" s="64" t="s">
        <v>57</v>
      </c>
      <c r="B77" s="2" t="s">
        <v>329</v>
      </c>
    </row>
    <row r="78" spans="1:2" x14ac:dyDescent="0.3">
      <c r="A78" s="64" t="s">
        <v>58</v>
      </c>
      <c r="B78" s="2" t="s">
        <v>330</v>
      </c>
    </row>
    <row r="79" spans="1:2" x14ac:dyDescent="0.3">
      <c r="A79" s="64" t="s">
        <v>59</v>
      </c>
      <c r="B79" s="2" t="s">
        <v>331</v>
      </c>
    </row>
    <row r="80" spans="1:2" x14ac:dyDescent="0.3">
      <c r="A80" s="64" t="s">
        <v>60</v>
      </c>
      <c r="B80" s="2" t="s">
        <v>332</v>
      </c>
    </row>
    <row r="81" spans="1:2" x14ac:dyDescent="0.3">
      <c r="A81" s="64" t="s">
        <v>61</v>
      </c>
      <c r="B81" s="2" t="s">
        <v>333</v>
      </c>
    </row>
    <row r="82" spans="1:2" x14ac:dyDescent="0.3">
      <c r="A82" s="64" t="s">
        <v>62</v>
      </c>
      <c r="B82" s="2" t="s">
        <v>334</v>
      </c>
    </row>
    <row r="83" spans="1:2" x14ac:dyDescent="0.3">
      <c r="A83" s="64" t="s">
        <v>63</v>
      </c>
      <c r="B83" s="2" t="s">
        <v>335</v>
      </c>
    </row>
    <row r="84" spans="1:2" x14ac:dyDescent="0.3">
      <c r="A84" s="64" t="s">
        <v>64</v>
      </c>
      <c r="B84" s="2" t="s">
        <v>335</v>
      </c>
    </row>
    <row r="85" spans="1:2" x14ac:dyDescent="0.3">
      <c r="A85" s="64" t="s">
        <v>65</v>
      </c>
      <c r="B85" s="2" t="s">
        <v>336</v>
      </c>
    </row>
    <row r="86" spans="1:2" x14ac:dyDescent="0.3">
      <c r="A86" s="64" t="s">
        <v>66</v>
      </c>
      <c r="B86" s="2" t="s">
        <v>337</v>
      </c>
    </row>
    <row r="87" spans="1:2" x14ac:dyDescent="0.3">
      <c r="A87" s="64" t="s">
        <v>67</v>
      </c>
      <c r="B87" s="2" t="s">
        <v>338</v>
      </c>
    </row>
    <row r="88" spans="1:2" x14ac:dyDescent="0.3">
      <c r="A88" s="64" t="s">
        <v>68</v>
      </c>
      <c r="B88" s="2" t="s">
        <v>339</v>
      </c>
    </row>
    <row r="89" spans="1:2" x14ac:dyDescent="0.3">
      <c r="A89" s="64" t="s">
        <v>69</v>
      </c>
      <c r="B89" s="2" t="s">
        <v>340</v>
      </c>
    </row>
    <row r="90" spans="1:2" x14ac:dyDescent="0.3">
      <c r="A90" s="64" t="s">
        <v>70</v>
      </c>
      <c r="B90" s="2" t="s">
        <v>341</v>
      </c>
    </row>
    <row r="91" spans="1:2" x14ac:dyDescent="0.3">
      <c r="A91" s="64" t="s">
        <v>102</v>
      </c>
      <c r="B91" s="2" t="s">
        <v>342</v>
      </c>
    </row>
    <row r="92" spans="1:2" x14ac:dyDescent="0.3">
      <c r="A92" s="64" t="s">
        <v>71</v>
      </c>
      <c r="B92" s="2" t="s">
        <v>343</v>
      </c>
    </row>
    <row r="93" spans="1:2" x14ac:dyDescent="0.3">
      <c r="A93" s="64" t="s">
        <v>104</v>
      </c>
      <c r="B93" s="2" t="s">
        <v>344</v>
      </c>
    </row>
    <row r="94" spans="1:2" x14ac:dyDescent="0.3">
      <c r="A94" s="64" t="s">
        <v>105</v>
      </c>
      <c r="B94" s="2" t="s">
        <v>345</v>
      </c>
    </row>
    <row r="95" spans="1:2" x14ac:dyDescent="0.3">
      <c r="A95" s="64" t="s">
        <v>106</v>
      </c>
      <c r="B95" s="2" t="s">
        <v>346</v>
      </c>
    </row>
    <row r="96" spans="1:2" x14ac:dyDescent="0.3">
      <c r="A96" s="64" t="s">
        <v>107</v>
      </c>
      <c r="B96" s="2" t="s">
        <v>347</v>
      </c>
    </row>
    <row r="97" spans="1:2" x14ac:dyDescent="0.3">
      <c r="A97" s="64" t="s">
        <v>108</v>
      </c>
      <c r="B97" s="2" t="s">
        <v>348</v>
      </c>
    </row>
    <row r="98" spans="1:2" x14ac:dyDescent="0.3">
      <c r="A98" s="64" t="s">
        <v>109</v>
      </c>
      <c r="B98" s="2" t="s">
        <v>349</v>
      </c>
    </row>
    <row r="99" spans="1:2" x14ac:dyDescent="0.3">
      <c r="A99" s="64" t="s">
        <v>110</v>
      </c>
      <c r="B99" s="2" t="s">
        <v>350</v>
      </c>
    </row>
    <row r="100" spans="1:2" x14ac:dyDescent="0.3">
      <c r="A100" s="64" t="s">
        <v>111</v>
      </c>
      <c r="B100" s="2" t="s">
        <v>351</v>
      </c>
    </row>
    <row r="101" spans="1:2" x14ac:dyDescent="0.3">
      <c r="A101" s="64" t="s">
        <v>112</v>
      </c>
      <c r="B101" s="2" t="s">
        <v>352</v>
      </c>
    </row>
    <row r="102" spans="1:2" x14ac:dyDescent="0.3">
      <c r="A102" s="64" t="s">
        <v>113</v>
      </c>
      <c r="B102" s="2" t="s">
        <v>353</v>
      </c>
    </row>
    <row r="103" spans="1:2" x14ac:dyDescent="0.3">
      <c r="A103" s="64" t="s">
        <v>114</v>
      </c>
      <c r="B103" s="2" t="s">
        <v>354</v>
      </c>
    </row>
    <row r="104" spans="1:2" x14ac:dyDescent="0.3">
      <c r="A104" s="64" t="s">
        <v>116</v>
      </c>
      <c r="B104" s="2" t="s">
        <v>355</v>
      </c>
    </row>
    <row r="105" spans="1:2" x14ac:dyDescent="0.3">
      <c r="A105" s="64" t="s">
        <v>117</v>
      </c>
      <c r="B105" s="2" t="s">
        <v>356</v>
      </c>
    </row>
    <row r="106" spans="1:2" x14ac:dyDescent="0.3">
      <c r="A106" s="64" t="s">
        <v>118</v>
      </c>
      <c r="B106" s="2" t="s">
        <v>357</v>
      </c>
    </row>
    <row r="107" spans="1:2" x14ac:dyDescent="0.3">
      <c r="A107" s="64" t="s">
        <v>119</v>
      </c>
      <c r="B107" s="2" t="s">
        <v>358</v>
      </c>
    </row>
    <row r="108" spans="1:2" x14ac:dyDescent="0.3">
      <c r="A108" s="64" t="s">
        <v>120</v>
      </c>
      <c r="B108" s="2" t="s">
        <v>359</v>
      </c>
    </row>
    <row r="109" spans="1:2" x14ac:dyDescent="0.3">
      <c r="A109" s="64" t="s">
        <v>121</v>
      </c>
      <c r="B109" s="2" t="s">
        <v>360</v>
      </c>
    </row>
    <row r="110" spans="1:2" x14ac:dyDescent="0.3">
      <c r="A110" s="64" t="s">
        <v>122</v>
      </c>
      <c r="B110" s="2" t="s">
        <v>361</v>
      </c>
    </row>
    <row r="111" spans="1:2" x14ac:dyDescent="0.3">
      <c r="A111" s="64" t="s">
        <v>123</v>
      </c>
      <c r="B111" s="2" t="s">
        <v>362</v>
      </c>
    </row>
    <row r="112" spans="1:2" x14ac:dyDescent="0.3">
      <c r="A112" s="64" t="s">
        <v>124</v>
      </c>
      <c r="B112" s="2" t="s">
        <v>124</v>
      </c>
    </row>
    <row r="113" spans="1:2" x14ac:dyDescent="0.3">
      <c r="A113" s="64" t="s">
        <v>125</v>
      </c>
      <c r="B113" s="2" t="s">
        <v>363</v>
      </c>
    </row>
    <row r="114" spans="1:2" x14ac:dyDescent="0.3">
      <c r="A114" s="64" t="s">
        <v>126</v>
      </c>
      <c r="B114" s="2" t="s">
        <v>364</v>
      </c>
    </row>
    <row r="115" spans="1:2" x14ac:dyDescent="0.3">
      <c r="A115" s="64" t="s">
        <v>127</v>
      </c>
      <c r="B115" s="2" t="s">
        <v>365</v>
      </c>
    </row>
    <row r="116" spans="1:2" x14ac:dyDescent="0.3">
      <c r="A116" s="64" t="s">
        <v>128</v>
      </c>
      <c r="B116" s="2" t="s">
        <v>366</v>
      </c>
    </row>
    <row r="117" spans="1:2" x14ac:dyDescent="0.3">
      <c r="A117" s="64" t="s">
        <v>129</v>
      </c>
      <c r="B117" s="2" t="s">
        <v>367</v>
      </c>
    </row>
    <row r="118" spans="1:2" x14ac:dyDescent="0.3">
      <c r="A118" s="64" t="s">
        <v>23</v>
      </c>
      <c r="B118" s="2" t="s">
        <v>368</v>
      </c>
    </row>
    <row r="119" spans="1:2" x14ac:dyDescent="0.3">
      <c r="A119" s="64" t="s">
        <v>24</v>
      </c>
      <c r="B119" s="2" t="s">
        <v>369</v>
      </c>
    </row>
    <row r="120" spans="1:2" x14ac:dyDescent="0.3">
      <c r="A120" s="64" t="s">
        <v>130</v>
      </c>
      <c r="B120" s="2" t="s">
        <v>370</v>
      </c>
    </row>
    <row r="121" spans="1:2" x14ac:dyDescent="0.3">
      <c r="A121" s="64" t="s">
        <v>131</v>
      </c>
      <c r="B121" s="2" t="s">
        <v>371</v>
      </c>
    </row>
    <row r="122" spans="1:2" x14ac:dyDescent="0.3">
      <c r="A122" s="64" t="s">
        <v>132</v>
      </c>
      <c r="B122" s="2" t="s">
        <v>372</v>
      </c>
    </row>
    <row r="123" spans="1:2" x14ac:dyDescent="0.3">
      <c r="A123" s="64" t="s">
        <v>133</v>
      </c>
      <c r="B123" s="2" t="s">
        <v>373</v>
      </c>
    </row>
    <row r="124" spans="1:2" x14ac:dyDescent="0.3">
      <c r="A124" s="64" t="s">
        <v>28</v>
      </c>
      <c r="B124" s="2" t="s">
        <v>374</v>
      </c>
    </row>
    <row r="125" spans="1:2" x14ac:dyDescent="0.3">
      <c r="A125" s="64" t="s">
        <v>134</v>
      </c>
      <c r="B125" s="2" t="s">
        <v>375</v>
      </c>
    </row>
    <row r="126" spans="1:2" x14ac:dyDescent="0.3">
      <c r="A126" s="64" t="s">
        <v>135</v>
      </c>
      <c r="B126" s="2" t="s">
        <v>376</v>
      </c>
    </row>
    <row r="127" spans="1:2" x14ac:dyDescent="0.3">
      <c r="A127" s="64" t="s">
        <v>115</v>
      </c>
      <c r="B127" s="2" t="s">
        <v>377</v>
      </c>
    </row>
    <row r="128" spans="1:2" x14ac:dyDescent="0.3">
      <c r="A128" s="64" t="s">
        <v>136</v>
      </c>
      <c r="B128" s="2" t="s">
        <v>378</v>
      </c>
    </row>
    <row r="129" spans="1:2" x14ac:dyDescent="0.3">
      <c r="A129" s="64" t="s">
        <v>137</v>
      </c>
      <c r="B129" s="2" t="s">
        <v>379</v>
      </c>
    </row>
    <row r="130" spans="1:2" x14ac:dyDescent="0.3">
      <c r="A130" s="64" t="s">
        <v>138</v>
      </c>
      <c r="B130" s="2" t="s">
        <v>380</v>
      </c>
    </row>
    <row r="131" spans="1:2" x14ac:dyDescent="0.3">
      <c r="A131" s="64" t="s">
        <v>139</v>
      </c>
      <c r="B131" s="2" t="s">
        <v>381</v>
      </c>
    </row>
    <row r="132" spans="1:2" x14ac:dyDescent="0.3">
      <c r="A132" s="64" t="s">
        <v>140</v>
      </c>
      <c r="B132" s="2" t="s">
        <v>382</v>
      </c>
    </row>
    <row r="133" spans="1:2" x14ac:dyDescent="0.3">
      <c r="A133" s="64" t="s">
        <v>141</v>
      </c>
      <c r="B133" s="2" t="s">
        <v>383</v>
      </c>
    </row>
    <row r="134" spans="1:2" x14ac:dyDescent="0.3">
      <c r="A134" s="64" t="s">
        <v>142</v>
      </c>
      <c r="B134" s="2" t="s">
        <v>384</v>
      </c>
    </row>
    <row r="135" spans="1:2" x14ac:dyDescent="0.3">
      <c r="A135" s="64" t="s">
        <v>143</v>
      </c>
      <c r="B135" s="2" t="s">
        <v>385</v>
      </c>
    </row>
    <row r="136" spans="1:2" x14ac:dyDescent="0.3">
      <c r="A136" s="64" t="s">
        <v>27</v>
      </c>
      <c r="B136" s="2" t="s">
        <v>386</v>
      </c>
    </row>
    <row r="137" spans="1:2" x14ac:dyDescent="0.3">
      <c r="A137" s="64" t="s">
        <v>145</v>
      </c>
      <c r="B137" s="2" t="s">
        <v>387</v>
      </c>
    </row>
    <row r="138" spans="1:2" x14ac:dyDescent="0.3">
      <c r="A138" s="64" t="s">
        <v>146</v>
      </c>
      <c r="B138" s="2" t="s">
        <v>388</v>
      </c>
    </row>
    <row r="139" spans="1:2" x14ac:dyDescent="0.3">
      <c r="A139" s="64" t="s">
        <v>147</v>
      </c>
      <c r="B139" s="2" t="s">
        <v>389</v>
      </c>
    </row>
    <row r="140" spans="1:2" x14ac:dyDescent="0.3">
      <c r="A140" s="64" t="s">
        <v>148</v>
      </c>
      <c r="B140" s="2" t="s">
        <v>390</v>
      </c>
    </row>
    <row r="141" spans="1:2" x14ac:dyDescent="0.3">
      <c r="A141" s="64" t="s">
        <v>149</v>
      </c>
      <c r="B141" s="2" t="s">
        <v>391</v>
      </c>
    </row>
    <row r="142" spans="1:2" x14ac:dyDescent="0.3">
      <c r="A142" s="64" t="s">
        <v>150</v>
      </c>
      <c r="B142" s="2" t="s">
        <v>392</v>
      </c>
    </row>
    <row r="143" spans="1:2" x14ac:dyDescent="0.3">
      <c r="A143" s="64" t="s">
        <v>201</v>
      </c>
      <c r="B143" s="2" t="s">
        <v>393</v>
      </c>
    </row>
    <row r="144" spans="1:2" x14ac:dyDescent="0.3">
      <c r="A144" s="64" t="s">
        <v>29</v>
      </c>
      <c r="B144" s="2" t="s">
        <v>394</v>
      </c>
    </row>
    <row r="145" spans="1:2" x14ac:dyDescent="0.3">
      <c r="A145" s="64" t="s">
        <v>153</v>
      </c>
      <c r="B145" s="2" t="s">
        <v>395</v>
      </c>
    </row>
    <row r="146" spans="1:2" x14ac:dyDescent="0.3">
      <c r="A146" s="64" t="s">
        <v>154</v>
      </c>
      <c r="B146" s="2" t="s">
        <v>396</v>
      </c>
    </row>
    <row r="147" spans="1:2" x14ac:dyDescent="0.3">
      <c r="A147" s="64" t="s">
        <v>155</v>
      </c>
      <c r="B147" s="2" t="s">
        <v>397</v>
      </c>
    </row>
    <row r="148" spans="1:2" x14ac:dyDescent="0.3">
      <c r="A148" s="64" t="s">
        <v>156</v>
      </c>
      <c r="B148" s="2" t="s">
        <v>398</v>
      </c>
    </row>
    <row r="149" spans="1:2" x14ac:dyDescent="0.3">
      <c r="A149" s="64" t="s">
        <v>157</v>
      </c>
      <c r="B149" s="2" t="s">
        <v>399</v>
      </c>
    </row>
    <row r="150" spans="1:2" x14ac:dyDescent="0.3">
      <c r="A150" s="64" t="s">
        <v>158</v>
      </c>
      <c r="B150" s="2" t="s">
        <v>400</v>
      </c>
    </row>
    <row r="151" spans="1:2" x14ac:dyDescent="0.3">
      <c r="A151" s="64" t="s">
        <v>159</v>
      </c>
      <c r="B151" s="2" t="s">
        <v>401</v>
      </c>
    </row>
    <row r="152" spans="1:2" x14ac:dyDescent="0.3">
      <c r="A152" s="64" t="s">
        <v>160</v>
      </c>
      <c r="B152" s="2" t="s">
        <v>402</v>
      </c>
    </row>
    <row r="153" spans="1:2" x14ac:dyDescent="0.3">
      <c r="A153" s="64" t="s">
        <v>30</v>
      </c>
      <c r="B153" s="2" t="s">
        <v>403</v>
      </c>
    </row>
    <row r="154" spans="1:2" x14ac:dyDescent="0.3">
      <c r="A154" s="64" t="s">
        <v>31</v>
      </c>
      <c r="B154" s="2" t="s">
        <v>404</v>
      </c>
    </row>
    <row r="155" spans="1:2" x14ac:dyDescent="0.3">
      <c r="A155" s="64" t="s">
        <v>163</v>
      </c>
      <c r="B155" s="2" t="s">
        <v>405</v>
      </c>
    </row>
    <row r="156" spans="1:2" x14ac:dyDescent="0.3">
      <c r="A156" s="64" t="s">
        <v>164</v>
      </c>
      <c r="B156" s="2" t="s">
        <v>406</v>
      </c>
    </row>
    <row r="157" spans="1:2" x14ac:dyDescent="0.3">
      <c r="A157" s="64" t="s">
        <v>165</v>
      </c>
      <c r="B157" s="2" t="s">
        <v>407</v>
      </c>
    </row>
    <row r="158" spans="1:2" x14ac:dyDescent="0.3">
      <c r="A158" s="64" t="s">
        <v>166</v>
      </c>
      <c r="B158" s="2" t="s">
        <v>408</v>
      </c>
    </row>
    <row r="159" spans="1:2" x14ac:dyDescent="0.3">
      <c r="A159" s="64" t="s">
        <v>4</v>
      </c>
      <c r="B159" s="2" t="s">
        <v>409</v>
      </c>
    </row>
    <row r="160" spans="1:2" x14ac:dyDescent="0.3">
      <c r="A160" s="64" t="s">
        <v>167</v>
      </c>
      <c r="B160" s="2" t="s">
        <v>410</v>
      </c>
    </row>
    <row r="161" spans="1:2" x14ac:dyDescent="0.3">
      <c r="A161" s="64" t="s">
        <v>168</v>
      </c>
      <c r="B161" s="2" t="s">
        <v>411</v>
      </c>
    </row>
    <row r="162" spans="1:2" x14ac:dyDescent="0.3">
      <c r="A162" s="64" t="s">
        <v>170</v>
      </c>
      <c r="B162" s="2" t="s">
        <v>412</v>
      </c>
    </row>
    <row r="163" spans="1:2" x14ac:dyDescent="0.3">
      <c r="A163" s="64" t="s">
        <v>171</v>
      </c>
      <c r="B163" s="2" t="s">
        <v>413</v>
      </c>
    </row>
    <row r="164" spans="1:2" x14ac:dyDescent="0.3">
      <c r="A164" s="64" t="s">
        <v>172</v>
      </c>
      <c r="B164" s="2" t="s">
        <v>414</v>
      </c>
    </row>
    <row r="165" spans="1:2" x14ac:dyDescent="0.3">
      <c r="A165" s="64" t="s">
        <v>173</v>
      </c>
      <c r="B165" s="2" t="s">
        <v>415</v>
      </c>
    </row>
    <row r="166" spans="1:2" x14ac:dyDescent="0.3">
      <c r="A166" s="64" t="s">
        <v>174</v>
      </c>
      <c r="B166" s="2" t="s">
        <v>174</v>
      </c>
    </row>
    <row r="167" spans="1:2" x14ac:dyDescent="0.3">
      <c r="A167" s="64" t="s">
        <v>175</v>
      </c>
      <c r="B167" s="2" t="s">
        <v>416</v>
      </c>
    </row>
    <row r="168" spans="1:2" x14ac:dyDescent="0.3">
      <c r="A168" s="64" t="s">
        <v>6</v>
      </c>
      <c r="B168" s="2" t="s">
        <v>417</v>
      </c>
    </row>
    <row r="169" spans="1:2" x14ac:dyDescent="0.3">
      <c r="A169" s="64" t="s">
        <v>178</v>
      </c>
      <c r="B169" s="2" t="s">
        <v>418</v>
      </c>
    </row>
    <row r="170" spans="1:2" x14ac:dyDescent="0.3">
      <c r="A170" s="64" t="s">
        <v>7</v>
      </c>
      <c r="B170" s="2" t="s">
        <v>419</v>
      </c>
    </row>
    <row r="171" spans="1:2" x14ac:dyDescent="0.3">
      <c r="A171" s="64" t="s">
        <v>8</v>
      </c>
      <c r="B171" s="2" t="s">
        <v>420</v>
      </c>
    </row>
    <row r="172" spans="1:2" x14ac:dyDescent="0.3">
      <c r="A172" s="64" t="s">
        <v>179</v>
      </c>
      <c r="B172" s="2" t="s">
        <v>421</v>
      </c>
    </row>
    <row r="173" spans="1:2" x14ac:dyDescent="0.3">
      <c r="A173" s="64" t="s">
        <v>180</v>
      </c>
      <c r="B173" s="2" t="s">
        <v>422</v>
      </c>
    </row>
    <row r="174" spans="1:2" x14ac:dyDescent="0.3">
      <c r="A174" s="64" t="s">
        <v>181</v>
      </c>
      <c r="B174" s="2" t="s">
        <v>423</v>
      </c>
    </row>
    <row r="175" spans="1:2" x14ac:dyDescent="0.3">
      <c r="A175" s="64" t="s">
        <v>182</v>
      </c>
      <c r="B175" s="2" t="s">
        <v>424</v>
      </c>
    </row>
    <row r="176" spans="1:2" x14ac:dyDescent="0.3">
      <c r="A176" s="64" t="s">
        <v>183</v>
      </c>
      <c r="B176" s="2" t="s">
        <v>425</v>
      </c>
    </row>
    <row r="177" spans="1:2" x14ac:dyDescent="0.3">
      <c r="A177" s="64" t="s">
        <v>9</v>
      </c>
      <c r="B177" s="2" t="s">
        <v>426</v>
      </c>
    </row>
    <row r="178" spans="1:2" x14ac:dyDescent="0.3">
      <c r="A178" s="64" t="s">
        <v>11</v>
      </c>
      <c r="B178" s="2" t="s">
        <v>427</v>
      </c>
    </row>
    <row r="179" spans="1:2" x14ac:dyDescent="0.3">
      <c r="A179" s="64" t="s">
        <v>184</v>
      </c>
      <c r="B179" s="2" t="s">
        <v>428</v>
      </c>
    </row>
    <row r="180" spans="1:2" x14ac:dyDescent="0.3">
      <c r="A180" s="64" t="s">
        <v>185</v>
      </c>
      <c r="B180" s="2" t="s">
        <v>429</v>
      </c>
    </row>
    <row r="181" spans="1:2" x14ac:dyDescent="0.3">
      <c r="A181" s="64" t="s">
        <v>186</v>
      </c>
      <c r="B181" s="2" t="s">
        <v>430</v>
      </c>
    </row>
    <row r="182" spans="1:2" x14ac:dyDescent="0.3">
      <c r="A182" s="64" t="s">
        <v>187</v>
      </c>
      <c r="B182" s="2" t="s">
        <v>187</v>
      </c>
    </row>
    <row r="183" spans="1:2" x14ac:dyDescent="0.3">
      <c r="A183" s="64" t="s">
        <v>188</v>
      </c>
      <c r="B183" s="2" t="s">
        <v>431</v>
      </c>
    </row>
    <row r="184" spans="1:2" x14ac:dyDescent="0.3">
      <c r="A184" s="64" t="s">
        <v>191</v>
      </c>
      <c r="B184" s="2" t="s">
        <v>432</v>
      </c>
    </row>
    <row r="185" spans="1:2" x14ac:dyDescent="0.3">
      <c r="A185" s="64" t="s">
        <v>193</v>
      </c>
      <c r="B185" s="2" t="s">
        <v>433</v>
      </c>
    </row>
    <row r="186" spans="1:2" x14ac:dyDescent="0.3">
      <c r="A186" s="64" t="s">
        <v>194</v>
      </c>
      <c r="B186" s="2" t="s">
        <v>434</v>
      </c>
    </row>
    <row r="187" spans="1:2" x14ac:dyDescent="0.3">
      <c r="A187" s="64" t="s">
        <v>195</v>
      </c>
      <c r="B187" s="2" t="s">
        <v>435</v>
      </c>
    </row>
    <row r="188" spans="1:2" x14ac:dyDescent="0.3">
      <c r="A188" s="64" t="s">
        <v>197</v>
      </c>
      <c r="B188" s="2" t="s">
        <v>436</v>
      </c>
    </row>
    <row r="189" spans="1:2" x14ac:dyDescent="0.3">
      <c r="A189" s="64" t="s">
        <v>198</v>
      </c>
      <c r="B189" s="2" t="s">
        <v>437</v>
      </c>
    </row>
    <row r="190" spans="1:2" x14ac:dyDescent="0.3">
      <c r="A190" s="64" t="s">
        <v>73</v>
      </c>
      <c r="B190" s="2" t="s">
        <v>438</v>
      </c>
    </row>
    <row r="191" spans="1:2" x14ac:dyDescent="0.3">
      <c r="A191" s="64" t="s">
        <v>200</v>
      </c>
      <c r="B191" s="2" t="s">
        <v>439</v>
      </c>
    </row>
    <row r="192" spans="1:2" x14ac:dyDescent="0.3">
      <c r="A192" s="64" t="s">
        <v>162</v>
      </c>
      <c r="B192" s="2" t="s">
        <v>440</v>
      </c>
    </row>
    <row r="193" spans="1:2" x14ac:dyDescent="0.3">
      <c r="A193" s="64" t="s">
        <v>169</v>
      </c>
      <c r="B193" s="2" t="s">
        <v>441</v>
      </c>
    </row>
    <row r="194" spans="1:2" x14ac:dyDescent="0.3">
      <c r="A194" s="64" t="s">
        <v>177</v>
      </c>
      <c r="B194" s="2" t="s">
        <v>442</v>
      </c>
    </row>
    <row r="195" spans="1:2" x14ac:dyDescent="0.3">
      <c r="A195" s="64" t="s">
        <v>10</v>
      </c>
      <c r="B195" s="2" t="s">
        <v>443</v>
      </c>
    </row>
    <row r="196" spans="1:2" x14ac:dyDescent="0.3">
      <c r="A196" s="64" t="s">
        <v>12</v>
      </c>
      <c r="B196" s="2" t="s">
        <v>444</v>
      </c>
    </row>
    <row r="197" spans="1:2" x14ac:dyDescent="0.3">
      <c r="A197" s="64" t="s">
        <v>22</v>
      </c>
      <c r="B197" s="2" t="s">
        <v>445</v>
      </c>
    </row>
    <row r="198" spans="1:2" x14ac:dyDescent="0.3">
      <c r="A198" s="64" t="s">
        <v>192</v>
      </c>
      <c r="B198" s="2" t="s">
        <v>446</v>
      </c>
    </row>
    <row r="199" spans="1:2" x14ac:dyDescent="0.3">
      <c r="A199" s="64" t="s">
        <v>5</v>
      </c>
      <c r="B199" s="2" t="s">
        <v>5</v>
      </c>
    </row>
    <row r="200" spans="1:2" x14ac:dyDescent="0.3">
      <c r="A200" s="64" t="s">
        <v>26</v>
      </c>
      <c r="B200" s="2" t="s">
        <v>447</v>
      </c>
    </row>
    <row r="201" spans="1:2" x14ac:dyDescent="0.3">
      <c r="A201" s="64" t="s">
        <v>196</v>
      </c>
      <c r="B201" s="2" t="s">
        <v>196</v>
      </c>
    </row>
    <row r="202" spans="1:2" x14ac:dyDescent="0.3">
      <c r="A202" s="64" t="s">
        <v>25</v>
      </c>
      <c r="B202" s="2" t="s">
        <v>448</v>
      </c>
    </row>
    <row r="203" spans="1:2" x14ac:dyDescent="0.3">
      <c r="A203" s="64" t="s">
        <v>249</v>
      </c>
      <c r="B203" s="2" t="s">
        <v>449</v>
      </c>
    </row>
    <row r="204" spans="1:2" x14ac:dyDescent="0.3">
      <c r="A204" s="64" t="s">
        <v>34</v>
      </c>
      <c r="B204" s="2" t="s">
        <v>451</v>
      </c>
    </row>
    <row r="205" spans="1:2" x14ac:dyDescent="0.3">
      <c r="A205" s="64" t="s">
        <v>33</v>
      </c>
      <c r="B205" s="2" t="s">
        <v>450</v>
      </c>
    </row>
    <row r="206" spans="1:2" x14ac:dyDescent="0.3">
      <c r="A206" s="64"/>
      <c r="B206" s="2"/>
    </row>
    <row r="207" spans="1:2" x14ac:dyDescent="0.3">
      <c r="A207" s="64"/>
      <c r="B207" s="2"/>
    </row>
    <row r="208" spans="1:2" x14ac:dyDescent="0.3">
      <c r="A208" s="64"/>
      <c r="B208" s="2"/>
    </row>
    <row r="209" spans="1:2" x14ac:dyDescent="0.3">
      <c r="A209" s="64"/>
      <c r="B209" s="2"/>
    </row>
    <row r="210" spans="1:2" x14ac:dyDescent="0.3">
      <c r="A210" s="64"/>
      <c r="B210" s="2"/>
    </row>
    <row r="211" spans="1:2" x14ac:dyDescent="0.3">
      <c r="A211" s="64"/>
      <c r="B211" s="2"/>
    </row>
  </sheetData>
  <conditionalFormatting sqref="A24:A205">
    <cfRule type="duplicateValues" dxfId="6" priority="72"/>
  </conditionalFormatting>
  <conditionalFormatting sqref="B2:B43 B205 B45:B203">
    <cfRule type="duplicateValues" dxfId="5" priority="94"/>
  </conditionalFormatting>
  <conditionalFormatting sqref="A2:A23">
    <cfRule type="duplicateValues" dxfId="4" priority="1"/>
  </conditionalFormatting>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20F97-8E6C-437B-8586-67E61D9A44E8}">
  <sheetPr codeName="ShBackend">
    <tabColor rgb="FFC00000"/>
  </sheetPr>
  <dimension ref="A2:C24"/>
  <sheetViews>
    <sheetView showGridLines="0" workbookViewId="0">
      <selection activeCell="A2" sqref="A2:B2"/>
    </sheetView>
  </sheetViews>
  <sheetFormatPr defaultColWidth="8.88671875" defaultRowHeight="14.4" x14ac:dyDescent="0.3"/>
  <cols>
    <col min="1" max="1" width="26.44140625" customWidth="1"/>
    <col min="2" max="2" width="10.6640625" customWidth="1"/>
    <col min="3" max="3" width="11.6640625" customWidth="1"/>
    <col min="4" max="4" width="13.5546875" customWidth="1"/>
    <col min="5" max="5" width="16.44140625" customWidth="1"/>
    <col min="9" max="9" width="18" customWidth="1"/>
    <col min="15" max="15" width="24.5546875" customWidth="1"/>
  </cols>
  <sheetData>
    <row r="2" spans="1:3" x14ac:dyDescent="0.3">
      <c r="A2" s="134" t="s">
        <v>243</v>
      </c>
      <c r="B2" s="134"/>
      <c r="C2" s="95"/>
    </row>
    <row r="3" spans="1:3" x14ac:dyDescent="0.3">
      <c r="A3" s="93" t="s">
        <v>247</v>
      </c>
      <c r="B3" s="93" t="s">
        <v>245</v>
      </c>
      <c r="C3" s="93" t="s">
        <v>246</v>
      </c>
    </row>
    <row r="4" spans="1:3" x14ac:dyDescent="0.3">
      <c r="A4" t="s">
        <v>251</v>
      </c>
      <c r="B4" s="89">
        <f>IFERROR(COUNTA(TabIntegration[Conforme]),"")</f>
        <v>173</v>
      </c>
      <c r="C4" s="94">
        <f>IFERROR(B4/$B$9,"")</f>
        <v>0.92513368983957223</v>
      </c>
    </row>
    <row r="5" spans="1:3" x14ac:dyDescent="0.3">
      <c r="A5" t="s">
        <v>252</v>
      </c>
      <c r="B5" s="89">
        <f>IFERROR(COUNTA(TabIntegration[Non conforme]),"")</f>
        <v>8</v>
      </c>
      <c r="C5" s="94">
        <f>IFERROR(B5/$B$9,"")</f>
        <v>4.2780748663101602E-2</v>
      </c>
    </row>
    <row r="6" spans="1:3" x14ac:dyDescent="0.3">
      <c r="A6" t="s">
        <v>0</v>
      </c>
      <c r="B6" s="89">
        <f>IFERROR(COUNTA(TabIntegration[EN COURS]),"")</f>
        <v>1</v>
      </c>
      <c r="C6" s="94">
        <f>IFERROR(B6/$B$9,"")</f>
        <v>5.3475935828877002E-3</v>
      </c>
    </row>
    <row r="7" spans="1:3" x14ac:dyDescent="0.3">
      <c r="A7" t="s">
        <v>1</v>
      </c>
      <c r="B7" s="89">
        <f>IFERROR(COUNTA(TabIntegration[EN ATTENTE]),"")</f>
        <v>0</v>
      </c>
      <c r="C7" s="94">
        <f>IFERROR(B7/$B$9,"")</f>
        <v>0</v>
      </c>
    </row>
    <row r="8" spans="1:3" x14ac:dyDescent="0.3">
      <c r="A8" t="s">
        <v>2</v>
      </c>
      <c r="B8" s="89">
        <f>IFERROR(COUNTA(TabIntegration[PAS APPLICABLE]),"")</f>
        <v>3</v>
      </c>
      <c r="C8" s="94">
        <f>IFERROR(B8/$B$9,"")</f>
        <v>1.6042780748663103E-2</v>
      </c>
    </row>
    <row r="9" spans="1:3" x14ac:dyDescent="0.3">
      <c r="A9" s="90" t="s">
        <v>242</v>
      </c>
      <c r="B9" s="92">
        <f>IFERROR(COUNTA(TabIntegration[N]),"")</f>
        <v>187</v>
      </c>
      <c r="C9" s="96">
        <f>B9/B9</f>
        <v>1</v>
      </c>
    </row>
    <row r="10" spans="1:3" x14ac:dyDescent="0.3">
      <c r="A10" s="90" t="s">
        <v>240</v>
      </c>
      <c r="B10" s="91">
        <f>IFERROR(SUM(TabIntegration[isFull]),"")</f>
        <v>184</v>
      </c>
      <c r="C10" s="96">
        <f>IFERROR(B10/$B$9,"")</f>
        <v>0.98395721925133695</v>
      </c>
    </row>
    <row r="11" spans="1:3" x14ac:dyDescent="0.3">
      <c r="A11" s="90" t="s">
        <v>241</v>
      </c>
      <c r="B11" s="91">
        <f>B9-B10</f>
        <v>3</v>
      </c>
      <c r="C11" s="96">
        <f>B11/B9</f>
        <v>1.6042780748663103E-2</v>
      </c>
    </row>
    <row r="13" spans="1:3" x14ac:dyDescent="0.3">
      <c r="A13" s="134" t="s">
        <v>244</v>
      </c>
      <c r="B13" s="134"/>
      <c r="C13" s="95"/>
    </row>
    <row r="14" spans="1:3" x14ac:dyDescent="0.3">
      <c r="A14" s="93" t="s">
        <v>247</v>
      </c>
      <c r="B14" s="93" t="s">
        <v>245</v>
      </c>
      <c r="C14" s="93" t="s">
        <v>246</v>
      </c>
    </row>
    <row r="15" spans="1:3" x14ac:dyDescent="0.3">
      <c r="A15" t="s">
        <v>251</v>
      </c>
      <c r="B15" s="89">
        <f>IFERROR(COUNTA(TabConsolidation[Conforme]),"")</f>
        <v>17</v>
      </c>
      <c r="C15" s="94">
        <f>IFERROR(B15/$B$9,"")</f>
        <v>9.0909090909090912E-2</v>
      </c>
    </row>
    <row r="16" spans="1:3" x14ac:dyDescent="0.3">
      <c r="A16" t="s">
        <v>252</v>
      </c>
      <c r="B16" s="89">
        <f>IFERROR(COUNTA(TabConsolidation[Non conforme]),"")</f>
        <v>132</v>
      </c>
      <c r="C16" s="94">
        <f>IFERROR(B16/$B$9,"")</f>
        <v>0.70588235294117652</v>
      </c>
    </row>
    <row r="17" spans="1:3" x14ac:dyDescent="0.3">
      <c r="A17" t="s">
        <v>0</v>
      </c>
      <c r="B17" s="89">
        <f>IFERROR(COUNTA(TabConsolidation[EN COURS]),"")</f>
        <v>0</v>
      </c>
      <c r="C17" s="94">
        <f>IFERROR(B17/$B$9,"")</f>
        <v>0</v>
      </c>
    </row>
    <row r="18" spans="1:3" x14ac:dyDescent="0.3">
      <c r="A18" t="s">
        <v>1</v>
      </c>
      <c r="B18" s="89">
        <f>IFERROR(COUNTA(TabConsolidation[EN ATTENTE]),"")</f>
        <v>0</v>
      </c>
      <c r="C18" s="94">
        <f>IFERROR(B18/$B$9,"")</f>
        <v>0</v>
      </c>
    </row>
    <row r="19" spans="1:3" x14ac:dyDescent="0.3">
      <c r="A19" t="s">
        <v>2</v>
      </c>
      <c r="B19" s="89">
        <f>IFERROR(COUNTA(TabConsolidation[PAS APPLICABLE]),"")</f>
        <v>38</v>
      </c>
      <c r="C19" s="94">
        <f>IFERROR(B19/$B$9,"")</f>
        <v>0.20320855614973263</v>
      </c>
    </row>
    <row r="20" spans="1:3" x14ac:dyDescent="0.3">
      <c r="A20" s="90" t="s">
        <v>242</v>
      </c>
      <c r="B20" s="92">
        <f>IFERROR(COUNTA(TabConsolidation[N]),"")</f>
        <v>187</v>
      </c>
      <c r="C20" s="96">
        <f>B20/B20</f>
        <v>1</v>
      </c>
    </row>
    <row r="21" spans="1:3" x14ac:dyDescent="0.3">
      <c r="A21" s="90" t="s">
        <v>240</v>
      </c>
      <c r="B21" s="91">
        <f>IFERROR(SUM(TabConsolidation[isFull]),"")</f>
        <v>187</v>
      </c>
      <c r="C21" s="96">
        <f>IFERROR(B21/$B$20,"")</f>
        <v>1</v>
      </c>
    </row>
    <row r="22" spans="1:3" x14ac:dyDescent="0.3">
      <c r="A22" s="90" t="s">
        <v>241</v>
      </c>
      <c r="B22" s="91">
        <f>B20-B21</f>
        <v>0</v>
      </c>
      <c r="C22" s="96">
        <f>B22/B20</f>
        <v>0</v>
      </c>
    </row>
    <row r="24" spans="1:3" x14ac:dyDescent="0.3">
      <c r="A24" s="64"/>
      <c r="B24" s="64"/>
    </row>
  </sheetData>
  <mergeCells count="2">
    <mergeCell ref="A2:B2"/>
    <mergeCell ref="A13:B1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Tests d'Intégration</vt:lpstr>
      <vt:lpstr>Tests de Consolidation</vt:lpstr>
      <vt:lpstr>Langue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BGDP</dc:creator>
  <cp:lastModifiedBy>Sara AIT TALEB</cp:lastModifiedBy>
  <dcterms:created xsi:type="dcterms:W3CDTF">2021-03-05T10:24:16Z</dcterms:created>
  <dcterms:modified xsi:type="dcterms:W3CDTF">2024-07-29T09:31:08Z</dcterms:modified>
</cp:coreProperties>
</file>
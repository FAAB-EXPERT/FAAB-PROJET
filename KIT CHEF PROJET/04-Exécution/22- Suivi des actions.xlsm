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GDP\Kit du chef de projet\04-Exécution\"/>
    </mc:Choice>
  </mc:AlternateContent>
  <xr:revisionPtr revIDLastSave="0" documentId="13_ncr:1_{56D0D427-ADFA-4CBD-A84F-F621B6446CC8}" xr6:coauthVersionLast="47" xr6:coauthVersionMax="47" xr10:uidLastSave="{00000000-0000-0000-0000-000000000000}"/>
  <bookViews>
    <workbookView xWindow="-108" yWindow="-108" windowWidth="23256" windowHeight="12576" tabRatio="268" firstSheet="1" activeTab="1" xr2:uid="{2787BEB0-32D5-4D16-A719-07A374E9BAB5}"/>
  </bookViews>
  <sheets>
    <sheet name="Guide d'utilisation" sheetId="7" state="veryHidden" r:id="rId1"/>
    <sheet name="Actions" sheetId="2" r:id="rId2"/>
    <sheet name="Paramétrages" sheetId="3" r:id="rId3"/>
    <sheet name="Langue" sheetId="8" state="hidden" r:id="rId4"/>
  </sheets>
  <functionGroups builtInGroupCount="19"/>
  <definedNames>
    <definedName name="HeaderRange">Actions!$10:$10</definedName>
    <definedName name="Langue">Paramétrages!$L$6</definedName>
    <definedName name="RedFlag">Paramétrages!$L$11</definedName>
    <definedName name="SeuilAvertissement">Paramétrages!$L$9</definedName>
    <definedName name="StatutFilter">Actions!$E$8</definedName>
    <definedName name="TabEchelle2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</calcChain>
</file>

<file path=xl/sharedStrings.xml><?xml version="1.0" encoding="utf-8"?>
<sst xmlns="http://schemas.openxmlformats.org/spreadsheetml/2006/main" count="398" uniqueCount="168">
  <si>
    <t>Date de création</t>
  </si>
  <si>
    <t>Date de la version</t>
  </si>
  <si>
    <t>Numéro de version</t>
  </si>
  <si>
    <t>V2.3</t>
  </si>
  <si>
    <t>Nom / Code projet</t>
  </si>
  <si>
    <t>Référence</t>
  </si>
  <si>
    <t>ID</t>
  </si>
  <si>
    <t>Priorité</t>
  </si>
  <si>
    <t>Guide d'utilisation</t>
  </si>
  <si>
    <t>Paramétrages</t>
  </si>
  <si>
    <t>SAP30 / CMRL</t>
  </si>
  <si>
    <t>Stratégie2022/CMRL/Portfolio PF02</t>
  </si>
  <si>
    <t>Mme Dupont</t>
  </si>
  <si>
    <t>Chef de projet</t>
  </si>
  <si>
    <t>Service/Organisation</t>
  </si>
  <si>
    <t>Confassis S.A.</t>
  </si>
  <si>
    <t>Action</t>
  </si>
  <si>
    <t>Origine</t>
  </si>
  <si>
    <t>Responsable</t>
  </si>
  <si>
    <t>Échéance planifiée</t>
  </si>
  <si>
    <t>Réalisation</t>
  </si>
  <si>
    <t>Date de fin réelle</t>
  </si>
  <si>
    <t>Etat</t>
  </si>
  <si>
    <t>Commentaires</t>
  </si>
  <si>
    <t>A faire</t>
  </si>
  <si>
    <t>En cours</t>
  </si>
  <si>
    <t>Réalisé</t>
  </si>
  <si>
    <t>En attente</t>
  </si>
  <si>
    <t>Annulé</t>
  </si>
  <si>
    <t>P1</t>
  </si>
  <si>
    <t>P2</t>
  </si>
  <si>
    <t>P3</t>
  </si>
  <si>
    <t>P4</t>
  </si>
  <si>
    <t>Estimation charge de travail SAP30</t>
  </si>
  <si>
    <t>Etude d'opportunité</t>
  </si>
  <si>
    <t>Centre de compétence SAP</t>
  </si>
  <si>
    <t>Estimation des coûts infrastructure</t>
  </si>
  <si>
    <t>Daniel Château</t>
  </si>
  <si>
    <t>Estimation des coût de licences</t>
  </si>
  <si>
    <t>Besoin pour l'estimation budgétaire</t>
  </si>
  <si>
    <t>Estimation coûts salariaux</t>
  </si>
  <si>
    <t>Ressources Humaines</t>
  </si>
  <si>
    <t>Complète les besoins du budget</t>
  </si>
  <si>
    <t>Approbation de l'Etude d'opportunité</t>
  </si>
  <si>
    <t>Comité de direction</t>
  </si>
  <si>
    <t>Approbation unanime</t>
  </si>
  <si>
    <t>Préparation de la charte projet</t>
  </si>
  <si>
    <t>Charte</t>
  </si>
  <si>
    <t>Chantal Dupont</t>
  </si>
  <si>
    <t>Template et recueil des besoins d'informations</t>
  </si>
  <si>
    <t>Estimation coûts/délais fonctionnels Finances</t>
  </si>
  <si>
    <t>Monique Davant</t>
  </si>
  <si>
    <t>Besoins fonctionnels estimés</t>
  </si>
  <si>
    <t>Estimation coûts/délais fonctionnels Ventes</t>
  </si>
  <si>
    <t>Denise Attali</t>
  </si>
  <si>
    <t>Estimation coûts/délais fonctionnels Achats</t>
  </si>
  <si>
    <t>Jean Albert</t>
  </si>
  <si>
    <t>Estimation coûts/délais fonctionnels Logistique</t>
  </si>
  <si>
    <t>Eric Duteil</t>
  </si>
  <si>
    <t>Macro planning</t>
  </si>
  <si>
    <t>Selon estimation des experts</t>
  </si>
  <si>
    <t>Rédaction de la Charte Projet</t>
  </si>
  <si>
    <t>Chantal Dupont / Olivier Robespierre</t>
  </si>
  <si>
    <t>Revue et corrigée. Envoi par mail le 29-04-21 au comité de direction pour préparation à la réunion du 30-04-21.</t>
  </si>
  <si>
    <t>Approbation de la Charte Projet</t>
  </si>
  <si>
    <t>Réunion planifiée et confirmée</t>
  </si>
  <si>
    <t>Support réunion de lancement</t>
  </si>
  <si>
    <t>Gestion Projet</t>
  </si>
  <si>
    <t>Expression des besoins</t>
  </si>
  <si>
    <t>Matrice des exigences</t>
  </si>
  <si>
    <t>Cahier des charges</t>
  </si>
  <si>
    <t>Chantal Dupont / Coordinateurs SAP</t>
  </si>
  <si>
    <t>Plan de projet</t>
  </si>
  <si>
    <t>Plan de charge</t>
  </si>
  <si>
    <t>Registre des problèmes et risques</t>
  </si>
  <si>
    <t>Registre des parties prenantes</t>
  </si>
  <si>
    <t>Chantal Dupont / Olivier Robespierre / Coordinateurs SAP</t>
  </si>
  <si>
    <t>Conception générale  Finances</t>
  </si>
  <si>
    <t>Planification</t>
  </si>
  <si>
    <t xml:space="preserve">Action JC au 24/10 : Philipe cherche un exemple de tableau sur les codes  pour montrer le rendu de la différence avec des tableaux
Au 06/11 ; Limitation émise sur le sujet, pour le bilan
Prérequis JC =&gt; Charger des contenus </t>
  </si>
  <si>
    <t>Conception générale Ventes</t>
  </si>
  <si>
    <t>Conception générale  Achats</t>
  </si>
  <si>
    <t>Conception générale  Logistique</t>
  </si>
  <si>
    <t>Conception générale  Infrastructure</t>
  </si>
  <si>
    <t>Conception générale  Production</t>
  </si>
  <si>
    <t>Jacques Meunier</t>
  </si>
  <si>
    <t>Rédaction du cahier des charges</t>
  </si>
  <si>
    <t>Etablissement du Planning</t>
  </si>
  <si>
    <t>Etablissement Plan de Communication</t>
  </si>
  <si>
    <t>Bernard Dupuis</t>
  </si>
  <si>
    <t>Approbation Cahier des charges et Planning</t>
  </si>
  <si>
    <t>Estimation des ressources nécessaires</t>
  </si>
  <si>
    <t>Peut impacter le budget</t>
  </si>
  <si>
    <t>Rouge</t>
  </si>
  <si>
    <t>Cas date antérieure, projet non réalisé</t>
  </si>
  <si>
    <t>Suivi des actions</t>
  </si>
  <si>
    <t>Français</t>
  </si>
  <si>
    <t>Anglais</t>
  </si>
  <si>
    <t>Langue</t>
  </si>
  <si>
    <t>Name/Project Code</t>
  </si>
  <si>
    <t>Reference</t>
  </si>
  <si>
    <t>Project Manager</t>
  </si>
  <si>
    <t>Service/Organization</t>
  </si>
  <si>
    <t>Creation Date</t>
  </si>
  <si>
    <t>Version Date</t>
  </si>
  <si>
    <t>Version Number</t>
  </si>
  <si>
    <t>User Guide</t>
  </si>
  <si>
    <t>Suivi des livrables</t>
  </si>
  <si>
    <t>Delivery Tracking</t>
  </si>
  <si>
    <t>Language</t>
  </si>
  <si>
    <t>Status</t>
  </si>
  <si>
    <t>Non commencé</t>
  </si>
  <si>
    <t>Not Started</t>
  </si>
  <si>
    <t>In Progress</t>
  </si>
  <si>
    <t>Livré</t>
  </si>
  <si>
    <t>Delivered</t>
  </si>
  <si>
    <t>Validé</t>
  </si>
  <si>
    <t>Validated</t>
  </si>
  <si>
    <t>Cancelled</t>
  </si>
  <si>
    <t>Pending</t>
  </si>
  <si>
    <t>Livrables</t>
  </si>
  <si>
    <t>Deliverables</t>
  </si>
  <si>
    <t>Ajouter une action</t>
  </si>
  <si>
    <t>Add an Action</t>
  </si>
  <si>
    <t>Supprimer une action</t>
  </si>
  <si>
    <t>Delete an Action</t>
  </si>
  <si>
    <t>Ajouter une colonne</t>
  </si>
  <si>
    <t>Add a Column</t>
  </si>
  <si>
    <t>Supprimer une colonne</t>
  </si>
  <si>
    <t>Delete a Column</t>
  </si>
  <si>
    <t>Livrables du projet</t>
  </si>
  <si>
    <t>Project Deliverables</t>
  </si>
  <si>
    <t>Type de livrable</t>
  </si>
  <si>
    <t>Deliverable Type</t>
  </si>
  <si>
    <t>Responsible</t>
  </si>
  <si>
    <t>Description</t>
  </si>
  <si>
    <t>Date de livraison attendue</t>
  </si>
  <si>
    <t>Expected Delivery Date</t>
  </si>
  <si>
    <t>Date de livraison réelle</t>
  </si>
  <si>
    <t>Actual Delivery Date</t>
  </si>
  <si>
    <t>Version</t>
  </si>
  <si>
    <t>Lien vers le document</t>
  </si>
  <si>
    <t>Link to Document</t>
  </si>
  <si>
    <t>Valideur(s)</t>
  </si>
  <si>
    <t>Approver(s)</t>
  </si>
  <si>
    <t>Date de validation attendue</t>
  </si>
  <si>
    <t>Expected Validation Date</t>
  </si>
  <si>
    <t>Date de validation réelle</t>
  </si>
  <si>
    <t>Actual Validation Date</t>
  </si>
  <si>
    <t>validée</t>
  </si>
  <si>
    <t>Approved</t>
  </si>
  <si>
    <t>Commentaire</t>
  </si>
  <si>
    <t>Comment</t>
  </si>
  <si>
    <t>Settings</t>
  </si>
  <si>
    <t>Seuil d'avertissement (en jours)</t>
  </si>
  <si>
    <t>Actions</t>
  </si>
  <si>
    <t>Warning Threshold (in days)</t>
  </si>
  <si>
    <t>Case of previous date, unrealized project</t>
  </si>
  <si>
    <t>Red</t>
  </si>
  <si>
    <t>Priority</t>
  </si>
  <si>
    <t>To Do</t>
  </si>
  <si>
    <t>Completed</t>
  </si>
  <si>
    <t>Origin</t>
  </si>
  <si>
    <t>Planned Deadline</t>
  </si>
  <si>
    <t>Completion</t>
  </si>
  <si>
    <t>Actual End Date</t>
  </si>
  <si>
    <t>Comments</t>
  </si>
  <si>
    <t>Action Tracking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</si>
</sst>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theme="1"/>
      <name val="Candara"/>
      <family val="2"/>
    </font>
    <font>
      <sz val="10"/>
      <color theme="6" tint="-0.249977111117893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b/>
      <sz val="11"/>
      <color rgb="FF2C6646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B0AC14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name val="Arial"/>
      <family val="2"/>
    </font>
    <font>
      <sz val="11"/>
      <color rgb="FF009242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5" tint="-0.499984740745262"/>
      <name val="Arial"/>
      <family val="2"/>
    </font>
    <font>
      <strike/>
      <sz val="11"/>
      <color theme="2" tint="-0.749992370372631"/>
      <name val="Calibri"/>
      <family val="2"/>
      <scheme val="minor"/>
    </font>
    <font>
      <b/>
      <sz val="12"/>
      <color theme="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theme="6" tint="0.79998168889431442"/>
      </patternFill>
    </fill>
    <fill>
      <patternFill patternType="solid">
        <fgColor rgb="FFFF939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 style="thick">
        <color theme="0"/>
      </right>
      <top/>
      <bottom style="thin">
        <color rgb="FF91E0FF"/>
      </bottom>
      <diagonal/>
    </border>
    <border>
      <left/>
      <right style="thick">
        <color theme="0"/>
      </right>
      <top style="thin">
        <color rgb="FF91E0FF"/>
      </top>
      <bottom/>
      <diagonal/>
    </border>
    <border>
      <left style="thick">
        <color theme="0"/>
      </left>
      <right/>
      <top/>
      <bottom style="thin">
        <color rgb="FF91E0FF"/>
      </bottom>
      <diagonal/>
    </border>
    <border>
      <left style="thick">
        <color theme="0"/>
      </left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4">
    <xf numFmtId="0" fontId="0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</cellStyleXfs>
  <cellXfs count="62">
    <xf numFmtId="0" fontId="0" fillId="0" borderId="0" xfId="0"/>
    <xf numFmtId="0" fontId="1" fillId="2" borderId="1" xfId="0" applyFont="1" applyFill="1" applyBorder="1" applyAlignment="1">
      <alignment vertic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5" fillId="4" borderId="3" xfId="0" applyFont="1" applyFill="1" applyBorder="1" applyAlignment="1">
      <alignment vertical="center"/>
    </xf>
    <xf numFmtId="0" fontId="6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12" fillId="0" borderId="0" xfId="0" applyFont="1"/>
    <xf numFmtId="0" fontId="12" fillId="0" borderId="0" xfId="0" applyFont="1" applyProtection="1">
      <protection locked="0"/>
    </xf>
    <xf numFmtId="0" fontId="18" fillId="0" borderId="0" xfId="0" applyFont="1"/>
    <xf numFmtId="0" fontId="11" fillId="8" borderId="6" xfId="0" applyFont="1" applyFill="1" applyBorder="1"/>
    <xf numFmtId="0" fontId="11" fillId="0" borderId="0" xfId="0" applyFont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1" fontId="12" fillId="0" borderId="0" xfId="0" applyNumberFormat="1" applyFont="1" applyAlignment="1" applyProtection="1">
      <alignment horizontal="center" vertical="center"/>
      <protection locked="0"/>
    </xf>
    <xf numFmtId="0" fontId="14" fillId="0" borderId="0" xfId="1" applyFont="1" applyAlignment="1">
      <alignment horizontal="center" vertical="center"/>
    </xf>
    <xf numFmtId="0" fontId="16" fillId="0" borderId="0" xfId="1" applyFont="1" applyAlignment="1">
      <alignment horizontal="left" vertical="center"/>
    </xf>
    <xf numFmtId="0" fontId="16" fillId="0" borderId="0" xfId="0" applyFont="1"/>
    <xf numFmtId="0" fontId="17" fillId="0" borderId="0" xfId="0" applyFont="1"/>
    <xf numFmtId="0" fontId="1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left" vertical="center"/>
      <protection locked="0"/>
    </xf>
    <xf numFmtId="0" fontId="6" fillId="5" borderId="10" xfId="0" applyFont="1" applyFill="1" applyBorder="1" applyAlignment="1">
      <alignment vertical="center"/>
    </xf>
    <xf numFmtId="0" fontId="20" fillId="9" borderId="0" xfId="0" applyFont="1" applyFill="1" applyAlignment="1" applyProtection="1">
      <alignment horizontal="left" vertical="center"/>
      <protection locked="0"/>
    </xf>
    <xf numFmtId="0" fontId="11" fillId="8" borderId="7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9" fillId="7" borderId="12" xfId="0" applyFont="1" applyFill="1" applyBorder="1" applyAlignment="1">
      <alignment horizontal="center" vertical="center" wrapText="1"/>
    </xf>
    <xf numFmtId="0" fontId="9" fillId="7" borderId="0" xfId="0" applyFont="1" applyFill="1" applyAlignment="1">
      <alignment horizontal="center" vertical="center" wrapText="1"/>
    </xf>
    <xf numFmtId="9" fontId="18" fillId="0" borderId="0" xfId="3" applyFont="1" applyAlignment="1">
      <alignment horizontal="center"/>
    </xf>
    <xf numFmtId="0" fontId="18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 wrapText="1"/>
    </xf>
    <xf numFmtId="9" fontId="10" fillId="0" borderId="0" xfId="3" applyFont="1" applyAlignment="1">
      <alignment horizontal="center" vertical="center" wrapText="1"/>
    </xf>
    <xf numFmtId="9" fontId="10" fillId="0" borderId="0" xfId="3" applyFont="1" applyFill="1" applyAlignment="1">
      <alignment horizontal="center" vertical="center" wrapText="1"/>
    </xf>
    <xf numFmtId="1" fontId="22" fillId="11" borderId="13" xfId="0" applyNumberFormat="1" applyFont="1" applyFill="1" applyBorder="1" applyAlignment="1">
      <alignment horizontal="center" vertical="center"/>
    </xf>
    <xf numFmtId="0" fontId="21" fillId="12" borderId="0" xfId="0" applyFont="1" applyFill="1" applyAlignment="1">
      <alignment horizontal="center"/>
    </xf>
    <xf numFmtId="0" fontId="23" fillId="10" borderId="0" xfId="0" applyFont="1" applyFill="1" applyAlignment="1" applyProtection="1">
      <alignment horizontal="left" vertical="center"/>
      <protection locked="0"/>
    </xf>
    <xf numFmtId="0" fontId="23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4" fillId="4" borderId="3" xfId="0" applyFont="1" applyFill="1" applyBorder="1" applyAlignment="1">
      <alignment horizontal="right" vertical="center"/>
    </xf>
    <xf numFmtId="0" fontId="0" fillId="0" borderId="0" xfId="0" quotePrefix="1"/>
    <xf numFmtId="0" fontId="8" fillId="6" borderId="0" xfId="0" quotePrefix="1" applyFont="1" applyFill="1" applyAlignment="1">
      <alignment horizontal="center" vertical="center"/>
    </xf>
    <xf numFmtId="0" fontId="8" fillId="6" borderId="5" xfId="0" quotePrefix="1" applyFont="1" applyFill="1" applyBorder="1" applyAlignment="1">
      <alignment vertical="center"/>
    </xf>
    <xf numFmtId="0" fontId="2" fillId="3" borderId="0" xfId="0" quotePrefix="1" applyFont="1" applyFill="1"/>
    <xf numFmtId="0" fontId="3" fillId="2" borderId="0" xfId="0" quotePrefix="1" applyFont="1" applyFill="1" applyAlignment="1">
      <alignment horizontal="center" vertical="center"/>
    </xf>
    <xf numFmtId="14" fontId="1" fillId="2" borderId="1" xfId="0" quotePrefix="1" applyNumberFormat="1" applyFont="1" applyFill="1" applyBorder="1" applyAlignment="1">
      <alignment horizontal="center" vertical="center"/>
    </xf>
    <xf numFmtId="0" fontId="8" fillId="6" borderId="5" xfId="0" quotePrefix="1" applyFont="1" applyFill="1" applyBorder="1" applyAlignment="1">
      <alignment horizontal="left" vertical="center"/>
    </xf>
    <xf numFmtId="0" fontId="8" fillId="6" borderId="9" xfId="0" quotePrefix="1" applyFont="1" applyFill="1" applyBorder="1" applyAlignment="1">
      <alignment horizontal="left" vertical="center"/>
    </xf>
    <xf numFmtId="0" fontId="8" fillId="6" borderId="11" xfId="0" quotePrefix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7" fillId="5" borderId="4" xfId="0" applyFont="1" applyFill="1" applyBorder="1" applyAlignment="1">
      <alignment horizontal="left" vertical="center"/>
    </xf>
    <xf numFmtId="0" fontId="7" fillId="5" borderId="8" xfId="0" applyFont="1" applyFill="1" applyBorder="1" applyAlignment="1">
      <alignment horizontal="left" vertical="center"/>
    </xf>
    <xf numFmtId="0" fontId="7" fillId="5" borderId="4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left"/>
    </xf>
    <xf numFmtId="0" fontId="11" fillId="8" borderId="15" xfId="0" applyFont="1" applyFill="1" applyBorder="1" applyAlignment="1">
      <alignment horizontal="left"/>
    </xf>
    <xf numFmtId="0" fontId="11" fillId="8" borderId="16" xfId="0" applyFont="1" applyFill="1" applyBorder="1" applyAlignment="1">
      <alignment horizontal="left"/>
    </xf>
  </cellXfs>
  <cellStyles count="4">
    <cellStyle name="Normal" xfId="0" builtinId="0"/>
    <cellStyle name="Normal 2" xfId="2" xr:uid="{17BFE027-EBD2-4894-A4B7-22EB55DFFE95}"/>
    <cellStyle name="Normal 3" xfId="1" xr:uid="{37384669-6CFC-4267-B564-B372DB213ADD}"/>
    <cellStyle name="Percent" xfId="3" builtinId="5"/>
  </cellStyles>
  <dxfs count="36"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C6646"/>
        <name val="Calibri"/>
        <family val="2"/>
        <scheme val="minor"/>
      </font>
      <fill>
        <patternFill patternType="solid">
          <fgColor indexed="64"/>
          <bgColor rgb="FFB9E1CB"/>
        </patternFill>
      </fill>
      <alignment horizontal="center" vertical="center" textRotation="0" wrapText="1" indent="0" justifyLastLine="0" shrinkToFit="0" readingOrder="0"/>
    </dxf>
    <dxf>
      <font>
        <b val="0"/>
        <i val="0"/>
        <color rgb="FFC00000"/>
      </font>
      <fill>
        <patternFill>
          <fgColor indexed="64"/>
          <bgColor rgb="FFFF9393"/>
        </patternFill>
      </fill>
    </dxf>
    <dxf>
      <font>
        <b val="0"/>
        <i val="0"/>
        <color theme="5" tint="-0.499984740745262"/>
      </font>
      <fill>
        <patternFill patternType="solid">
          <fgColor indexed="9"/>
          <bgColor theme="5" tint="0.39997558519241921"/>
        </patternFill>
      </fill>
    </dxf>
    <dxf>
      <font>
        <b val="0"/>
        <i val="0"/>
        <color rgb="FFC00000"/>
      </font>
      <fill>
        <patternFill>
          <fgColor indexed="64"/>
          <bgColor rgb="FFFF9393"/>
        </patternFill>
      </fill>
    </dxf>
    <dxf>
      <font>
        <b val="0"/>
        <i val="0"/>
        <strike/>
        <color theme="2" tint="-0.749992370372631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lor theme="2" tint="-0.749992370372631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lor rgb="FF009242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lor theme="2" tint="-0.749992370372631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lor theme="2" tint="-0.749992370372631"/>
      </font>
      <fill>
        <patternFill patternType="solid">
          <fgColor indexed="64"/>
          <bgColor rgb="FFFFFFFF"/>
        </patternFill>
      </fill>
    </dxf>
  </dxfs>
  <tableStyles count="0" defaultTableStyle="TableStyleMedium2" defaultPivotStyle="PivotStyleLight16"/>
  <colors>
    <mruColors>
      <color rgb="FFFF9393"/>
      <color rgb="FFFFD5D5"/>
      <color rgb="FF009242"/>
      <color rgb="FFEFF6EA"/>
      <color rgb="FF00863D"/>
      <color rgb="FFF5F5F5"/>
      <color rgb="FFEFF6FB"/>
      <color rgb="FFF2F8EE"/>
      <color rgb="FF92D05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2" dropStyle="combo" dx="26" fmlaLink="$L$6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execution/suivi-des-actions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hyperlink" Target="https://blog-gestion-de-projet.com/docs/kit-management-projet/execution/suivi-des-actions/" TargetMode="External"/><Relationship Id="rId5" Type="http://schemas.openxmlformats.org/officeDocument/2006/relationships/image" Target="../media/image1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3</xdr:col>
      <xdr:colOff>1082040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35458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1752600</xdr:colOff>
      <xdr:row>5</xdr:row>
      <xdr:rowOff>60960</xdr:rowOff>
    </xdr:from>
    <xdr:to>
      <xdr:col>4</xdr:col>
      <xdr:colOff>1159825</xdr:colOff>
      <xdr:row>5</xdr:row>
      <xdr:rowOff>301981</xdr:rowOff>
    </xdr:to>
    <xdr:sp macro="[0]!NavBar" textlink="">
      <xdr:nvSpPr>
        <xdr:cNvPr id="12" name="BtnGuid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238500" y="81534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1253805</xdr:colOff>
      <xdr:row>5</xdr:row>
      <xdr:rowOff>63998</xdr:rowOff>
    </xdr:from>
    <xdr:to>
      <xdr:col>6</xdr:col>
      <xdr:colOff>432028</xdr:colOff>
      <xdr:row>5</xdr:row>
      <xdr:rowOff>305019</xdr:rowOff>
    </xdr:to>
    <xdr:sp macro="[0]!NavBar" textlink="">
      <xdr:nvSpPr>
        <xdr:cNvPr id="13" name="BtnActions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873305" y="81837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Actions</a:t>
          </a:r>
        </a:p>
      </xdr:txBody>
    </xdr:sp>
    <xdr:clientData/>
  </xdr:twoCellAnchor>
  <xdr:twoCellAnchor editAs="absolute">
    <xdr:from>
      <xdr:col>6</xdr:col>
      <xdr:colOff>539151</xdr:colOff>
      <xdr:row>5</xdr:row>
      <xdr:rowOff>62293</xdr:rowOff>
    </xdr:from>
    <xdr:to>
      <xdr:col>8</xdr:col>
      <xdr:colOff>784860</xdr:colOff>
      <xdr:row>5</xdr:row>
      <xdr:rowOff>303314</xdr:rowOff>
    </xdr:to>
    <xdr:sp macro="[0]!NavBar" textlink="">
      <xdr:nvSpPr>
        <xdr:cNvPr id="14" name="BtnSettings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749451" y="81667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2</xdr:col>
      <xdr:colOff>1973580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36220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7620</xdr:colOff>
      <xdr:row>8</xdr:row>
      <xdr:rowOff>91440</xdr:rowOff>
    </xdr:from>
    <xdr:to>
      <xdr:col>2</xdr:col>
      <xdr:colOff>1196340</xdr:colOff>
      <xdr:row>8</xdr:row>
      <xdr:rowOff>396240</xdr:rowOff>
    </xdr:to>
    <xdr:sp macro="[0]!AddRow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0980" y="1333500"/>
          <a:ext cx="1577340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Ajouter une action</a:t>
          </a:r>
        </a:p>
      </xdr:txBody>
    </xdr:sp>
    <xdr:clientData/>
  </xdr:twoCellAnchor>
  <xdr:twoCellAnchor editAs="absolute">
    <xdr:from>
      <xdr:col>2</xdr:col>
      <xdr:colOff>1318260</xdr:colOff>
      <xdr:row>8</xdr:row>
      <xdr:rowOff>91440</xdr:rowOff>
    </xdr:from>
    <xdr:to>
      <xdr:col>3</xdr:col>
      <xdr:colOff>373380</xdr:colOff>
      <xdr:row>8</xdr:row>
      <xdr:rowOff>396240</xdr:rowOff>
    </xdr:to>
    <xdr:sp macro="[0]!DeleteR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920240" y="1333500"/>
          <a:ext cx="1798320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Supprimer une action</a:t>
          </a:r>
        </a:p>
      </xdr:txBody>
    </xdr:sp>
    <xdr:clientData/>
  </xdr:twoCellAnchor>
  <xdr:twoCellAnchor editAs="absolute">
    <xdr:from>
      <xdr:col>2</xdr:col>
      <xdr:colOff>2636520</xdr:colOff>
      <xdr:row>5</xdr:row>
      <xdr:rowOff>60740</xdr:rowOff>
    </xdr:from>
    <xdr:to>
      <xdr:col>4</xdr:col>
      <xdr:colOff>146365</xdr:colOff>
      <xdr:row>5</xdr:row>
      <xdr:rowOff>301761</xdr:rowOff>
    </xdr:to>
    <xdr:sp macro="" textlink="">
      <xdr:nvSpPr>
        <xdr:cNvPr id="8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38500" y="81512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240345</xdr:colOff>
      <xdr:row>5</xdr:row>
      <xdr:rowOff>63778</xdr:rowOff>
    </xdr:from>
    <xdr:to>
      <xdr:col>5</xdr:col>
      <xdr:colOff>432028</xdr:colOff>
      <xdr:row>5</xdr:row>
      <xdr:rowOff>304799</xdr:rowOff>
    </xdr:to>
    <xdr:sp macro="[0]!NavBar" textlink="">
      <xdr:nvSpPr>
        <xdr:cNvPr id="9" name="BtnActions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873305" y="81815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5</xdr:col>
      <xdr:colOff>539151</xdr:colOff>
      <xdr:row>5</xdr:row>
      <xdr:rowOff>62073</xdr:rowOff>
    </xdr:from>
    <xdr:to>
      <xdr:col>6</xdr:col>
      <xdr:colOff>769620</xdr:colOff>
      <xdr:row>5</xdr:row>
      <xdr:rowOff>303094</xdr:rowOff>
    </xdr:to>
    <xdr:sp macro="[0]!NavBar" textlink="">
      <xdr:nvSpPr>
        <xdr:cNvPr id="11" name="BtnSettings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749451" y="81645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Paramétrages</a:t>
          </a:r>
        </a:p>
      </xdr:txBody>
    </xdr:sp>
    <xdr:clientData/>
  </xdr:twoCellAnchor>
  <xdr:twoCellAnchor editAs="absolute">
    <xdr:from>
      <xdr:col>4</xdr:col>
      <xdr:colOff>769620</xdr:colOff>
      <xdr:row>8</xdr:row>
      <xdr:rowOff>91440</xdr:rowOff>
    </xdr:from>
    <xdr:to>
      <xdr:col>5</xdr:col>
      <xdr:colOff>769620</xdr:colOff>
      <xdr:row>8</xdr:row>
      <xdr:rowOff>396240</xdr:rowOff>
    </xdr:to>
    <xdr:sp macro="[0]!AddColum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02580" y="1333500"/>
          <a:ext cx="1577340" cy="304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Ajouter une colonne</a:t>
          </a:r>
        </a:p>
      </xdr:txBody>
    </xdr:sp>
    <xdr:clientData/>
  </xdr:twoCellAnchor>
  <xdr:twoCellAnchor editAs="absolute">
    <xdr:from>
      <xdr:col>5</xdr:col>
      <xdr:colOff>891540</xdr:colOff>
      <xdr:row>8</xdr:row>
      <xdr:rowOff>91440</xdr:rowOff>
    </xdr:from>
    <xdr:to>
      <xdr:col>7</xdr:col>
      <xdr:colOff>175260</xdr:colOff>
      <xdr:row>8</xdr:row>
      <xdr:rowOff>396240</xdr:rowOff>
    </xdr:to>
    <xdr:sp macro="[0]!DeleteColum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101840" y="1333500"/>
          <a:ext cx="1798320" cy="3048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Supprimer une colonne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1082040</xdr:colOff>
      <xdr:row>8</xdr:row>
      <xdr:rowOff>38520</xdr:rowOff>
    </xdr:from>
    <xdr:to>
      <xdr:col>4</xdr:col>
      <xdr:colOff>1208040</xdr:colOff>
      <xdr:row>8</xdr:row>
      <xdr:rowOff>164520</xdr:rowOff>
    </xdr:to>
    <xdr:pic macro="[0]!AddRow">
      <xdr:nvPicPr>
        <xdr:cNvPr id="11" name="BtnAddPriorite" descr="Add with solid fill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16780" y="233976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1317840</xdr:colOff>
      <xdr:row>8</xdr:row>
      <xdr:rowOff>38100</xdr:rowOff>
    </xdr:from>
    <xdr:to>
      <xdr:col>4</xdr:col>
      <xdr:colOff>1443840</xdr:colOff>
      <xdr:row>8</xdr:row>
      <xdr:rowOff>164100</xdr:rowOff>
    </xdr:to>
    <xdr:pic macro="[0]!DeleteRow">
      <xdr:nvPicPr>
        <xdr:cNvPr id="12" name="BtnDeletePriorite" descr="Close with solid fill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2580" y="233934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6</xdr:col>
      <xdr:colOff>963764</xdr:colOff>
      <xdr:row>8</xdr:row>
      <xdr:rowOff>29906</xdr:rowOff>
    </xdr:from>
    <xdr:to>
      <xdr:col>6</xdr:col>
      <xdr:colOff>1089764</xdr:colOff>
      <xdr:row>8</xdr:row>
      <xdr:rowOff>155906</xdr:rowOff>
    </xdr:to>
    <xdr:pic macro="[0]!AddRow">
      <xdr:nvPicPr>
        <xdr:cNvPr id="17" name="BtnAddRealisation" descr="Add with solid fill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589312" y="1520776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6</xdr:col>
      <xdr:colOff>1176042</xdr:colOff>
      <xdr:row>8</xdr:row>
      <xdr:rowOff>30480</xdr:rowOff>
    </xdr:from>
    <xdr:to>
      <xdr:col>6</xdr:col>
      <xdr:colOff>1305024</xdr:colOff>
      <xdr:row>8</xdr:row>
      <xdr:rowOff>156480</xdr:rowOff>
    </xdr:to>
    <xdr:pic macro="[0]!DeleteRow">
      <xdr:nvPicPr>
        <xdr:cNvPr id="18" name="BtnDeleteRealisation" descr="Close with solid fill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1590" y="1521350"/>
          <a:ext cx="128982" cy="126000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0</xdr:row>
      <xdr:rowOff>152400</xdr:rowOff>
    </xdr:from>
    <xdr:to>
      <xdr:col>3</xdr:col>
      <xdr:colOff>547546</xdr:colOff>
      <xdr:row>4</xdr:row>
      <xdr:rowOff>76200</xdr:rowOff>
    </xdr:to>
    <xdr:pic>
      <xdr:nvPicPr>
        <xdr:cNvPr id="31" name="logo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260" y="152400"/>
          <a:ext cx="2719246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1112186</xdr:colOff>
      <xdr:row>8</xdr:row>
      <xdr:rowOff>30900</xdr:rowOff>
    </xdr:from>
    <xdr:to>
      <xdr:col>2</xdr:col>
      <xdr:colOff>1238186</xdr:colOff>
      <xdr:row>8</xdr:row>
      <xdr:rowOff>156900</xdr:rowOff>
    </xdr:to>
    <xdr:pic macro="[0]!AddRow">
      <xdr:nvPicPr>
        <xdr:cNvPr id="36" name="BtnAddStatut" descr="Add with solid fill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20569" y="152177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1347986</xdr:colOff>
      <xdr:row>8</xdr:row>
      <xdr:rowOff>30480</xdr:rowOff>
    </xdr:from>
    <xdr:to>
      <xdr:col>2</xdr:col>
      <xdr:colOff>1473986</xdr:colOff>
      <xdr:row>8</xdr:row>
      <xdr:rowOff>156480</xdr:rowOff>
    </xdr:to>
    <xdr:pic macro="[0]!DeleteRow">
      <xdr:nvPicPr>
        <xdr:cNvPr id="37" name="BtnDeleteStatut" descr="Close with solid fill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56369" y="152135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3</xdr:col>
      <xdr:colOff>891540</xdr:colOff>
      <xdr:row>5</xdr:row>
      <xdr:rowOff>60960</xdr:rowOff>
    </xdr:from>
    <xdr:to>
      <xdr:col>5</xdr:col>
      <xdr:colOff>1585</xdr:colOff>
      <xdr:row>5</xdr:row>
      <xdr:rowOff>301981</xdr:rowOff>
    </xdr:to>
    <xdr:sp macro="" textlink="">
      <xdr:nvSpPr>
        <xdr:cNvPr id="41" name="BtnGuide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3238500" y="81534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5</xdr:col>
      <xdr:colOff>95565</xdr:colOff>
      <xdr:row>5</xdr:row>
      <xdr:rowOff>63998</xdr:rowOff>
    </xdr:from>
    <xdr:to>
      <xdr:col>6</xdr:col>
      <xdr:colOff>1018768</xdr:colOff>
      <xdr:row>5</xdr:row>
      <xdr:rowOff>305019</xdr:rowOff>
    </xdr:to>
    <xdr:sp macro="[0]!NavBar" textlink="">
      <xdr:nvSpPr>
        <xdr:cNvPr id="42" name="BtnActions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4873305" y="81837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6</xdr:col>
      <xdr:colOff>1125891</xdr:colOff>
      <xdr:row>5</xdr:row>
      <xdr:rowOff>62293</xdr:rowOff>
    </xdr:from>
    <xdr:to>
      <xdr:col>8</xdr:col>
      <xdr:colOff>594360</xdr:colOff>
      <xdr:row>5</xdr:row>
      <xdr:rowOff>303314</xdr:rowOff>
    </xdr:to>
    <xdr:sp macro="[0]!NavBar" textlink="">
      <xdr:nvSpPr>
        <xdr:cNvPr id="43" name="BtnSettings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6749451" y="81667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5</xdr:row>
          <xdr:rowOff>83820</xdr:rowOff>
        </xdr:from>
        <xdr:to>
          <xdr:col>12</xdr:col>
          <xdr:colOff>137160</xdr:colOff>
          <xdr:row>5</xdr:row>
          <xdr:rowOff>297180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762953-8AF9-4D1F-B711-8A3DA5A4E1BD}" name="TabActions" displayName="TabActions" ref="B11:K42" totalsRowShown="0" headerRowDxfId="27" dataDxfId="26">
  <autoFilter ref="B11:K42" xr:uid="{C6762953-8AF9-4D1F-B711-8A3DA5A4E1BD}"/>
  <tableColumns count="10">
    <tableColumn id="1" xr3:uid="{C6AFDC86-425B-4C98-AEA5-154D37D11AA7}" name="ID" dataDxfId="25">
      <calculatedColumnFormula>ROW()-ROW(TabActions[[#Headers],[ID]])</calculatedColumnFormula>
    </tableColumn>
    <tableColumn id="3" xr3:uid="{09984EE0-6E70-49FB-B6A2-4CD5E3CFD8E9}" name="Action" dataDxfId="24"/>
    <tableColumn id="4" xr3:uid="{EFA05E07-C59A-4232-922F-F08CD26486E5}" name="Origine" dataDxfId="23"/>
    <tableColumn id="12" xr3:uid="{C0376BB8-0A87-43D5-B4B2-BD45FBA4AF7D}" name="Responsable" dataDxfId="22"/>
    <tableColumn id="5" xr3:uid="{6588FBC4-FB2B-4FAF-BB78-D3B8C250D067}" name="Échéance planifiée" dataDxfId="21"/>
    <tableColumn id="13" xr3:uid="{9E00B21C-9A6D-42AE-95C1-D593E8BC318A}" name="Réalisation" dataDxfId="20" dataCellStyle="Percent"/>
    <tableColumn id="6" xr3:uid="{6163C790-864C-442C-AEF6-3CB9E38FF10A}" name="Priorité" dataDxfId="19"/>
    <tableColumn id="7" xr3:uid="{2F79E7AB-AC0B-4289-8E0C-7C79FEBE4A7B}" name="Etat" dataDxfId="18"/>
    <tableColumn id="2" xr3:uid="{5B3C7E24-0096-460C-A9B4-405AB08185AE}" name="Date de fin réelle" dataDxfId="17"/>
    <tableColumn id="8" xr3:uid="{AE0D409C-4406-4D26-9092-790A264AFFDE}" name="Commentaires" dataDxfId="16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133962-1B2A-426B-9AB4-26C5D3E9480C}" name="TabPriority" displayName="TabPriority" ref="E10:E13" headerRowCount="0" totalsRowShown="0" headerRowDxfId="15" dataDxfId="14">
  <tableColumns count="1">
    <tableColumn id="1" xr3:uid="{7DFE387B-3640-49A3-932B-495ED8B5F89F}" name="Priorité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08E2366-D736-428D-85B0-A6B12D57CDEA}" name="TabRealisation" displayName="TabRealisation" ref="G10:G14" headerRowCount="0" totalsRowShown="0" headerRowDxfId="12" dataDxfId="11">
  <tableColumns count="1">
    <tableColumn id="1" xr3:uid="{C1D994C3-90E1-4AA3-BE08-9694F77FB0DE}" name="Réalisation" dataDxf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609DC7-55ED-4B66-A7D2-FEF690D15FA7}" name="TabEtat" displayName="TabEtat" ref="C10:C14" headerRowCount="0" totalsRowShown="0" headerRowDxfId="9" dataDxfId="8">
  <tableColumns count="1">
    <tableColumn id="1" xr3:uid="{7C2A4505-14BD-4EF4-9881-49A036808C06}" name="Etat" headerRowDxfId="7" dataDxfId="6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5368B3C-EA1E-4E48-9439-FE95BEE7B32C}" name="TabLangue" displayName="TabLangue" ref="A1:B52" totalsRowShown="0" headerRowDxfId="3" dataDxfId="2">
  <autoFilter ref="A1:B52" xr:uid="{E5368B3C-EA1E-4E48-9439-FE95BEE7B32C}"/>
  <sortState xmlns:xlrd2="http://schemas.microsoft.com/office/spreadsheetml/2017/richdata2" ref="A2:B51">
    <sortCondition ref="A1:A51"/>
  </sortState>
  <tableColumns count="2">
    <tableColumn id="1" xr3:uid="{8526E199-92C8-497C-9FD3-B625E356224D}" name="Français" dataDxfId="1"/>
    <tableColumn id="2" xr3:uid="{C30CEA29-DC4B-4B8A-9699-333E3D3CB60B}" name="Anglais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CD3B40-6C87-4861-96F9-C403DE576F71}" name="TabLang" displayName="TabLang" ref="F1:F3" totalsRowShown="0">
  <autoFilter ref="F1:F3" xr:uid="{6DCD3B40-6C87-4861-96F9-C403DE576F71}"/>
  <tableColumns count="1">
    <tableColumn id="1" xr3:uid="{030705FD-8E7E-4288-8F63-7C1763757EF9}" name="Lang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3FCC-62AB-448E-9317-F7CFF6A451BE}">
  <sheetPr codeName="ShGuide">
    <tabColor theme="4"/>
  </sheetPr>
  <dimension ref="A1:Q20"/>
  <sheetViews>
    <sheetView showGridLines="0" workbookViewId="0">
      <selection activeCell="D14" sqref="D14"/>
    </sheetView>
  </sheetViews>
  <sheetFormatPr defaultColWidth="0" defaultRowHeight="14.4" x14ac:dyDescent="0.3"/>
  <cols>
    <col min="1" max="1" width="3.109375" customWidth="1"/>
    <col min="2" max="2" width="5.6640625" customWidth="1"/>
    <col min="3" max="3" width="12.88671875" customWidth="1"/>
    <col min="4" max="4" width="31.109375" customWidth="1"/>
    <col min="5" max="5" width="18.6640625" customWidth="1"/>
    <col min="6" max="6" width="19.109375" customWidth="1"/>
    <col min="7" max="7" width="15.44140625" customWidth="1"/>
    <col min="8" max="8" width="4.44140625" customWidth="1"/>
    <col min="9" max="9" width="18.109375" bestFit="1" customWidth="1"/>
    <col min="10" max="10" width="21.6640625" customWidth="1"/>
    <col min="11" max="11" width="6" customWidth="1"/>
    <col min="12" max="12" width="23.5546875" customWidth="1"/>
    <col min="13" max="13" width="17" customWidth="1"/>
    <col min="14" max="16" width="8.88671875" customWidth="1"/>
    <col min="17" max="17" width="0" hidden="1" customWidth="1"/>
    <col min="18" max="16384" width="8.88671875" hidden="1"/>
  </cols>
  <sheetData>
    <row r="1" spans="2:13" ht="19.95" customHeight="1" x14ac:dyDescent="0.3">
      <c r="E1" s="7" t="s">
        <v>4</v>
      </c>
      <c r="F1" s="56" t="s">
        <v>10</v>
      </c>
      <c r="G1" s="56"/>
      <c r="H1" s="44"/>
      <c r="I1" s="7" t="s">
        <v>13</v>
      </c>
      <c r="J1" s="8" t="s">
        <v>12</v>
      </c>
      <c r="K1" s="44"/>
      <c r="L1" s="1" t="s">
        <v>0</v>
      </c>
      <c r="M1" s="2">
        <v>44893</v>
      </c>
    </row>
    <row r="2" spans="2:13" ht="14.4" hidden="1" customHeight="1" x14ac:dyDescent="0.3">
      <c r="E2" s="45" t="s">
        <v>155</v>
      </c>
      <c r="F2" s="50" t="s">
        <v>155</v>
      </c>
      <c r="G2" s="50" t="s">
        <v>155</v>
      </c>
      <c r="H2" s="44"/>
      <c r="I2" s="45" t="s">
        <v>155</v>
      </c>
      <c r="J2" s="46" t="s">
        <v>155</v>
      </c>
      <c r="K2" s="44"/>
      <c r="L2" s="47" t="s">
        <v>155</v>
      </c>
      <c r="M2" s="48" t="s">
        <v>155</v>
      </c>
    </row>
    <row r="3" spans="2:13" ht="19.95" customHeight="1" x14ac:dyDescent="0.3">
      <c r="E3" s="7" t="s">
        <v>5</v>
      </c>
      <c r="F3" s="56" t="s">
        <v>11</v>
      </c>
      <c r="G3" s="56"/>
      <c r="H3" s="44"/>
      <c r="I3" s="7" t="s">
        <v>14</v>
      </c>
      <c r="J3" s="8" t="s">
        <v>15</v>
      </c>
      <c r="K3" s="44"/>
      <c r="L3" s="1" t="s">
        <v>1</v>
      </c>
      <c r="M3" s="49">
        <v>45130</v>
      </c>
    </row>
    <row r="4" spans="2:13" ht="14.4" hidden="1" customHeight="1" x14ac:dyDescent="0.3">
      <c r="E4" s="44" t="s">
        <v>155</v>
      </c>
      <c r="F4" s="44" t="s">
        <v>155</v>
      </c>
      <c r="G4" s="44" t="s">
        <v>155</v>
      </c>
      <c r="H4" s="44" t="s">
        <v>155</v>
      </c>
      <c r="I4" s="44" t="s">
        <v>155</v>
      </c>
      <c r="J4" s="44" t="s">
        <v>155</v>
      </c>
      <c r="K4" s="44" t="s">
        <v>155</v>
      </c>
      <c r="L4" s="47" t="s">
        <v>155</v>
      </c>
      <c r="M4" s="48" t="s">
        <v>155</v>
      </c>
    </row>
    <row r="5" spans="2:13" ht="19.95" customHeight="1" thickBot="1" x14ac:dyDescent="0.35">
      <c r="E5" s="44"/>
      <c r="F5" s="44"/>
      <c r="G5" s="44"/>
      <c r="H5" s="44"/>
      <c r="I5" s="44"/>
      <c r="J5" s="44"/>
      <c r="K5" s="44"/>
      <c r="L5" s="3" t="s">
        <v>2</v>
      </c>
      <c r="M5" s="4" t="s">
        <v>3</v>
      </c>
    </row>
    <row r="6" spans="2:13" ht="28.2" customHeight="1" thickTop="1" thickBot="1" x14ac:dyDescent="0.35">
      <c r="B6" s="5"/>
      <c r="C6" s="6" t="s">
        <v>8</v>
      </c>
      <c r="D6" s="5"/>
      <c r="E6" s="5"/>
      <c r="F6" s="5"/>
      <c r="G6" s="5"/>
      <c r="H6" s="5"/>
      <c r="I6" s="5"/>
      <c r="J6" s="5"/>
      <c r="K6" s="5"/>
      <c r="L6" s="5"/>
      <c r="M6" s="5"/>
    </row>
    <row r="7" spans="2:13" ht="10.199999999999999" customHeight="1" thickTop="1" x14ac:dyDescent="0.3"/>
    <row r="11" spans="2:13" ht="21" customHeight="1" x14ac:dyDescent="0.3"/>
    <row r="12" spans="2:13" ht="21" customHeight="1" x14ac:dyDescent="0.3"/>
    <row r="13" spans="2:13" ht="21" customHeight="1" x14ac:dyDescent="0.3"/>
    <row r="14" spans="2:13" ht="21" customHeight="1" x14ac:dyDescent="0.3"/>
    <row r="15" spans="2:13" ht="21" customHeight="1" x14ac:dyDescent="0.3"/>
    <row r="16" spans="2:13" ht="21" customHeight="1" x14ac:dyDescent="0.3"/>
    <row r="17" ht="21" customHeight="1" x14ac:dyDescent="0.3"/>
    <row r="18" ht="21" customHeight="1" x14ac:dyDescent="0.3"/>
    <row r="19" ht="21" customHeight="1" x14ac:dyDescent="0.3"/>
    <row r="20" ht="21" customHeight="1" x14ac:dyDescent="0.3"/>
  </sheetData>
  <mergeCells count="2">
    <mergeCell ref="F1:G1"/>
    <mergeCell ref="F3:G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A947-56B9-402E-A5E0-3D721A741B85}">
  <sheetPr codeName="ShActions">
    <tabColor rgb="FFFFC000"/>
  </sheetPr>
  <dimension ref="B1:M90"/>
  <sheetViews>
    <sheetView showGridLines="0" tabSelected="1" workbookViewId="0">
      <selection activeCell="C13" sqref="C13"/>
    </sheetView>
  </sheetViews>
  <sheetFormatPr defaultColWidth="8.88671875" defaultRowHeight="14.4" x14ac:dyDescent="0.3"/>
  <cols>
    <col min="1" max="1" width="3.109375" customWidth="1"/>
    <col min="2" max="2" width="5.6640625" customWidth="1"/>
    <col min="3" max="3" width="40" customWidth="1"/>
    <col min="4" max="4" width="18.6640625" customWidth="1"/>
    <col min="5" max="5" width="23" customWidth="1"/>
    <col min="6" max="6" width="20.109375" customWidth="1"/>
    <col min="7" max="7" width="16.5546875" customWidth="1"/>
    <col min="8" max="8" width="11.88671875" customWidth="1"/>
    <col min="9" max="9" width="13.44140625" customWidth="1"/>
    <col min="10" max="10" width="18.109375" customWidth="1"/>
    <col min="11" max="11" width="45" customWidth="1"/>
    <col min="12" max="12" width="15.88671875" customWidth="1"/>
    <col min="13" max="13" width="15.33203125" customWidth="1"/>
    <col min="14" max="16" width="8.88671875" customWidth="1"/>
  </cols>
  <sheetData>
    <row r="1" spans="2:13" ht="19.95" customHeight="1" x14ac:dyDescent="0.3">
      <c r="E1" s="7" t="s">
        <v>4</v>
      </c>
      <c r="F1" s="56" t="s">
        <v>10</v>
      </c>
      <c r="G1" s="57"/>
      <c r="H1" s="25" t="s">
        <v>13</v>
      </c>
      <c r="I1" s="8" t="s">
        <v>12</v>
      </c>
      <c r="J1" s="44"/>
      <c r="K1" s="1" t="s">
        <v>0</v>
      </c>
      <c r="L1" s="2">
        <v>44893</v>
      </c>
      <c r="M1" s="44"/>
    </row>
    <row r="2" spans="2:13" ht="14.4" hidden="1" customHeight="1" x14ac:dyDescent="0.3">
      <c r="E2" s="45" t="s">
        <v>155</v>
      </c>
      <c r="F2" s="50" t="s">
        <v>155</v>
      </c>
      <c r="G2" s="51" t="s">
        <v>155</v>
      </c>
      <c r="H2" s="52" t="s">
        <v>155</v>
      </c>
      <c r="I2" s="46" t="s">
        <v>155</v>
      </c>
      <c r="J2" s="44"/>
      <c r="K2" s="47" t="s">
        <v>155</v>
      </c>
      <c r="L2" s="48" t="s">
        <v>155</v>
      </c>
      <c r="M2" s="44"/>
    </row>
    <row r="3" spans="2:13" ht="19.95" customHeight="1" x14ac:dyDescent="0.3">
      <c r="E3" s="7" t="s">
        <v>5</v>
      </c>
      <c r="F3" s="56" t="s">
        <v>11</v>
      </c>
      <c r="G3" s="57"/>
      <c r="H3" s="25" t="s">
        <v>14</v>
      </c>
      <c r="I3" s="8" t="s">
        <v>15</v>
      </c>
      <c r="J3" s="44"/>
      <c r="K3" s="1" t="s">
        <v>1</v>
      </c>
      <c r="L3" s="49" t="s">
        <v>155</v>
      </c>
      <c r="M3" s="44"/>
    </row>
    <row r="4" spans="2:13" ht="14.4" hidden="1" customHeight="1" x14ac:dyDescent="0.3">
      <c r="E4" s="44" t="s">
        <v>155</v>
      </c>
      <c r="F4" s="44" t="s">
        <v>155</v>
      </c>
      <c r="G4" s="44" t="s">
        <v>155</v>
      </c>
      <c r="H4" s="44" t="s">
        <v>155</v>
      </c>
      <c r="I4" s="44" t="s">
        <v>155</v>
      </c>
      <c r="J4" s="44" t="s">
        <v>155</v>
      </c>
      <c r="K4" s="47" t="s">
        <v>155</v>
      </c>
      <c r="L4" s="48" t="s">
        <v>155</v>
      </c>
      <c r="M4" s="44"/>
    </row>
    <row r="5" spans="2:13" ht="19.95" customHeight="1" thickBot="1" x14ac:dyDescent="0.35">
      <c r="E5" s="44"/>
      <c r="F5" s="44"/>
      <c r="G5" s="44"/>
      <c r="H5" s="44"/>
      <c r="I5" s="44"/>
      <c r="J5" s="44"/>
      <c r="K5" s="3" t="s">
        <v>2</v>
      </c>
      <c r="L5" s="4" t="s">
        <v>3</v>
      </c>
      <c r="M5" s="44"/>
    </row>
    <row r="6" spans="2:13" ht="28.2" customHeight="1" thickTop="1" thickBot="1" x14ac:dyDescent="0.35">
      <c r="B6" s="5"/>
      <c r="C6" s="6" t="s">
        <v>95</v>
      </c>
      <c r="D6" s="5"/>
      <c r="E6" s="5"/>
      <c r="F6" s="5"/>
      <c r="G6" s="5"/>
      <c r="H6" s="5"/>
      <c r="I6" s="5"/>
      <c r="J6" s="5"/>
      <c r="K6" s="5"/>
      <c r="L6" s="5"/>
    </row>
    <row r="7" spans="2:13" ht="10.199999999999999" customHeight="1" thickTop="1" x14ac:dyDescent="0.3"/>
    <row r="8" spans="2:13" ht="20.399999999999999" hidden="1" customHeight="1" thickTop="1" x14ac:dyDescent="0.3">
      <c r="D8" s="29"/>
      <c r="E8" s="28"/>
    </row>
    <row r="9" spans="2:13" ht="37.200000000000003" customHeight="1" x14ac:dyDescent="0.3"/>
    <row r="10" spans="2:13" ht="21.6" customHeight="1" x14ac:dyDescent="0.3">
      <c r="B10" s="30" t="s">
        <v>6</v>
      </c>
      <c r="C10" s="30" t="s">
        <v>16</v>
      </c>
      <c r="D10" s="30" t="s">
        <v>17</v>
      </c>
      <c r="E10" s="30" t="s">
        <v>18</v>
      </c>
      <c r="F10" s="30" t="s">
        <v>19</v>
      </c>
      <c r="G10" s="30" t="s">
        <v>20</v>
      </c>
      <c r="H10" s="30" t="s">
        <v>7</v>
      </c>
      <c r="I10" s="30" t="s">
        <v>22</v>
      </c>
      <c r="J10" s="30" t="s">
        <v>21</v>
      </c>
      <c r="K10" s="30" t="s">
        <v>23</v>
      </c>
    </row>
    <row r="11" spans="2:13" hidden="1" x14ac:dyDescent="0.3">
      <c r="B11" s="31" t="s">
        <v>6</v>
      </c>
      <c r="C11" s="31" t="s">
        <v>16</v>
      </c>
      <c r="D11" s="31" t="s">
        <v>17</v>
      </c>
      <c r="E11" s="31" t="s">
        <v>18</v>
      </c>
      <c r="F11" s="31" t="s">
        <v>19</v>
      </c>
      <c r="G11" s="31" t="s">
        <v>20</v>
      </c>
      <c r="H11" s="31" t="s">
        <v>7</v>
      </c>
      <c r="I11" s="31" t="s">
        <v>22</v>
      </c>
      <c r="J11" s="31" t="s">
        <v>21</v>
      </c>
      <c r="K11" s="31" t="s">
        <v>23</v>
      </c>
    </row>
    <row r="12" spans="2:13" ht="32.4" customHeight="1" x14ac:dyDescent="0.3">
      <c r="B12" s="10">
        <f>ROW()-ROW(TabActions[[#Headers],[ID]])</f>
        <v>1</v>
      </c>
      <c r="C12" s="9" t="s">
        <v>33</v>
      </c>
      <c r="D12" s="9" t="s">
        <v>34</v>
      </c>
      <c r="E12" s="10" t="s">
        <v>35</v>
      </c>
      <c r="F12" s="34">
        <v>45179</v>
      </c>
      <c r="G12" s="35">
        <v>0.25</v>
      </c>
      <c r="H12" s="10" t="s">
        <v>31</v>
      </c>
      <c r="I12" s="10" t="s">
        <v>25</v>
      </c>
      <c r="J12" s="34">
        <v>45064</v>
      </c>
      <c r="K12" s="9" t="s">
        <v>91</v>
      </c>
    </row>
    <row r="13" spans="2:13" ht="32.4" customHeight="1" x14ac:dyDescent="0.3">
      <c r="B13" s="10">
        <f>ROW()-ROW(TabActions[[#Headers],[ID]])</f>
        <v>2</v>
      </c>
      <c r="C13" s="9" t="s">
        <v>36</v>
      </c>
      <c r="D13" s="9" t="s">
        <v>34</v>
      </c>
      <c r="E13" s="10" t="s">
        <v>37</v>
      </c>
      <c r="F13" s="34">
        <v>45180</v>
      </c>
      <c r="G13" s="35">
        <v>0.5</v>
      </c>
      <c r="H13" s="10" t="s">
        <v>30</v>
      </c>
      <c r="I13" s="10" t="s">
        <v>25</v>
      </c>
      <c r="J13" s="34">
        <v>45173</v>
      </c>
      <c r="K13" s="9" t="s">
        <v>92</v>
      </c>
    </row>
    <row r="14" spans="2:13" ht="32.4" customHeight="1" x14ac:dyDescent="0.3">
      <c r="B14" s="10">
        <f>ROW()-ROW(TabActions[[#Headers],[ID]])</f>
        <v>3</v>
      </c>
      <c r="C14" s="9" t="s">
        <v>38</v>
      </c>
      <c r="D14" s="9" t="s">
        <v>34</v>
      </c>
      <c r="E14" s="10" t="s">
        <v>37</v>
      </c>
      <c r="F14" s="34">
        <v>45067</v>
      </c>
      <c r="G14" s="35">
        <v>0.5</v>
      </c>
      <c r="H14" s="10" t="s">
        <v>29</v>
      </c>
      <c r="I14" s="10" t="s">
        <v>25</v>
      </c>
      <c r="J14" s="34">
        <v>45076</v>
      </c>
      <c r="K14" s="9" t="s">
        <v>39</v>
      </c>
    </row>
    <row r="15" spans="2:13" ht="32.4" customHeight="1" x14ac:dyDescent="0.3">
      <c r="B15" s="10">
        <f>ROW()-ROW(TabActions[[#Headers],[ID]])</f>
        <v>4</v>
      </c>
      <c r="C15" s="9" t="s">
        <v>40</v>
      </c>
      <c r="D15" s="9" t="s">
        <v>34</v>
      </c>
      <c r="E15" s="10" t="s">
        <v>41</v>
      </c>
      <c r="F15" s="34">
        <v>44658</v>
      </c>
      <c r="G15" s="35">
        <v>0</v>
      </c>
      <c r="H15" s="10" t="s">
        <v>29</v>
      </c>
      <c r="I15" s="10" t="s">
        <v>25</v>
      </c>
      <c r="J15" s="34">
        <v>44658</v>
      </c>
      <c r="K15" s="9" t="s">
        <v>42</v>
      </c>
    </row>
    <row r="16" spans="2:13" ht="32.4" customHeight="1" x14ac:dyDescent="0.3">
      <c r="B16" s="10">
        <f>ROW()-ROW(TabActions[[#Headers],[ID]])</f>
        <v>5</v>
      </c>
      <c r="C16" s="9" t="s">
        <v>43</v>
      </c>
      <c r="D16" s="9" t="s">
        <v>34</v>
      </c>
      <c r="E16" s="10" t="s">
        <v>44</v>
      </c>
      <c r="F16" s="34">
        <v>44693</v>
      </c>
      <c r="G16" s="35">
        <v>0.5</v>
      </c>
      <c r="H16" s="10" t="s">
        <v>29</v>
      </c>
      <c r="I16" s="10" t="s">
        <v>25</v>
      </c>
      <c r="J16" s="34">
        <v>44695</v>
      </c>
      <c r="K16" s="9" t="s">
        <v>45</v>
      </c>
    </row>
    <row r="17" spans="2:11" ht="32.4" customHeight="1" x14ac:dyDescent="0.3">
      <c r="B17" s="10">
        <f>ROW()-ROW(TabActions[[#Headers],[ID]])</f>
        <v>6</v>
      </c>
      <c r="C17" s="9" t="s">
        <v>46</v>
      </c>
      <c r="D17" s="9" t="s">
        <v>47</v>
      </c>
      <c r="E17" s="10" t="s">
        <v>48</v>
      </c>
      <c r="F17" s="34">
        <v>44667</v>
      </c>
      <c r="G17" s="35">
        <v>0.5</v>
      </c>
      <c r="H17" s="10" t="s">
        <v>29</v>
      </c>
      <c r="I17" s="10" t="s">
        <v>25</v>
      </c>
      <c r="J17" s="34">
        <v>44667</v>
      </c>
      <c r="K17" s="9" t="s">
        <v>49</v>
      </c>
    </row>
    <row r="18" spans="2:11" ht="32.4" customHeight="1" x14ac:dyDescent="0.3">
      <c r="B18" s="10">
        <f>ROW()-ROW(TabActions[[#Headers],[ID]])</f>
        <v>7</v>
      </c>
      <c r="C18" s="9" t="s">
        <v>50</v>
      </c>
      <c r="D18" s="9" t="s">
        <v>47</v>
      </c>
      <c r="E18" s="10" t="s">
        <v>51</v>
      </c>
      <c r="F18" s="34">
        <v>44667</v>
      </c>
      <c r="G18" s="35">
        <v>1</v>
      </c>
      <c r="H18" s="10" t="s">
        <v>29</v>
      </c>
      <c r="I18" s="10" t="s">
        <v>26</v>
      </c>
      <c r="J18" s="34"/>
      <c r="K18" s="9" t="s">
        <v>52</v>
      </c>
    </row>
    <row r="19" spans="2:11" ht="32.4" customHeight="1" x14ac:dyDescent="0.3">
      <c r="B19" s="10">
        <f>ROW()-ROW(TabActions[[#Headers],[ID]])</f>
        <v>8</v>
      </c>
      <c r="C19" s="9" t="s">
        <v>53</v>
      </c>
      <c r="D19" s="9" t="s">
        <v>47</v>
      </c>
      <c r="E19" s="10" t="s">
        <v>54</v>
      </c>
      <c r="F19" s="34">
        <v>45093</v>
      </c>
      <c r="G19" s="35">
        <v>0</v>
      </c>
      <c r="H19" s="10" t="s">
        <v>29</v>
      </c>
      <c r="I19" s="10" t="s">
        <v>25</v>
      </c>
      <c r="J19" s="34">
        <v>44667</v>
      </c>
      <c r="K19" s="9" t="s">
        <v>52</v>
      </c>
    </row>
    <row r="20" spans="2:11" ht="32.4" customHeight="1" x14ac:dyDescent="0.3">
      <c r="B20" s="10">
        <f>ROW()-ROW(TabActions[[#Headers],[ID]])</f>
        <v>9</v>
      </c>
      <c r="C20" s="9" t="s">
        <v>55</v>
      </c>
      <c r="D20" s="9" t="s">
        <v>47</v>
      </c>
      <c r="E20" s="10" t="s">
        <v>56</v>
      </c>
      <c r="F20" s="34">
        <v>45081</v>
      </c>
      <c r="G20" s="35">
        <v>0</v>
      </c>
      <c r="H20" s="10" t="s">
        <v>29</v>
      </c>
      <c r="I20" s="10" t="s">
        <v>24</v>
      </c>
      <c r="J20" s="34"/>
      <c r="K20" s="9" t="s">
        <v>52</v>
      </c>
    </row>
    <row r="21" spans="2:11" ht="32.4" customHeight="1" x14ac:dyDescent="0.3">
      <c r="B21" s="10">
        <f>ROW()-ROW(TabActions[[#Headers],[ID]])</f>
        <v>10</v>
      </c>
      <c r="C21" s="9" t="s">
        <v>57</v>
      </c>
      <c r="D21" s="9" t="s">
        <v>47</v>
      </c>
      <c r="E21" s="10" t="s">
        <v>58</v>
      </c>
      <c r="F21" s="34">
        <v>44656</v>
      </c>
      <c r="G21" s="35">
        <v>1</v>
      </c>
      <c r="H21" s="10" t="s">
        <v>29</v>
      </c>
      <c r="I21" s="10" t="s">
        <v>26</v>
      </c>
      <c r="J21" s="34">
        <v>44668</v>
      </c>
      <c r="K21" s="9" t="s">
        <v>52</v>
      </c>
    </row>
    <row r="22" spans="2:11" ht="32.4" customHeight="1" x14ac:dyDescent="0.3">
      <c r="B22" s="10">
        <f>ROW()-ROW(TabActions[[#Headers],[ID]])</f>
        <v>11</v>
      </c>
      <c r="C22" s="9" t="s">
        <v>59</v>
      </c>
      <c r="D22" s="9" t="s">
        <v>47</v>
      </c>
      <c r="E22" s="10" t="s">
        <v>48</v>
      </c>
      <c r="F22" s="34">
        <v>44680</v>
      </c>
      <c r="G22" s="35">
        <v>1</v>
      </c>
      <c r="H22" s="10" t="s">
        <v>29</v>
      </c>
      <c r="I22" s="10" t="s">
        <v>26</v>
      </c>
      <c r="J22" s="34">
        <v>44667</v>
      </c>
      <c r="K22" s="9" t="s">
        <v>60</v>
      </c>
    </row>
    <row r="23" spans="2:11" ht="32.4" customHeight="1" x14ac:dyDescent="0.3">
      <c r="B23" s="10">
        <f>ROW()-ROW(TabActions[[#Headers],[ID]])</f>
        <v>12</v>
      </c>
      <c r="C23" s="9" t="s">
        <v>61</v>
      </c>
      <c r="D23" s="9" t="s">
        <v>47</v>
      </c>
      <c r="E23" s="10" t="s">
        <v>62</v>
      </c>
      <c r="F23" s="34">
        <v>44680</v>
      </c>
      <c r="G23" s="35">
        <v>1</v>
      </c>
      <c r="H23" s="10" t="s">
        <v>29</v>
      </c>
      <c r="I23" s="10" t="s">
        <v>26</v>
      </c>
      <c r="J23" s="34">
        <v>44680</v>
      </c>
      <c r="K23" s="9" t="s">
        <v>63</v>
      </c>
    </row>
    <row r="24" spans="2:11" ht="32.4" customHeight="1" x14ac:dyDescent="0.3">
      <c r="B24" s="10">
        <f>ROW()-ROW(TabActions[[#Headers],[ID]])</f>
        <v>13</v>
      </c>
      <c r="C24" s="9" t="s">
        <v>64</v>
      </c>
      <c r="D24" s="9" t="s">
        <v>47</v>
      </c>
      <c r="E24" s="10" t="s">
        <v>44</v>
      </c>
      <c r="F24" s="34">
        <v>45107</v>
      </c>
      <c r="G24" s="35">
        <v>0.25</v>
      </c>
      <c r="H24" s="10" t="s">
        <v>29</v>
      </c>
      <c r="I24" s="10" t="s">
        <v>27</v>
      </c>
      <c r="J24" s="34"/>
      <c r="K24" s="9" t="s">
        <v>65</v>
      </c>
    </row>
    <row r="25" spans="2:11" ht="32.4" customHeight="1" x14ac:dyDescent="0.3">
      <c r="B25" s="10">
        <f>ROW()-ROW(TabActions[[#Headers],[ID]])</f>
        <v>14</v>
      </c>
      <c r="C25" s="9" t="s">
        <v>66</v>
      </c>
      <c r="D25" s="9" t="s">
        <v>67</v>
      </c>
      <c r="E25" s="10" t="s">
        <v>62</v>
      </c>
      <c r="F25" s="34">
        <v>45108</v>
      </c>
      <c r="G25" s="35">
        <v>1</v>
      </c>
      <c r="H25" s="10" t="s">
        <v>30</v>
      </c>
      <c r="I25" s="10" t="s">
        <v>26</v>
      </c>
      <c r="J25" s="34">
        <v>45108</v>
      </c>
      <c r="K25" s="9"/>
    </row>
    <row r="26" spans="2:11" ht="32.4" customHeight="1" x14ac:dyDescent="0.3">
      <c r="B26" s="10">
        <f>ROW()-ROW(TabActions[[#Headers],[ID]])</f>
        <v>15</v>
      </c>
      <c r="C26" s="9" t="s">
        <v>68</v>
      </c>
      <c r="D26" s="9" t="s">
        <v>67</v>
      </c>
      <c r="E26" s="10" t="s">
        <v>48</v>
      </c>
      <c r="F26" s="34">
        <v>45109</v>
      </c>
      <c r="G26" s="35">
        <v>0</v>
      </c>
      <c r="H26" s="10" t="s">
        <v>30</v>
      </c>
      <c r="I26" s="10" t="s">
        <v>24</v>
      </c>
      <c r="J26" s="34"/>
      <c r="K26" s="9"/>
    </row>
    <row r="27" spans="2:11" ht="32.4" customHeight="1" x14ac:dyDescent="0.3">
      <c r="B27" s="10">
        <f>ROW()-ROW(TabActions[[#Headers],[ID]])</f>
        <v>16</v>
      </c>
      <c r="C27" s="9" t="s">
        <v>69</v>
      </c>
      <c r="D27" s="9" t="s">
        <v>67</v>
      </c>
      <c r="E27" s="10" t="s">
        <v>48</v>
      </c>
      <c r="F27" s="34">
        <v>45110</v>
      </c>
      <c r="G27" s="35">
        <v>0.25</v>
      </c>
      <c r="H27" s="10" t="s">
        <v>30</v>
      </c>
      <c r="I27" s="10" t="s">
        <v>25</v>
      </c>
      <c r="J27" s="34"/>
      <c r="K27" s="9"/>
    </row>
    <row r="28" spans="2:11" ht="32.4" customHeight="1" x14ac:dyDescent="0.3">
      <c r="B28" s="10">
        <f>ROW()-ROW(TabActions[[#Headers],[ID]])</f>
        <v>17</v>
      </c>
      <c r="C28" s="9" t="s">
        <v>70</v>
      </c>
      <c r="D28" s="9" t="s">
        <v>67</v>
      </c>
      <c r="E28" s="10" t="s">
        <v>71</v>
      </c>
      <c r="F28" s="34">
        <v>45111</v>
      </c>
      <c r="G28" s="35"/>
      <c r="H28" s="10" t="s">
        <v>30</v>
      </c>
      <c r="I28" s="10" t="s">
        <v>24</v>
      </c>
      <c r="J28" s="34"/>
      <c r="K28" s="9"/>
    </row>
    <row r="29" spans="2:11" ht="32.4" customHeight="1" x14ac:dyDescent="0.3">
      <c r="B29" s="10">
        <f>ROW()-ROW(TabActions[[#Headers],[ID]])</f>
        <v>18</v>
      </c>
      <c r="C29" s="9" t="s">
        <v>72</v>
      </c>
      <c r="D29" s="9" t="s">
        <v>67</v>
      </c>
      <c r="E29" s="10" t="s">
        <v>48</v>
      </c>
      <c r="F29" s="34">
        <v>45112</v>
      </c>
      <c r="G29" s="35"/>
      <c r="H29" s="10" t="s">
        <v>30</v>
      </c>
      <c r="I29" s="10" t="s">
        <v>24</v>
      </c>
      <c r="J29" s="34"/>
      <c r="K29" s="9"/>
    </row>
    <row r="30" spans="2:11" ht="32.4" customHeight="1" x14ac:dyDescent="0.3">
      <c r="B30" s="10">
        <f>ROW()-ROW(TabActions[[#Headers],[ID]])</f>
        <v>19</v>
      </c>
      <c r="C30" s="9" t="s">
        <v>73</v>
      </c>
      <c r="D30" s="9" t="s">
        <v>67</v>
      </c>
      <c r="E30" s="10" t="s">
        <v>48</v>
      </c>
      <c r="F30" s="34">
        <v>45113</v>
      </c>
      <c r="G30" s="35"/>
      <c r="H30" s="10" t="s">
        <v>30</v>
      </c>
      <c r="I30" s="10" t="s">
        <v>24</v>
      </c>
      <c r="J30" s="34"/>
      <c r="K30" s="9"/>
    </row>
    <row r="31" spans="2:11" ht="32.4" customHeight="1" x14ac:dyDescent="0.3">
      <c r="B31" s="10">
        <f>ROW()-ROW(TabActions[[#Headers],[ID]])</f>
        <v>20</v>
      </c>
      <c r="C31" s="9" t="s">
        <v>74</v>
      </c>
      <c r="D31" s="9" t="s">
        <v>67</v>
      </c>
      <c r="E31" s="10" t="s">
        <v>71</v>
      </c>
      <c r="F31" s="34">
        <v>45114</v>
      </c>
      <c r="G31" s="36"/>
      <c r="H31" s="10" t="s">
        <v>30</v>
      </c>
      <c r="I31" s="10" t="s">
        <v>24</v>
      </c>
      <c r="J31" s="34"/>
      <c r="K31" s="9"/>
    </row>
    <row r="32" spans="2:11" ht="32.4" customHeight="1" x14ac:dyDescent="0.3">
      <c r="B32" s="10">
        <f>ROW()-ROW(TabActions[[#Headers],[ID]])</f>
        <v>21</v>
      </c>
      <c r="C32" s="9" t="s">
        <v>75</v>
      </c>
      <c r="D32" s="9" t="s">
        <v>67</v>
      </c>
      <c r="E32" s="10" t="s">
        <v>76</v>
      </c>
      <c r="F32" s="34">
        <v>45115</v>
      </c>
      <c r="G32" s="36"/>
      <c r="H32" s="10" t="s">
        <v>30</v>
      </c>
      <c r="I32" s="10" t="s">
        <v>24</v>
      </c>
      <c r="J32" s="34"/>
      <c r="K32" s="9"/>
    </row>
    <row r="33" spans="2:11" ht="32.4" customHeight="1" x14ac:dyDescent="0.3">
      <c r="B33" s="10">
        <f>ROW()-ROW(TabActions[[#Headers],[ID]])</f>
        <v>22</v>
      </c>
      <c r="C33" s="9" t="s">
        <v>77</v>
      </c>
      <c r="D33" s="9" t="s">
        <v>78</v>
      </c>
      <c r="E33" s="10" t="s">
        <v>51</v>
      </c>
      <c r="F33" s="34">
        <v>45116</v>
      </c>
      <c r="G33" s="36"/>
      <c r="H33" s="10" t="s">
        <v>31</v>
      </c>
      <c r="I33" s="10" t="s">
        <v>24</v>
      </c>
      <c r="J33" s="34"/>
      <c r="K33" s="9" t="s">
        <v>79</v>
      </c>
    </row>
    <row r="34" spans="2:11" ht="32.4" customHeight="1" x14ac:dyDescent="0.3">
      <c r="B34" s="10">
        <f>ROW()-ROW(TabActions[[#Headers],[ID]])</f>
        <v>23</v>
      </c>
      <c r="C34" s="9" t="s">
        <v>80</v>
      </c>
      <c r="D34" s="9" t="s">
        <v>78</v>
      </c>
      <c r="E34" s="10" t="s">
        <v>54</v>
      </c>
      <c r="F34" s="34">
        <v>45117</v>
      </c>
      <c r="G34" s="36"/>
      <c r="H34" s="10" t="s">
        <v>31</v>
      </c>
      <c r="I34" s="10" t="s">
        <v>24</v>
      </c>
      <c r="J34" s="34"/>
      <c r="K34" s="9"/>
    </row>
    <row r="35" spans="2:11" ht="32.4" customHeight="1" x14ac:dyDescent="0.3">
      <c r="B35" s="10">
        <f>ROW()-ROW(TabActions[[#Headers],[ID]])</f>
        <v>24</v>
      </c>
      <c r="C35" s="9" t="s">
        <v>81</v>
      </c>
      <c r="D35" s="9" t="s">
        <v>78</v>
      </c>
      <c r="E35" s="10" t="s">
        <v>56</v>
      </c>
      <c r="F35" s="34">
        <v>45118</v>
      </c>
      <c r="G35" s="36"/>
      <c r="H35" s="10" t="s">
        <v>31</v>
      </c>
      <c r="I35" s="10" t="s">
        <v>24</v>
      </c>
      <c r="J35" s="34"/>
      <c r="K35" s="9"/>
    </row>
    <row r="36" spans="2:11" ht="32.4" customHeight="1" x14ac:dyDescent="0.3">
      <c r="B36" s="10">
        <f>ROW()-ROW(TabActions[[#Headers],[ID]])</f>
        <v>25</v>
      </c>
      <c r="C36" s="9" t="s">
        <v>82</v>
      </c>
      <c r="D36" s="9" t="s">
        <v>78</v>
      </c>
      <c r="E36" s="10" t="s">
        <v>58</v>
      </c>
      <c r="F36" s="34">
        <v>45119</v>
      </c>
      <c r="G36" s="36"/>
      <c r="H36" s="10" t="s">
        <v>31</v>
      </c>
      <c r="I36" s="10" t="s">
        <v>24</v>
      </c>
      <c r="J36" s="34"/>
      <c r="K36" s="9"/>
    </row>
    <row r="37" spans="2:11" ht="32.4" customHeight="1" x14ac:dyDescent="0.3">
      <c r="B37" s="10">
        <f>ROW()-ROW(TabActions[[#Headers],[ID]])</f>
        <v>26</v>
      </c>
      <c r="C37" s="9" t="s">
        <v>83</v>
      </c>
      <c r="D37" s="9" t="s">
        <v>78</v>
      </c>
      <c r="E37" s="10" t="s">
        <v>37</v>
      </c>
      <c r="F37" s="34">
        <v>45120</v>
      </c>
      <c r="G37" s="36"/>
      <c r="H37" s="10" t="s">
        <v>31</v>
      </c>
      <c r="I37" s="10" t="s">
        <v>24</v>
      </c>
      <c r="J37" s="34"/>
      <c r="K37" s="9"/>
    </row>
    <row r="38" spans="2:11" ht="32.4" customHeight="1" x14ac:dyDescent="0.3">
      <c r="B38" s="10">
        <f>ROW()-ROW(TabActions[[#Headers],[ID]])</f>
        <v>27</v>
      </c>
      <c r="C38" s="9" t="s">
        <v>84</v>
      </c>
      <c r="D38" s="9" t="s">
        <v>78</v>
      </c>
      <c r="E38" s="10" t="s">
        <v>85</v>
      </c>
      <c r="F38" s="34">
        <v>45121</v>
      </c>
      <c r="G38" s="36"/>
      <c r="H38" s="10" t="s">
        <v>31</v>
      </c>
      <c r="I38" s="10" t="s">
        <v>24</v>
      </c>
      <c r="J38" s="34"/>
      <c r="K38" s="9"/>
    </row>
    <row r="39" spans="2:11" ht="32.4" customHeight="1" x14ac:dyDescent="0.3">
      <c r="B39" s="10">
        <f>ROW()-ROW(TabActions[[#Headers],[ID]])</f>
        <v>28</v>
      </c>
      <c r="C39" s="9" t="s">
        <v>86</v>
      </c>
      <c r="D39" s="9" t="s">
        <v>78</v>
      </c>
      <c r="E39" s="10" t="s">
        <v>48</v>
      </c>
      <c r="F39" s="34">
        <v>45122</v>
      </c>
      <c r="G39" s="36"/>
      <c r="H39" s="10" t="s">
        <v>31</v>
      </c>
      <c r="I39" s="10" t="s">
        <v>24</v>
      </c>
      <c r="J39" s="34"/>
      <c r="K39" s="9"/>
    </row>
    <row r="40" spans="2:11" ht="32.4" customHeight="1" x14ac:dyDescent="0.3">
      <c r="B40" s="10">
        <f>ROW()-ROW(TabActions[[#Headers],[ID]])</f>
        <v>29</v>
      </c>
      <c r="C40" s="9" t="s">
        <v>87</v>
      </c>
      <c r="D40" s="9" t="s">
        <v>78</v>
      </c>
      <c r="E40" s="10" t="s">
        <v>48</v>
      </c>
      <c r="F40" s="34">
        <v>45123</v>
      </c>
      <c r="G40" s="36"/>
      <c r="H40" s="10" t="s">
        <v>31</v>
      </c>
      <c r="I40" s="10" t="s">
        <v>24</v>
      </c>
      <c r="J40" s="34"/>
      <c r="K40" s="9"/>
    </row>
    <row r="41" spans="2:11" ht="32.4" customHeight="1" x14ac:dyDescent="0.3">
      <c r="B41" s="10">
        <f>ROW()-ROW(TabActions[[#Headers],[ID]])</f>
        <v>30</v>
      </c>
      <c r="C41" s="9" t="s">
        <v>88</v>
      </c>
      <c r="D41" s="9" t="s">
        <v>78</v>
      </c>
      <c r="E41" s="10" t="s">
        <v>89</v>
      </c>
      <c r="F41" s="34">
        <v>45124</v>
      </c>
      <c r="G41" s="36"/>
      <c r="H41" s="10" t="s">
        <v>31</v>
      </c>
      <c r="I41" s="10" t="s">
        <v>24</v>
      </c>
      <c r="J41" s="34"/>
      <c r="K41" s="9"/>
    </row>
    <row r="42" spans="2:11" ht="32.4" customHeight="1" x14ac:dyDescent="0.3">
      <c r="B42" s="10">
        <f>ROW()-ROW(TabActions[[#Headers],[ID]])</f>
        <v>31</v>
      </c>
      <c r="C42" s="9" t="s">
        <v>90</v>
      </c>
      <c r="D42" s="9" t="s">
        <v>78</v>
      </c>
      <c r="E42" s="10" t="s">
        <v>44</v>
      </c>
      <c r="F42" s="34">
        <v>45125</v>
      </c>
      <c r="G42" s="36"/>
      <c r="H42" s="10" t="s">
        <v>31</v>
      </c>
      <c r="I42" s="10" t="s">
        <v>24</v>
      </c>
      <c r="J42" s="34"/>
      <c r="K42" s="9"/>
    </row>
    <row r="43" spans="2:11" ht="32.4" customHeight="1" x14ac:dyDescent="0.3"/>
    <row r="44" spans="2:11" ht="32.4" customHeight="1" x14ac:dyDescent="0.3"/>
    <row r="45" spans="2:11" ht="32.4" customHeight="1" x14ac:dyDescent="0.3"/>
    <row r="46" spans="2:11" ht="32.4" customHeight="1" x14ac:dyDescent="0.3"/>
    <row r="47" spans="2:11" ht="32.4" customHeight="1" x14ac:dyDescent="0.3"/>
    <row r="48" spans="2:11" ht="32.4" customHeight="1" x14ac:dyDescent="0.3"/>
    <row r="49" ht="32.4" customHeight="1" x14ac:dyDescent="0.3"/>
    <row r="50" ht="32.4" customHeight="1" x14ac:dyDescent="0.3"/>
    <row r="51" ht="32.4" customHeight="1" x14ac:dyDescent="0.3"/>
    <row r="52" ht="32.4" customHeight="1" x14ac:dyDescent="0.3"/>
    <row r="53" ht="32.4" customHeight="1" x14ac:dyDescent="0.3"/>
    <row r="54" ht="32.4" customHeight="1" x14ac:dyDescent="0.3"/>
    <row r="55" ht="32.4" customHeight="1" x14ac:dyDescent="0.3"/>
    <row r="56" ht="32.4" customHeight="1" x14ac:dyDescent="0.3"/>
    <row r="57" ht="32.4" customHeight="1" x14ac:dyDescent="0.3"/>
    <row r="58" ht="32.4" customHeight="1" x14ac:dyDescent="0.3"/>
    <row r="59" ht="32.4" customHeight="1" x14ac:dyDescent="0.3"/>
    <row r="60" ht="32.4" customHeight="1" x14ac:dyDescent="0.3"/>
    <row r="61" ht="32.4" customHeight="1" x14ac:dyDescent="0.3"/>
    <row r="62" ht="32.4" customHeight="1" x14ac:dyDescent="0.3"/>
    <row r="63" ht="32.4" customHeight="1" x14ac:dyDescent="0.3"/>
    <row r="64" ht="32.4" customHeight="1" x14ac:dyDescent="0.3"/>
    <row r="65" ht="32.4" customHeight="1" x14ac:dyDescent="0.3"/>
    <row r="66" ht="32.4" customHeight="1" x14ac:dyDescent="0.3"/>
    <row r="67" ht="32.4" customHeight="1" x14ac:dyDescent="0.3"/>
    <row r="68" ht="32.4" customHeight="1" x14ac:dyDescent="0.3"/>
    <row r="69" ht="32.4" customHeight="1" x14ac:dyDescent="0.3"/>
    <row r="70" ht="32.4" customHeight="1" x14ac:dyDescent="0.3"/>
    <row r="71" ht="32.4" customHeight="1" x14ac:dyDescent="0.3"/>
    <row r="72" ht="32.4" customHeight="1" x14ac:dyDescent="0.3"/>
    <row r="73" ht="32.4" customHeight="1" x14ac:dyDescent="0.3"/>
    <row r="74" ht="32.4" customHeight="1" x14ac:dyDescent="0.3"/>
    <row r="75" ht="32.4" customHeight="1" x14ac:dyDescent="0.3"/>
    <row r="76" ht="32.4" customHeight="1" x14ac:dyDescent="0.3"/>
    <row r="77" ht="32.4" customHeight="1" x14ac:dyDescent="0.3"/>
    <row r="78" ht="32.4" customHeight="1" x14ac:dyDescent="0.3"/>
    <row r="79" ht="32.4" customHeight="1" x14ac:dyDescent="0.3"/>
    <row r="80" ht="32.4" customHeight="1" x14ac:dyDescent="0.3"/>
    <row r="81" ht="32.4" customHeight="1" x14ac:dyDescent="0.3"/>
    <row r="82" ht="32.4" customHeight="1" x14ac:dyDescent="0.3"/>
    <row r="83" ht="32.4" customHeight="1" x14ac:dyDescent="0.3"/>
    <row r="84" ht="32.4" customHeight="1" x14ac:dyDescent="0.3"/>
    <row r="87" ht="21" customHeight="1" x14ac:dyDescent="0.3"/>
    <row r="88" ht="21" customHeight="1" x14ac:dyDescent="0.3"/>
    <row r="89" ht="21" customHeight="1" x14ac:dyDescent="0.3"/>
    <row r="90" ht="21" customHeight="1" x14ac:dyDescent="0.3"/>
  </sheetData>
  <mergeCells count="2">
    <mergeCell ref="F1:G1"/>
    <mergeCell ref="F3:G3"/>
  </mergeCells>
  <conditionalFormatting sqref="B12:K42">
    <cfRule type="expression" dxfId="35" priority="8">
      <formula>$I12="A faire"</formula>
    </cfRule>
    <cfRule type="expression" dxfId="34" priority="7">
      <formula>$I12="En cours"</formula>
    </cfRule>
    <cfRule type="expression" dxfId="33" priority="6">
      <formula>$I12="Réalisé"</formula>
    </cfRule>
    <cfRule type="expression" dxfId="32" priority="5">
      <formula>$I12="En attente"</formula>
    </cfRule>
    <cfRule type="expression" dxfId="31" priority="4">
      <formula>$I12="Annulé"</formula>
    </cfRule>
  </conditionalFormatting>
  <conditionalFormatting sqref="F12:F42 J12:J42">
    <cfRule type="expression" dxfId="30" priority="3" stopIfTrue="1">
      <formula>AND($F12 &lt; TODAY(),$I12 &lt;&gt; "Réalisé",$I12 &lt;&gt; "Annulé")</formula>
    </cfRule>
    <cfRule type="expression" dxfId="29" priority="1" stopIfTrue="1">
      <formula>AND($F12 &lt;= TODAY() +10,$F12 &gt;= TODAY(),$I12 &lt;&gt; "Completed",$I12 &lt;&gt; "Cancelled",$I12 &lt;&gt; "Réalisé",$I12 &lt;&gt; "Annulé")</formula>
    </cfRule>
  </conditionalFormatting>
  <conditionalFormatting sqref="J12:J42">
    <cfRule type="expression" dxfId="28" priority="2" stopIfTrue="1">
      <formula xml:space="preserve"> $F12 &lt; $J12</formula>
    </cfRule>
  </conditionalFormatting>
  <dataValidations count="3">
    <dataValidation type="list" allowBlank="1" showInputMessage="1" showErrorMessage="1" sqref="I12:I42" xr:uid="{55111BC5-CEF1-43BE-A2F8-01DEFAD7F60B}">
      <formula1>INDIRECT("TabEtat[Etat]")</formula1>
    </dataValidation>
    <dataValidation type="list" allowBlank="1" showInputMessage="1" showErrorMessage="1" sqref="H12:I42" xr:uid="{1C61C354-7731-47A2-9DB7-CB7CC70D57DB}">
      <formula1>INDIRECT("TabPriority[Priorité]")</formula1>
    </dataValidation>
    <dataValidation type="list" allowBlank="1" showInputMessage="1" showErrorMessage="1" sqref="G12:G42" xr:uid="{A5A889CD-57A6-46D2-9885-A76BD9232021}">
      <formula1>INDIRECT("TabRealisation[Réalisation]")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93683-995A-4A4B-B428-99BB8342CD57}">
  <sheetPr codeName="ShSettings"/>
  <dimension ref="B1:O32"/>
  <sheetViews>
    <sheetView showGridLines="0" zoomScaleNormal="100" workbookViewId="0">
      <selection activeCell="E18" sqref="E18"/>
    </sheetView>
  </sheetViews>
  <sheetFormatPr defaultColWidth="9.109375" defaultRowHeight="14.4" x14ac:dyDescent="0.3"/>
  <cols>
    <col min="1" max="1" width="2.88671875" customWidth="1"/>
    <col min="3" max="3" width="22.44140625" customWidth="1"/>
    <col min="4" max="4" width="13.44140625" customWidth="1"/>
    <col min="5" max="5" width="22" customWidth="1"/>
    <col min="6" max="6" width="12.33203125" customWidth="1"/>
    <col min="7" max="7" width="19.6640625" customWidth="1"/>
    <col min="8" max="8" width="11.5546875" customWidth="1"/>
    <col min="9" max="9" width="20.33203125" customWidth="1"/>
    <col min="10" max="10" width="18.88671875" customWidth="1"/>
    <col min="11" max="11" width="5.6640625" customWidth="1"/>
    <col min="12" max="12" width="18" customWidth="1"/>
    <col min="13" max="13" width="13.44140625" customWidth="1"/>
  </cols>
  <sheetData>
    <row r="1" spans="2:14" ht="19.95" customHeight="1" x14ac:dyDescent="0.3">
      <c r="E1" s="7" t="s">
        <v>4</v>
      </c>
      <c r="F1" s="58" t="s">
        <v>10</v>
      </c>
      <c r="G1" s="58"/>
      <c r="H1" s="44"/>
      <c r="I1" s="7" t="s">
        <v>13</v>
      </c>
      <c r="J1" s="8" t="s">
        <v>12</v>
      </c>
      <c r="K1" s="44"/>
      <c r="L1" s="1" t="s">
        <v>0</v>
      </c>
      <c r="M1" s="2">
        <v>44893</v>
      </c>
      <c r="N1" s="44"/>
    </row>
    <row r="2" spans="2:14" ht="14.4" hidden="1" customHeight="1" x14ac:dyDescent="0.3">
      <c r="E2" s="45" t="s">
        <v>155</v>
      </c>
      <c r="F2" s="46" t="s">
        <v>155</v>
      </c>
      <c r="G2" s="46" t="s">
        <v>155</v>
      </c>
      <c r="H2" s="44"/>
      <c r="I2" s="45" t="s">
        <v>155</v>
      </c>
      <c r="J2" s="46" t="s">
        <v>155</v>
      </c>
      <c r="K2" s="44"/>
      <c r="L2" s="47" t="s">
        <v>155</v>
      </c>
      <c r="M2" s="48" t="s">
        <v>155</v>
      </c>
      <c r="N2" s="44"/>
    </row>
    <row r="3" spans="2:14" ht="19.95" customHeight="1" x14ac:dyDescent="0.3">
      <c r="E3" s="7" t="s">
        <v>5</v>
      </c>
      <c r="F3" s="58" t="s">
        <v>11</v>
      </c>
      <c r="G3" s="58"/>
      <c r="H3" s="44"/>
      <c r="I3" s="7" t="s">
        <v>14</v>
      </c>
      <c r="J3" s="8" t="s">
        <v>15</v>
      </c>
      <c r="K3" s="44"/>
      <c r="L3" s="1" t="s">
        <v>1</v>
      </c>
      <c r="M3" s="49" t="s">
        <v>155</v>
      </c>
      <c r="N3" s="44"/>
    </row>
    <row r="4" spans="2:14" ht="14.4" hidden="1" customHeight="1" x14ac:dyDescent="0.3">
      <c r="E4" s="44" t="s">
        <v>155</v>
      </c>
      <c r="F4" s="44" t="s">
        <v>155</v>
      </c>
      <c r="G4" s="44" t="s">
        <v>155</v>
      </c>
      <c r="H4" s="44"/>
      <c r="I4" s="44" t="s">
        <v>155</v>
      </c>
      <c r="J4" s="44" t="s">
        <v>155</v>
      </c>
      <c r="K4" s="44"/>
      <c r="L4" s="47" t="s">
        <v>155</v>
      </c>
      <c r="M4" s="48" t="s">
        <v>155</v>
      </c>
      <c r="N4" s="44"/>
    </row>
    <row r="5" spans="2:14" ht="19.95" customHeight="1" thickBot="1" x14ac:dyDescent="0.35">
      <c r="E5" s="44"/>
      <c r="F5" s="44"/>
      <c r="G5" s="44"/>
      <c r="H5" s="44"/>
      <c r="I5" s="44"/>
      <c r="J5" s="44"/>
      <c r="K5" s="44"/>
      <c r="L5" s="3" t="s">
        <v>2</v>
      </c>
      <c r="M5" s="4" t="s">
        <v>3</v>
      </c>
      <c r="N5" s="44"/>
    </row>
    <row r="6" spans="2:14" ht="28.2" customHeight="1" thickTop="1" thickBot="1" x14ac:dyDescent="0.35">
      <c r="B6" s="5"/>
      <c r="C6" s="6" t="s">
        <v>9</v>
      </c>
      <c r="D6" s="5"/>
      <c r="E6" s="5"/>
      <c r="F6" s="5"/>
      <c r="G6" s="5"/>
      <c r="H6" s="5"/>
      <c r="I6" s="5"/>
      <c r="J6" s="43" t="s">
        <v>98</v>
      </c>
      <c r="K6" s="5"/>
      <c r="L6" s="5">
        <v>2</v>
      </c>
      <c r="M6" s="5"/>
    </row>
    <row r="7" spans="2:14" ht="15" thickTop="1" x14ac:dyDescent="0.3"/>
    <row r="9" spans="2:14" x14ac:dyDescent="0.3">
      <c r="C9" s="27" t="s">
        <v>22</v>
      </c>
      <c r="E9" s="14" t="s">
        <v>7</v>
      </c>
      <c r="G9" s="14" t="s">
        <v>20</v>
      </c>
      <c r="I9" s="59" t="s">
        <v>154</v>
      </c>
      <c r="J9" s="60"/>
      <c r="K9" s="61"/>
      <c r="L9" s="37">
        <v>10</v>
      </c>
    </row>
    <row r="10" spans="2:14" x14ac:dyDescent="0.3">
      <c r="C10" s="24" t="s">
        <v>24</v>
      </c>
      <c r="E10" s="33" t="s">
        <v>29</v>
      </c>
      <c r="G10" s="32">
        <v>0</v>
      </c>
    </row>
    <row r="11" spans="2:14" x14ac:dyDescent="0.3">
      <c r="C11" s="24" t="s">
        <v>25</v>
      </c>
      <c r="E11" s="33" t="s">
        <v>30</v>
      </c>
      <c r="G11" s="32">
        <v>0.25</v>
      </c>
      <c r="I11" s="59" t="s">
        <v>94</v>
      </c>
      <c r="J11" s="60"/>
      <c r="K11" s="61"/>
      <c r="L11" s="38" t="s">
        <v>93</v>
      </c>
    </row>
    <row r="12" spans="2:14" x14ac:dyDescent="0.3">
      <c r="C12" s="26" t="s">
        <v>26</v>
      </c>
      <c r="E12" s="33" t="s">
        <v>31</v>
      </c>
      <c r="G12" s="32">
        <v>0.5</v>
      </c>
    </row>
    <row r="13" spans="2:14" x14ac:dyDescent="0.3">
      <c r="C13" s="24" t="s">
        <v>27</v>
      </c>
      <c r="E13" s="33" t="s">
        <v>32</v>
      </c>
      <c r="G13" s="32">
        <v>0.75</v>
      </c>
      <c r="J13" s="15"/>
      <c r="K13" s="15"/>
    </row>
    <row r="14" spans="2:14" x14ac:dyDescent="0.3">
      <c r="C14" s="39" t="s">
        <v>28</v>
      </c>
      <c r="G14" s="32">
        <v>1</v>
      </c>
      <c r="J14" s="16"/>
      <c r="K14" s="17"/>
      <c r="L14" s="18"/>
    </row>
    <row r="15" spans="2:14" x14ac:dyDescent="0.3">
      <c r="J15" s="16"/>
      <c r="K15" s="17"/>
      <c r="L15" s="16"/>
    </row>
    <row r="16" spans="2:14" x14ac:dyDescent="0.3">
      <c r="J16" s="16"/>
      <c r="K16" s="19"/>
      <c r="L16" s="16"/>
    </row>
    <row r="18" spans="2:15" x14ac:dyDescent="0.3">
      <c r="C18" s="40"/>
    </row>
    <row r="19" spans="2:15" x14ac:dyDescent="0.3">
      <c r="C19" s="24"/>
    </row>
    <row r="20" spans="2:15" x14ac:dyDescent="0.3">
      <c r="C20" s="24"/>
    </row>
    <row r="21" spans="2:15" x14ac:dyDescent="0.3">
      <c r="C21" s="24"/>
    </row>
    <row r="22" spans="2:15" x14ac:dyDescent="0.3">
      <c r="F22" s="23"/>
      <c r="H22" s="23"/>
    </row>
    <row r="23" spans="2:15" x14ac:dyDescent="0.3">
      <c r="H23" s="23"/>
    </row>
    <row r="24" spans="2:15" x14ac:dyDescent="0.3">
      <c r="C24" s="20"/>
    </row>
    <row r="25" spans="2:15" x14ac:dyDescent="0.3">
      <c r="B25" s="11"/>
      <c r="C25" s="21"/>
      <c r="F25" s="11"/>
      <c r="J25" s="11"/>
      <c r="N25" s="11"/>
      <c r="O25" s="11"/>
    </row>
    <row r="26" spans="2:15" x14ac:dyDescent="0.3">
      <c r="B26" s="11"/>
      <c r="C26" s="22"/>
      <c r="E26" s="13"/>
      <c r="F26" s="11"/>
      <c r="I26" s="11"/>
      <c r="J26" s="11"/>
      <c r="N26" s="11"/>
      <c r="O26" s="11"/>
    </row>
    <row r="27" spans="2:15" x14ac:dyDescent="0.3">
      <c r="B27" s="11"/>
      <c r="E27" s="13"/>
      <c r="F27" s="11"/>
      <c r="I27" s="11"/>
      <c r="J27" s="11"/>
      <c r="N27" s="11"/>
      <c r="O27" s="11"/>
    </row>
    <row r="28" spans="2:15" x14ac:dyDescent="0.3">
      <c r="B28" s="11"/>
      <c r="C28" s="11"/>
      <c r="E28" s="13"/>
      <c r="F28" s="11"/>
      <c r="I28" s="12"/>
      <c r="J28" s="12"/>
      <c r="K28" s="11"/>
      <c r="L28" s="11"/>
      <c r="M28" s="11"/>
      <c r="N28" s="11"/>
      <c r="O28" s="11"/>
    </row>
    <row r="29" spans="2:15" x14ac:dyDescent="0.3">
      <c r="B29" s="11"/>
      <c r="C29" s="11"/>
      <c r="D29" s="11"/>
      <c r="E29" s="11"/>
      <c r="F29" s="11"/>
      <c r="I29" s="11"/>
      <c r="J29" s="11"/>
      <c r="K29" s="11"/>
      <c r="L29" s="11"/>
      <c r="M29" s="11"/>
      <c r="N29" s="11"/>
      <c r="O29" s="11"/>
    </row>
    <row r="30" spans="2:15" x14ac:dyDescent="0.3">
      <c r="B30" s="11"/>
      <c r="C30" s="11"/>
      <c r="D30" s="11"/>
      <c r="F30" s="11"/>
      <c r="I30" s="11"/>
      <c r="J30" s="11"/>
      <c r="K30" s="11"/>
      <c r="L30" s="11"/>
      <c r="M30" s="11"/>
      <c r="N30" s="11"/>
      <c r="O30" s="11"/>
    </row>
    <row r="31" spans="2:15" x14ac:dyDescent="0.3">
      <c r="B31" s="11"/>
      <c r="C31" s="11"/>
      <c r="D31" s="11"/>
      <c r="F31" s="11"/>
      <c r="I31" s="11"/>
      <c r="J31" s="11"/>
      <c r="N31" s="11"/>
      <c r="O31" s="11"/>
    </row>
    <row r="32" spans="2:15" x14ac:dyDescent="0.3">
      <c r="B32" s="11"/>
      <c r="D32" s="11"/>
      <c r="F32" s="11"/>
      <c r="G32" s="11"/>
      <c r="H32" s="11"/>
      <c r="I32" s="11"/>
      <c r="J32" s="11"/>
      <c r="N32" s="11"/>
      <c r="O32" s="11"/>
    </row>
  </sheetData>
  <mergeCells count="4">
    <mergeCell ref="F3:G3"/>
    <mergeCell ref="F1:G1"/>
    <mergeCell ref="I9:K9"/>
    <mergeCell ref="I11:K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 macro="[0]!change_langue">
                <anchor moveWithCells="1">
                  <from>
                    <xdr:col>10</xdr:col>
                    <xdr:colOff>175260</xdr:colOff>
                    <xdr:row>5</xdr:row>
                    <xdr:rowOff>83820</xdr:rowOff>
                  </from>
                  <to>
                    <xdr:col>12</xdr:col>
                    <xdr:colOff>137160</xdr:colOff>
                    <xdr:row>5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8E11B-EBAC-4F87-AA44-D736655233F9}">
  <sheetPr codeName="ShLangue"/>
  <dimension ref="A1:F53"/>
  <sheetViews>
    <sheetView showGridLines="0" topLeftCell="A30" workbookViewId="0">
      <selection activeCell="A37" sqref="A37"/>
    </sheetView>
  </sheetViews>
  <sheetFormatPr defaultColWidth="9.109375" defaultRowHeight="14.4" x14ac:dyDescent="0.3"/>
  <cols>
    <col min="1" max="1" width="38.33203125" customWidth="1"/>
    <col min="2" max="2" width="32.6640625" customWidth="1"/>
    <col min="6" max="6" width="15" customWidth="1"/>
  </cols>
  <sheetData>
    <row r="1" spans="1:6" x14ac:dyDescent="0.3">
      <c r="A1" s="41" t="s">
        <v>96</v>
      </c>
      <c r="B1" s="41" t="s">
        <v>97</v>
      </c>
      <c r="F1" t="s">
        <v>98</v>
      </c>
    </row>
    <row r="2" spans="1:6" x14ac:dyDescent="0.3">
      <c r="A2" s="42" t="s">
        <v>24</v>
      </c>
      <c r="B2" s="41" t="s">
        <v>160</v>
      </c>
      <c r="F2" t="s">
        <v>97</v>
      </c>
    </row>
    <row r="3" spans="1:6" x14ac:dyDescent="0.3">
      <c r="A3" s="53" t="s">
        <v>16</v>
      </c>
      <c r="B3" s="41" t="s">
        <v>16</v>
      </c>
      <c r="F3" t="s">
        <v>96</v>
      </c>
    </row>
    <row r="4" spans="1:6" x14ac:dyDescent="0.3">
      <c r="A4" s="42" t="s">
        <v>155</v>
      </c>
      <c r="B4" s="41" t="s">
        <v>155</v>
      </c>
    </row>
    <row r="5" spans="1:6" x14ac:dyDescent="0.3">
      <c r="A5" s="42" t="s">
        <v>122</v>
      </c>
      <c r="B5" s="41" t="s">
        <v>123</v>
      </c>
    </row>
    <row r="6" spans="1:6" x14ac:dyDescent="0.3">
      <c r="A6" s="42" t="s">
        <v>126</v>
      </c>
      <c r="B6" s="41" t="s">
        <v>127</v>
      </c>
    </row>
    <row r="7" spans="1:6" x14ac:dyDescent="0.3">
      <c r="A7" s="42" t="s">
        <v>28</v>
      </c>
      <c r="B7" s="41" t="s">
        <v>118</v>
      </c>
    </row>
    <row r="8" spans="1:6" x14ac:dyDescent="0.3">
      <c r="A8" s="42" t="s">
        <v>94</v>
      </c>
      <c r="B8" s="41" t="s">
        <v>157</v>
      </c>
    </row>
    <row r="9" spans="1:6" x14ac:dyDescent="0.3">
      <c r="A9" s="42" t="s">
        <v>13</v>
      </c>
      <c r="B9" s="41" t="s">
        <v>101</v>
      </c>
    </row>
    <row r="10" spans="1:6" x14ac:dyDescent="0.3">
      <c r="A10" s="42" t="s">
        <v>151</v>
      </c>
      <c r="B10" s="41" t="s">
        <v>152</v>
      </c>
    </row>
    <row r="11" spans="1:6" x14ac:dyDescent="0.3">
      <c r="A11" s="53" t="s">
        <v>23</v>
      </c>
      <c r="B11" s="41" t="s">
        <v>166</v>
      </c>
    </row>
    <row r="12" spans="1:6" x14ac:dyDescent="0.3">
      <c r="A12" s="42" t="s">
        <v>0</v>
      </c>
      <c r="B12" s="41" t="s">
        <v>103</v>
      </c>
    </row>
    <row r="13" spans="1:6" x14ac:dyDescent="0.3">
      <c r="A13" s="53" t="s">
        <v>21</v>
      </c>
      <c r="B13" s="41" t="s">
        <v>165</v>
      </c>
    </row>
    <row r="14" spans="1:6" x14ac:dyDescent="0.3">
      <c r="A14" s="42" t="s">
        <v>1</v>
      </c>
      <c r="B14" s="41" t="s">
        <v>104</v>
      </c>
    </row>
    <row r="15" spans="1:6" x14ac:dyDescent="0.3">
      <c r="A15" s="42" t="s">
        <v>136</v>
      </c>
      <c r="B15" s="41" t="s">
        <v>137</v>
      </c>
    </row>
    <row r="16" spans="1:6" x14ac:dyDescent="0.3">
      <c r="A16" s="42" t="s">
        <v>138</v>
      </c>
      <c r="B16" s="41" t="s">
        <v>139</v>
      </c>
    </row>
    <row r="17" spans="1:2" x14ac:dyDescent="0.3">
      <c r="A17" s="42" t="s">
        <v>145</v>
      </c>
      <c r="B17" s="41" t="s">
        <v>146</v>
      </c>
    </row>
    <row r="18" spans="1:2" x14ac:dyDescent="0.3">
      <c r="A18" s="42" t="s">
        <v>147</v>
      </c>
      <c r="B18" s="41" t="s">
        <v>148</v>
      </c>
    </row>
    <row r="19" spans="1:2" x14ac:dyDescent="0.3">
      <c r="A19" s="42" t="s">
        <v>135</v>
      </c>
      <c r="B19" s="41" t="s">
        <v>135</v>
      </c>
    </row>
    <row r="20" spans="1:2" x14ac:dyDescent="0.3">
      <c r="A20" s="53" t="s">
        <v>19</v>
      </c>
      <c r="B20" s="41" t="s">
        <v>163</v>
      </c>
    </row>
    <row r="21" spans="1:2" x14ac:dyDescent="0.3">
      <c r="A21" s="42" t="s">
        <v>27</v>
      </c>
      <c r="B21" s="41" t="s">
        <v>119</v>
      </c>
    </row>
    <row r="22" spans="1:2" x14ac:dyDescent="0.3">
      <c r="A22" s="42" t="s">
        <v>25</v>
      </c>
      <c r="B22" s="41" t="s">
        <v>113</v>
      </c>
    </row>
    <row r="23" spans="1:2" x14ac:dyDescent="0.3">
      <c r="A23" s="53" t="s">
        <v>22</v>
      </c>
      <c r="B23" s="41" t="s">
        <v>110</v>
      </c>
    </row>
    <row r="24" spans="1:2" x14ac:dyDescent="0.3">
      <c r="A24" s="42" t="s">
        <v>8</v>
      </c>
      <c r="B24" s="41" t="s">
        <v>106</v>
      </c>
    </row>
    <row r="25" spans="1:2" x14ac:dyDescent="0.3">
      <c r="A25" s="53" t="s">
        <v>6</v>
      </c>
      <c r="B25" s="41" t="s">
        <v>6</v>
      </c>
    </row>
    <row r="26" spans="1:2" x14ac:dyDescent="0.3">
      <c r="A26" s="42" t="s">
        <v>98</v>
      </c>
      <c r="B26" s="41" t="s">
        <v>109</v>
      </c>
    </row>
    <row r="27" spans="1:2" x14ac:dyDescent="0.3">
      <c r="A27" s="42" t="s">
        <v>141</v>
      </c>
      <c r="B27" s="41" t="s">
        <v>142</v>
      </c>
    </row>
    <row r="28" spans="1:2" x14ac:dyDescent="0.3">
      <c r="A28" s="42" t="s">
        <v>120</v>
      </c>
      <c r="B28" s="41" t="s">
        <v>121</v>
      </c>
    </row>
    <row r="29" spans="1:2" x14ac:dyDescent="0.3">
      <c r="A29" s="42" t="s">
        <v>130</v>
      </c>
      <c r="B29" s="41" t="s">
        <v>131</v>
      </c>
    </row>
    <row r="30" spans="1:2" x14ac:dyDescent="0.3">
      <c r="A30" s="42" t="s">
        <v>114</v>
      </c>
      <c r="B30" s="41" t="s">
        <v>115</v>
      </c>
    </row>
    <row r="31" spans="1:2" x14ac:dyDescent="0.3">
      <c r="A31" s="42" t="s">
        <v>4</v>
      </c>
      <c r="B31" s="41" t="s">
        <v>99</v>
      </c>
    </row>
    <row r="32" spans="1:2" x14ac:dyDescent="0.3">
      <c r="A32" s="42" t="s">
        <v>111</v>
      </c>
      <c r="B32" s="41" t="s">
        <v>112</v>
      </c>
    </row>
    <row r="33" spans="1:2" x14ac:dyDescent="0.3">
      <c r="A33" s="42" t="s">
        <v>2</v>
      </c>
      <c r="B33" s="41" t="s">
        <v>105</v>
      </c>
    </row>
    <row r="34" spans="1:2" x14ac:dyDescent="0.3">
      <c r="A34" s="53" t="s">
        <v>17</v>
      </c>
      <c r="B34" s="41" t="s">
        <v>162</v>
      </c>
    </row>
    <row r="35" spans="1:2" x14ac:dyDescent="0.3">
      <c r="A35" s="42" t="s">
        <v>9</v>
      </c>
      <c r="B35" s="41" t="s">
        <v>153</v>
      </c>
    </row>
    <row r="36" spans="1:2" x14ac:dyDescent="0.3">
      <c r="A36" s="53" t="s">
        <v>7</v>
      </c>
      <c r="B36" s="41" t="s">
        <v>159</v>
      </c>
    </row>
    <row r="37" spans="1:2" x14ac:dyDescent="0.3">
      <c r="A37" s="42" t="s">
        <v>26</v>
      </c>
      <c r="B37" s="41" t="s">
        <v>161</v>
      </c>
    </row>
    <row r="38" spans="1:2" x14ac:dyDescent="0.3">
      <c r="A38" s="42" t="s">
        <v>5</v>
      </c>
      <c r="B38" s="41" t="s">
        <v>100</v>
      </c>
    </row>
    <row r="39" spans="1:2" x14ac:dyDescent="0.3">
      <c r="A39" s="42" t="s">
        <v>18</v>
      </c>
      <c r="B39" s="41" t="s">
        <v>134</v>
      </c>
    </row>
    <row r="40" spans="1:2" x14ac:dyDescent="0.3">
      <c r="A40" s="42" t="s">
        <v>93</v>
      </c>
      <c r="B40" s="41" t="s">
        <v>158</v>
      </c>
    </row>
    <row r="41" spans="1:2" x14ac:dyDescent="0.3">
      <c r="A41" s="54" t="s">
        <v>14</v>
      </c>
      <c r="B41" s="41" t="s">
        <v>102</v>
      </c>
    </row>
    <row r="42" spans="1:2" x14ac:dyDescent="0.3">
      <c r="A42" s="54" t="s">
        <v>154</v>
      </c>
      <c r="B42" s="41" t="s">
        <v>156</v>
      </c>
    </row>
    <row r="43" spans="1:2" x14ac:dyDescent="0.3">
      <c r="A43" s="54" t="s">
        <v>95</v>
      </c>
      <c r="B43" s="41" t="s">
        <v>167</v>
      </c>
    </row>
    <row r="44" spans="1:2" x14ac:dyDescent="0.3">
      <c r="A44" s="54" t="s">
        <v>107</v>
      </c>
      <c r="B44" s="41" t="s">
        <v>108</v>
      </c>
    </row>
    <row r="45" spans="1:2" x14ac:dyDescent="0.3">
      <c r="A45" s="54" t="s">
        <v>124</v>
      </c>
      <c r="B45" s="41" t="s">
        <v>125</v>
      </c>
    </row>
    <row r="46" spans="1:2" x14ac:dyDescent="0.3">
      <c r="A46" s="54" t="s">
        <v>128</v>
      </c>
      <c r="B46" s="41" t="s">
        <v>129</v>
      </c>
    </row>
    <row r="47" spans="1:2" x14ac:dyDescent="0.3">
      <c r="A47" s="54" t="s">
        <v>132</v>
      </c>
      <c r="B47" s="41" t="s">
        <v>133</v>
      </c>
    </row>
    <row r="48" spans="1:2" x14ac:dyDescent="0.3">
      <c r="A48" s="54" t="s">
        <v>116</v>
      </c>
      <c r="B48" s="41" t="s">
        <v>117</v>
      </c>
    </row>
    <row r="49" spans="1:2" x14ac:dyDescent="0.3">
      <c r="A49" s="54" t="s">
        <v>149</v>
      </c>
      <c r="B49" s="41" t="s">
        <v>150</v>
      </c>
    </row>
    <row r="50" spans="1:2" x14ac:dyDescent="0.3">
      <c r="A50" s="55" t="s">
        <v>143</v>
      </c>
      <c r="B50" s="41" t="s">
        <v>144</v>
      </c>
    </row>
    <row r="51" spans="1:2" x14ac:dyDescent="0.3">
      <c r="A51" s="42" t="s">
        <v>140</v>
      </c>
      <c r="B51" s="41" t="s">
        <v>140</v>
      </c>
    </row>
    <row r="52" spans="1:2" x14ac:dyDescent="0.3">
      <c r="A52" s="42" t="s">
        <v>20</v>
      </c>
      <c r="B52" s="41" t="s">
        <v>164</v>
      </c>
    </row>
    <row r="53" spans="1:2" x14ac:dyDescent="0.3">
      <c r="A53" s="42"/>
      <c r="B53" s="41"/>
    </row>
  </sheetData>
  <conditionalFormatting sqref="B2:B52">
    <cfRule type="duplicateValues" dxfId="5" priority="39"/>
  </conditionalFormatting>
  <conditionalFormatting sqref="A2:A52">
    <cfRule type="duplicateValues" dxfId="4" priority="41"/>
  </conditionalFormatting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Actions</vt:lpstr>
      <vt:lpstr>Paramétrages</vt:lpstr>
      <vt:lpstr>Langue</vt:lpstr>
      <vt:lpstr>HeaderRange</vt:lpstr>
      <vt:lpstr>Langue</vt:lpstr>
      <vt:lpstr>RedFlag</vt:lpstr>
      <vt:lpstr>SeuilAvertissement</vt:lpstr>
      <vt:lpstr>StatutFilter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BGDP</dc:creator>
  <cp:lastModifiedBy>Sara AIT TALEB</cp:lastModifiedBy>
  <dcterms:created xsi:type="dcterms:W3CDTF">2023-03-25T11:35:34Z</dcterms:created>
  <dcterms:modified xsi:type="dcterms:W3CDTF">2024-07-29T09:29:48Z</dcterms:modified>
</cp:coreProperties>
</file>
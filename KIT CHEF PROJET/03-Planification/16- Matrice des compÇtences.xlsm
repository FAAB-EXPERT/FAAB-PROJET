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tables/table4.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araa\OneDrive\Desktop\BGDP\Kit du chef de projet\KitManagementProjet280725\03-Planification\"/>
    </mc:Choice>
  </mc:AlternateContent>
  <xr:revisionPtr revIDLastSave="0" documentId="13_ncr:1_{ACFAF3A4-4AE2-4133-9EDD-6EB71A0F3324}" xr6:coauthVersionLast="47" xr6:coauthVersionMax="47" xr10:uidLastSave="{00000000-0000-0000-0000-000000000000}"/>
  <bookViews>
    <workbookView xWindow="-108" yWindow="-108" windowWidth="23256" windowHeight="13896" tabRatio="767" firstSheet="1" activeTab="1" xr2:uid="{0CD04E9D-0269-4BEB-9777-B8431B6E8CB5}"/>
  </bookViews>
  <sheets>
    <sheet name="Guide d'utilisation" sheetId="2" state="veryHidden" r:id="rId1"/>
    <sheet name="Matrice Tâches-Compétences" sheetId="3" r:id="rId2"/>
    <sheet name="Matrice Ressources-Compétences" sheetId="5" r:id="rId3"/>
    <sheet name="Comparaison old" sheetId="10" state="veryHidden" r:id="rId4"/>
    <sheet name="Comparaison" sheetId="13" r:id="rId5"/>
    <sheet name="Dashboard" sheetId="12" r:id="rId6"/>
    <sheet name="Plan accompagnement" sheetId="11" state="veryHidden" r:id="rId7"/>
    <sheet name="Paramétrage" sheetId="4" r:id="rId8"/>
    <sheet name="BackendRessource" sheetId="14" state="veryHidden" r:id="rId9"/>
    <sheet name="Backend" sheetId="7" state="veryHidden" r:id="rId10"/>
    <sheet name="Langue" sheetId="9" state="veryHidden" r:id="rId11"/>
  </sheets>
  <definedNames>
    <definedName name="_xleta.INDEX" hidden="1" xlm="1">#NAME?</definedName>
    <definedName name="Filter_Fonction">'Matrice Tâches-Compétences'!$E$10</definedName>
    <definedName name="FormatCellCmp">Backend!$I$7</definedName>
    <definedName name="FormatCellLibre">Backend!$K$7</definedName>
    <definedName name="FormatComp">Backend!$A$1</definedName>
    <definedName name="FormatInteret">Backend!$B$2</definedName>
    <definedName name="FormatMatrise">Backend!$A$2</definedName>
    <definedName name="HeaderComparaison">Backend!$I$2:$K$3</definedName>
    <definedName name="HeaderComparaisonFormat">Backend!$I$1:$K$3</definedName>
    <definedName name="Langue">Paramétrage!$M$6</definedName>
    <definedName name="N_Fonction">Dashboard!$E$19</definedName>
    <definedName name="N_PROFIL">Dashboard!$L$21</definedName>
    <definedName name="P_Fonction">Dashboard!$D$12</definedName>
    <definedName name="ProfilName">Dashboard!$K$12</definedName>
    <definedName name="RESSOURCE_SELECTED">Comparaison!$E$13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4" i="7" l="1"/>
  <c r="AI14" i="7"/>
  <c r="AH14" i="7"/>
  <c r="AG14" i="7"/>
  <c r="AF14" i="7"/>
  <c r="AE14" i="7"/>
  <c r="AD14" i="7"/>
  <c r="AC14" i="7"/>
  <c r="AB14" i="7"/>
  <c r="AA14" i="7"/>
  <c r="Z14" i="7"/>
  <c r="Y14" i="7"/>
  <c r="X14" i="7"/>
  <c r="W14" i="7"/>
  <c r="V14" i="7"/>
  <c r="U14" i="7"/>
  <c r="T14" i="7"/>
  <c r="S14" i="7"/>
  <c r="R14" i="7"/>
  <c r="Q14" i="7"/>
  <c r="P14" i="7"/>
  <c r="O14" i="7"/>
  <c r="N14" i="7"/>
  <c r="M14" i="7"/>
  <c r="H14" i="7"/>
  <c r="L14" i="7"/>
  <c r="K14" i="7"/>
  <c r="J14" i="7"/>
  <c r="I14" i="7"/>
  <c r="G14" i="7"/>
  <c r="F14" i="7"/>
  <c r="E14" i="7"/>
  <c r="D14" i="7"/>
  <c r="E19" i="12"/>
  <c r="L21"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tc={0348D610-F0AE-4B7C-80EC-50218D338814}</author>
  </authors>
  <commentList>
    <comment ref="C13" authorId="0" shapeId="0" xr:uid="{0348D610-F0AE-4B7C-80EC-50218D338814}">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Objectif du tableau
En colonne, remplacer les fonctions (MOA, Finance, Logistique…) par les ressources individuelles (ex. : Chantal, …).
Ajouter immédiatement à droite trois colonnes : Plan d’accompagnement, Responsable, Date cible.
Constituer ainsi un bloc de 4 colonnes dynamiques : Ressource, Plan d’accompagnement, Responsable, Date cible.
Interaction attendue
Placer une liste déroulante “Ressource” en en-tête.
Au choix d’une ressource, afficher le sous-tableau filtré correspondant, limité aux 4 colonnes ci-dessus pour cette ressource.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Sara</author>
  </authors>
  <commentList>
    <comment ref="C9" authorId="0" shapeId="0" xr:uid="{C023D259-8F86-45A0-B5FF-0B779BE872CD}">
      <text>
        <r>
          <rPr>
            <b/>
            <sz val="9"/>
            <color indexed="81"/>
            <rFont val="Tahoma"/>
            <family val="2"/>
          </rPr>
          <t>Sara:</t>
        </r>
        <r>
          <rPr>
            <sz val="9"/>
            <color indexed="81"/>
            <rFont val="Tahoma"/>
            <family val="2"/>
          </rPr>
          <t xml:space="preserve">
Écart = Attendu - Réel (si &gt;0)</t>
        </r>
      </text>
    </comment>
  </commentList>
</comments>
</file>

<file path=xl/sharedStrings.xml><?xml version="1.0" encoding="utf-8"?>
<sst xmlns="http://schemas.openxmlformats.org/spreadsheetml/2006/main" count="2612" uniqueCount="403">
  <si>
    <t>Nom / Code projet</t>
  </si>
  <si>
    <t>Project X</t>
  </si>
  <si>
    <t>Non/code du portefeuille</t>
  </si>
  <si>
    <t>Portefeuille X</t>
  </si>
  <si>
    <t>Date de création</t>
  </si>
  <si>
    <t>Référence</t>
  </si>
  <si>
    <t>R47P58X</t>
  </si>
  <si>
    <t>PMO</t>
  </si>
  <si>
    <t>Alain DURAND</t>
  </si>
  <si>
    <t>Date de la version</t>
  </si>
  <si>
    <t>Numéro de version</t>
  </si>
  <si>
    <t>V2.3</t>
  </si>
  <si>
    <t>Guide d'utilisation</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</si>
  <si>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</si>
  <si>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</si>
  <si>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</si>
  <si>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</si>
  <si>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</si>
  <si>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1. Modification des données</t>
  </si>
  <si>
    <t xml:space="preserve">Allez à l'onglet "Matrice Tâches-Compétences" </t>
  </si>
  <si>
    <t>Dans la "matrice Tâches-Compétences", renseignez le niveau de maîtrise (de 0 à 4) des compétences nécessaires pour chaque tâche.
Pour ce faire, remplacez simplement les chiffres existants par les vôtres.</t>
  </si>
  <si>
    <t>2. Ajout/suppression de lignes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</si>
  <si>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</si>
  <si>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</si>
  <si>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</si>
  <si>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</si>
  <si>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</si>
  <si>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3. Paramétrage du score</t>
  </si>
  <si>
    <t>Notez que vous pouvez paramétrer le seuil de scoring du maitrise des compétences et du niveau d'intérêt de la ressource.</t>
  </si>
  <si>
    <t>Pour ce faire, allez à l'onglet "Paramétrage" puis ajoutez ou supprimez un score en utilisant les boutons d'ajout (+) et de suppression (x) :</t>
  </si>
  <si>
    <t>Ensuite, allez aux onglets "matrice tâches-compétences" puis "matrice ressources-compétences" pour retrouver le nouveau score dans la liste déroulante :</t>
  </si>
  <si>
    <t xml:space="preserve">Allez à l'onglet "Matrice Ressources-Compétences" </t>
  </si>
  <si>
    <t xml:space="preserve">Evaluez la maîtrise de chaque compétence par vos ressources sur une échelle de 0 à 4, en utilisant les critères 'maitrise' de la compétence et 'intérêt' de la personne vis-à-vis de cette compétence. </t>
  </si>
  <si>
    <t>Référez-vousau tableau dans l'onglet "paramétrage"</t>
  </si>
  <si>
    <t>Pour renseigner ces valeurs, remplacez les chiffres existants par les vôtres comme pour l'onglet précédent.</t>
  </si>
  <si>
    <t xml:space="preserve">Allez à l'onglet "Matrice Tâches-Ressources" </t>
  </si>
  <si>
    <r>
      <t xml:space="preserve">Visualisez les informations des deux matrices précédentes : </t>
    </r>
    <r>
      <rPr>
        <u/>
        <sz val="12"/>
        <color theme="1"/>
        <rFont val="Candara"/>
        <family val="2"/>
      </rPr>
      <t>quelles ressources affecter à quelles tâches ?</t>
    </r>
  </si>
  <si>
    <t xml:space="preserve">Le tableau qui s'affiche devant vous, affecte les ressources automatiquement à partir des données entrées dans les deux feuilles précédentes. </t>
  </si>
  <si>
    <r>
      <t xml:space="preserve">Devant chaque ressource (membre de l'équipe projet), un score est calculé automatiquement pour chaque tâche/ressource. 
</t>
    </r>
    <r>
      <rPr>
        <u/>
        <sz val="12"/>
        <color theme="1"/>
        <rFont val="Candara"/>
        <family val="2"/>
      </rPr>
      <t>Voici la formule prise en compte</t>
    </r>
    <r>
      <rPr>
        <sz val="12"/>
        <color theme="1"/>
        <rFont val="Candara"/>
        <family val="2"/>
      </rPr>
      <t xml:space="preserve"> :</t>
    </r>
  </si>
  <si>
    <r>
      <t xml:space="preserve">Admettons que la </t>
    </r>
    <r>
      <rPr>
        <b/>
        <sz val="12"/>
        <color theme="1"/>
        <rFont val="Candara"/>
        <family val="2"/>
      </rPr>
      <t>tâche (T1)</t>
    </r>
    <r>
      <rPr>
        <sz val="12"/>
        <color theme="1"/>
        <rFont val="Candara"/>
        <family val="2"/>
      </rPr>
      <t xml:space="preserve"> exige :
* Un niveau 4 pour la "</t>
    </r>
    <r>
      <rPr>
        <b/>
        <sz val="12"/>
        <color theme="1"/>
        <rFont val="Candara"/>
        <family val="2"/>
      </rPr>
      <t>compétence</t>
    </r>
    <r>
      <rPr>
        <sz val="12"/>
        <color theme="1"/>
        <rFont val="Candara"/>
        <family val="2"/>
      </rPr>
      <t xml:space="preserve"> MOA"
* Et un niveau 3 pour la "production CMRL"
</t>
    </r>
    <r>
      <rPr>
        <b/>
        <sz val="12"/>
        <color theme="1"/>
        <rFont val="Candara"/>
        <family val="2"/>
      </rPr>
      <t>Chantal (R1)</t>
    </r>
    <r>
      <rPr>
        <sz val="12"/>
        <color theme="1"/>
        <rFont val="Candara"/>
        <family val="2"/>
      </rPr>
      <t xml:space="preserve"> possède :
* Un niveau de </t>
    </r>
    <r>
      <rPr>
        <b/>
        <sz val="12"/>
        <color theme="1"/>
        <rFont val="Candara"/>
        <family val="2"/>
      </rPr>
      <t>maitrise</t>
    </r>
    <r>
      <rPr>
        <sz val="12"/>
        <color theme="1"/>
        <rFont val="Candara"/>
        <family val="2"/>
      </rPr>
      <t xml:space="preserve"> 4 pour la </t>
    </r>
    <r>
      <rPr>
        <b/>
        <sz val="12"/>
        <color theme="1"/>
        <rFont val="Candara"/>
        <family val="2"/>
      </rPr>
      <t>compétence</t>
    </r>
    <r>
      <rPr>
        <sz val="12"/>
        <color theme="1"/>
        <rFont val="Candara"/>
        <family val="2"/>
      </rPr>
      <t xml:space="preserve"> "MOA"
* Et une maitrise de niveaux 3 pour la </t>
    </r>
    <r>
      <rPr>
        <b/>
        <sz val="12"/>
        <color theme="1"/>
        <rFont val="Candara"/>
        <family val="2"/>
      </rPr>
      <t>compétence</t>
    </r>
    <r>
      <rPr>
        <sz val="12"/>
        <color theme="1"/>
        <rFont val="Candara"/>
        <family val="2"/>
      </rPr>
      <t xml:space="preserve"> "production CMRL"
De ce fait, </t>
    </r>
    <r>
      <rPr>
        <b/>
        <sz val="12"/>
        <color theme="1"/>
        <rFont val="Candara"/>
        <family val="2"/>
      </rPr>
      <t>l'affectation suit la logique de la somme des scores des Maitrises des compétences</t>
    </r>
    <r>
      <rPr>
        <sz val="12"/>
        <color theme="1"/>
        <rFont val="Candara"/>
        <family val="2"/>
      </rPr>
      <t xml:space="preserve"> </t>
    </r>
    <r>
      <rPr>
        <b/>
        <sz val="12"/>
        <color theme="1"/>
        <rFont val="Candara"/>
        <family val="2"/>
      </rPr>
      <t>requises</t>
    </r>
    <r>
      <rPr>
        <sz val="12"/>
        <color theme="1"/>
        <rFont val="Candara"/>
        <family val="2"/>
      </rPr>
      <t xml:space="preserve"> : "Maitrise" de la compétence 1 (C1) + "Maitrise" de la compétence 2 (C2), etc. </t>
    </r>
    <r>
      <rPr>
        <u/>
        <sz val="12"/>
        <color theme="1"/>
        <rFont val="Candara"/>
        <family val="2"/>
      </rPr>
      <t>Avec la condition</t>
    </r>
    <r>
      <rPr>
        <sz val="12"/>
        <color theme="1"/>
        <rFont val="Candara"/>
        <family val="2"/>
      </rPr>
      <t xml:space="preserve"> que si Chantal avait un niveau de maitrise plus élevé que la compétence requise (5 au lieu de 4), seul le niveau de la compétence requise sera pris en compte.
</t>
    </r>
    <r>
      <rPr>
        <u/>
        <sz val="12"/>
        <color theme="1"/>
        <rFont val="Candara"/>
        <family val="2"/>
      </rPr>
      <t>Exemple</t>
    </r>
    <r>
      <rPr>
        <sz val="12"/>
        <color theme="1"/>
        <rFont val="Candara"/>
        <family val="2"/>
      </rPr>
      <t xml:space="preserve"> : 
C1 = 4
C2 = 3
C3 = 2
Chantal maitrise de niveau 5 pour C1
Chantal maitrise de niveau 3 pour C2
Chantal maitrise de niveau 2 pour C3
Score d'affectation = 4  + 3 + 2...etc.
</t>
    </r>
    <r>
      <rPr>
        <b/>
        <sz val="12"/>
        <color theme="1"/>
        <rFont val="Candara"/>
        <family val="2"/>
      </rPr>
      <t>Qu'en est-il du niveau d'intérêt dans tou ceci ?</t>
    </r>
    <r>
      <rPr>
        <sz val="12"/>
        <color theme="1"/>
        <rFont val="Candara"/>
        <family val="2"/>
      </rPr>
      <t xml:space="preserve">
Le niveau d'intérêt est laissé à votre propre appréciation pour arbitrer entre deux ressources ayant des scores proches.
Ainsi, la ressource ayant le meilleur score est coloriée en vert foncé. Vous pouvez cependant affecter une autre ressource de votre choix selon votre propre appréciation, </t>
    </r>
    <r>
      <rPr>
        <b/>
        <sz val="12"/>
        <color theme="1"/>
        <rFont val="Candara"/>
        <family val="2"/>
      </rPr>
      <t>en la coloriant autrement</t>
    </r>
  </si>
  <si>
    <t>Notez que le degré d'intérêt d'un membre de l'équipe pour une compétence, n'est pas pris en compte dans le calcul du scoring.</t>
  </si>
  <si>
    <t>Comment départager deux membres ayant le même score ?</t>
  </si>
  <si>
    <t>Pour départager deux membres ayant le même score, référez-vous aux onglet "Ressources-compétences" et "Tâches-compétences" pour comparer le degré de maitrise d'un compétence d'un membre par rapport au degré de maitrise requis pour la tâche.</t>
  </si>
  <si>
    <r>
      <rPr>
        <u/>
        <sz val="12"/>
        <color theme="1"/>
        <rFont val="Candara"/>
        <family val="2"/>
      </rPr>
      <t>Exemple</t>
    </r>
    <r>
      <rPr>
        <sz val="12"/>
        <color theme="1"/>
        <rFont val="Candara"/>
        <family val="2"/>
      </rPr>
      <t xml:space="preserve"> :</t>
    </r>
  </si>
  <si>
    <t>Remarquez que dans cet exemple : Antoine et Georges ont le même score (27) pour la tâche "étude d'opportunité et approbation"</t>
  </si>
  <si>
    <t>Dans la matrice "ressources-compétences", notez seulement les degrés de maitrise dans un premier temps :</t>
  </si>
  <si>
    <t>Ensuite, dans la matrice "tâches-compétences", notez les degrés de maitrise requis pour la tâche en question :</t>
  </si>
  <si>
    <t>Dans cet exemple, on remarque qu'Antoine et Georges ont les mêmes degrés de maitrise, mais leur degré d'intérêt diffère pour la compétence "gestion du changement" :</t>
  </si>
  <si>
    <t xml:space="preserve">  Matrice tâches compétences</t>
  </si>
  <si>
    <t>Fonction :</t>
  </si>
  <si>
    <t>MOA</t>
  </si>
  <si>
    <t>Niveau attendu pour chaque compétence</t>
  </si>
  <si>
    <t>Libellé de la tâche</t>
  </si>
  <si>
    <t>Fonction</t>
  </si>
  <si>
    <t>Modélisation des processus</t>
  </si>
  <si>
    <t>Analyse des données</t>
  </si>
  <si>
    <t>Rédaction fonctionnelle</t>
  </si>
  <si>
    <t xml:space="preserve">Connaissance des outils métier	</t>
  </si>
  <si>
    <t>Scénarios d’exception / cas limites</t>
  </si>
  <si>
    <t>Suivi des anomalies fonctionnelles</t>
  </si>
  <si>
    <t>Conception des états de reporting</t>
  </si>
  <si>
    <t>Connaissances admin CMRL</t>
  </si>
  <si>
    <t>Etude d'opportunité et approbation</t>
  </si>
  <si>
    <t>Achats</t>
  </si>
  <si>
    <t>Préparation de la Charte Projet - Justification</t>
  </si>
  <si>
    <t>Estimation délais/ressources Finances</t>
  </si>
  <si>
    <t>Estimation délais/ressources Ventes</t>
  </si>
  <si>
    <t>Estimation délais/ressources Achats</t>
  </si>
  <si>
    <t>Estimation délais/ressources Logistique</t>
  </si>
  <si>
    <t>Estimation délais/ressources Infrastructure</t>
  </si>
  <si>
    <t>Estimation délais/ressources Production</t>
  </si>
  <si>
    <t>Rédaction de la Charte Projet</t>
  </si>
  <si>
    <t>Conception générale  Finances</t>
  </si>
  <si>
    <t>Conception générale Ventes</t>
  </si>
  <si>
    <t>Conception générale  Achats</t>
  </si>
  <si>
    <t>Conception générale  Logistique</t>
  </si>
  <si>
    <t>Conception générale  Infrastructure</t>
  </si>
  <si>
    <t>Conception générale  Production</t>
  </si>
  <si>
    <t>Rédaction du cahier des charges</t>
  </si>
  <si>
    <t>Etablissement du Planning</t>
  </si>
  <si>
    <t>Etablissement Plan de Communication</t>
  </si>
  <si>
    <t>Paramétrage et tests unitaires FI/CO</t>
  </si>
  <si>
    <t>Paramétrage et tests unitaires Immobilisations</t>
  </si>
  <si>
    <t>Paramétrage et tests unitaires Achats</t>
  </si>
  <si>
    <t>Paramétrage et tests unitaires Enchères et Ariba</t>
  </si>
  <si>
    <t>Paramétrage et tests unitaires SD</t>
  </si>
  <si>
    <t>Paramétrage et tests unitaires MM</t>
  </si>
  <si>
    <t>Paramétrage et tests unitaires Export et Reporting</t>
  </si>
  <si>
    <t>Paramétrage et corrections Master Data</t>
  </si>
  <si>
    <t>Paramétrage, programmation et test Production</t>
  </si>
  <si>
    <t>Coordination réalisation et tests Finances</t>
  </si>
  <si>
    <t>Coordination réalisation et tests Ventes</t>
  </si>
  <si>
    <t>Coordination réalisation et tests Achats</t>
  </si>
  <si>
    <t>Coordination réalisation et tests Logistique</t>
  </si>
  <si>
    <t>Coordination réalisation et tests Production</t>
  </si>
  <si>
    <t xml:space="preserve">Tests, corrections et validation du système </t>
  </si>
  <si>
    <t>Validation officielle par les utilisateurs</t>
  </si>
  <si>
    <t>Validation de la phase par le comité de direction</t>
  </si>
  <si>
    <t>Tests d'intégration et de consolidation FI/CO</t>
  </si>
  <si>
    <t>Tests d'intégration et de consolidation Immobilisations</t>
  </si>
  <si>
    <t>Tests d'intégration et de consolidation Achats</t>
  </si>
  <si>
    <t>Tests d'intégration et de consolidation Enchères et Ariba</t>
  </si>
  <si>
    <t>Tests d'intégration et de consolidation SD</t>
  </si>
  <si>
    <t>Tests d'intégration et de consolidation MM</t>
  </si>
  <si>
    <t>Tests d'intégration et de consolidation Export et Reporting</t>
  </si>
  <si>
    <t>Tests d'intégration et de consolidation Master Data</t>
  </si>
  <si>
    <t>Tests d'intégration et de consolidation Production</t>
  </si>
  <si>
    <t>Coordination tests d'intégration et de consolidation Finances</t>
  </si>
  <si>
    <t>Coordination tests d'intégration et de consolidation Ventes</t>
  </si>
  <si>
    <t>Coordination tests d'intégration et de consolidation Achats</t>
  </si>
  <si>
    <t>Coordination tests d'intégration et de consolidation Logistique</t>
  </si>
  <si>
    <t>Coordination tests d'intégration et de consolidation Production</t>
  </si>
  <si>
    <t xml:space="preserve">Tests d'intégration et consolidation, validation du système </t>
  </si>
  <si>
    <t>FORMATION DES UTILISATEURS</t>
  </si>
  <si>
    <t>Préparation et validation environnement pré-productif</t>
  </si>
  <si>
    <t>Déploiement</t>
  </si>
  <si>
    <t>Communication</t>
  </si>
  <si>
    <t>Coordination Achats</t>
  </si>
  <si>
    <t>Coordination Finances</t>
  </si>
  <si>
    <t>Coordination Logistique</t>
  </si>
  <si>
    <t>Coordination Ventes</t>
  </si>
  <si>
    <t>Enchères et Ariba</t>
  </si>
  <si>
    <t>Finance</t>
  </si>
  <si>
    <t>Gestion du changement</t>
  </si>
  <si>
    <t>Infrastructure Informatique</t>
  </si>
  <si>
    <t>Intégration</t>
  </si>
  <si>
    <t>Logistique</t>
  </si>
  <si>
    <t>Logistique 2</t>
  </si>
  <si>
    <t>Production CMRL</t>
  </si>
  <si>
    <t>Ventes SD</t>
  </si>
  <si>
    <t>V2.2</t>
  </si>
  <si>
    <t xml:space="preserve">  Matrice ressources compétences</t>
  </si>
  <si>
    <t xml:space="preserve">Niveau réel pour chaque compétences </t>
  </si>
  <si>
    <t>Liste des ressources</t>
  </si>
  <si>
    <t>Fonction cible</t>
  </si>
  <si>
    <t>Chantal Dupont</t>
  </si>
  <si>
    <t>Olivier Robespierre</t>
  </si>
  <si>
    <t>Jacques Meunier</t>
  </si>
  <si>
    <t>Monique Davant</t>
  </si>
  <si>
    <t>Denise Attali</t>
  </si>
  <si>
    <t>Jean Albert</t>
  </si>
  <si>
    <t>Eric Duteil</t>
  </si>
  <si>
    <t>Daniel Château</t>
  </si>
  <si>
    <t>Bernard Dupuis</t>
  </si>
  <si>
    <t>Marianne Anselme</t>
  </si>
  <si>
    <t>Gérard Lourte</t>
  </si>
  <si>
    <t>Marcel Poste</t>
  </si>
  <si>
    <t>Bernard Tassin</t>
  </si>
  <si>
    <t>Edouard Leperre</t>
  </si>
  <si>
    <t>Carine Refour</t>
  </si>
  <si>
    <t>Henri Saulnier</t>
  </si>
  <si>
    <t xml:space="preserve">Niveau attendu pour chaque compétences </t>
  </si>
  <si>
    <t>Comparaison</t>
  </si>
  <si>
    <t>Voir description</t>
  </si>
  <si>
    <t>Ici mettre compétences au lieu de tâches (ligne 13 du 1er onglet)</t>
  </si>
  <si>
    <t>Tâche fonction</t>
  </si>
  <si>
    <t>Niveau attendu</t>
  </si>
  <si>
    <t>Niveau réel</t>
  </si>
  <si>
    <t>Ecart</t>
  </si>
  <si>
    <t>Ressource :</t>
  </si>
  <si>
    <t>Compétence</t>
  </si>
  <si>
    <t>Plan d’accompagnement</t>
  </si>
  <si>
    <t xml:space="preserve"> Responsable</t>
  </si>
  <si>
    <t>Date cible</t>
  </si>
  <si>
    <t>Dashboard</t>
  </si>
  <si>
    <t>Ressource</t>
  </si>
  <si>
    <t>Plan accompagnement</t>
  </si>
  <si>
    <t>Feuille à supprimer</t>
  </si>
  <si>
    <t>Tâche</t>
  </si>
  <si>
    <t>Écart</t>
  </si>
  <si>
    <t>Responsable</t>
  </si>
  <si>
    <t>Etat</t>
  </si>
  <si>
    <t>Action recommandée</t>
  </si>
  <si>
    <t>Échéance</t>
  </si>
  <si>
    <t>Paramétrage</t>
  </si>
  <si>
    <t>Maitrise</t>
  </si>
  <si>
    <t>Niveau</t>
  </si>
  <si>
    <t>Niveau de maîtrise des compétences</t>
  </si>
  <si>
    <t>Coefficient</t>
  </si>
  <si>
    <t>Pas de connaissance</t>
  </si>
  <si>
    <t>Connaissance théorique</t>
  </si>
  <si>
    <t>Première expérience</t>
  </si>
  <si>
    <t>Bonne expérience</t>
  </si>
  <si>
    <t>Niveau Expert</t>
  </si>
  <si>
    <t>Interet</t>
  </si>
  <si>
    <t>Moyenne</t>
  </si>
  <si>
    <t>Français</t>
  </si>
  <si>
    <t>Anglais</t>
  </si>
  <si>
    <t>Langue</t>
  </si>
  <si>
    <t>Project Name / Code</t>
  </si>
  <si>
    <t>Reference</t>
  </si>
  <si>
    <t>Portfolio ID/Code</t>
  </si>
  <si>
    <t>Creation Date</t>
  </si>
  <si>
    <t>Version Date</t>
  </si>
  <si>
    <t>Version Number</t>
  </si>
  <si>
    <t>User Guide</t>
  </si>
  <si>
    <t>Matrice Tâches-Compétences</t>
  </si>
  <si>
    <t>Task-Skills Matrix</t>
  </si>
  <si>
    <t>Matrice Ressources-Compétences</t>
  </si>
  <si>
    <t>Resource-Skills Matrix</t>
  </si>
  <si>
    <t>Matrice Tâches-Ressources</t>
  </si>
  <si>
    <t>Task-Resource Matrix</t>
  </si>
  <si>
    <t>Settings</t>
  </si>
  <si>
    <t>No Knowledge</t>
  </si>
  <si>
    <t>Theoretical Knowledge</t>
  </si>
  <si>
    <t>First-hand Experience</t>
  </si>
  <si>
    <t>Good Experience</t>
  </si>
  <si>
    <t>Expert Level</t>
  </si>
  <si>
    <t>Aucun intérêt</t>
  </si>
  <si>
    <t>No Interest</t>
  </si>
  <si>
    <t>Intérêt minime</t>
  </si>
  <si>
    <t>Minimal Interest</t>
  </si>
  <si>
    <t>Intérêt moyen</t>
  </si>
  <si>
    <t>Moderate Interest</t>
  </si>
  <si>
    <t>Intérêt élevé</t>
  </si>
  <si>
    <t>High Interest</t>
  </si>
  <si>
    <t>Intérêt très élevé</t>
  </si>
  <si>
    <t>Very High Interest</t>
  </si>
  <si>
    <t>Opportunity Study and Approval</t>
  </si>
  <si>
    <t>Preparation of Project Charter - Justification</t>
  </si>
  <si>
    <t>Estimation of Time/Resources for Finance</t>
  </si>
  <si>
    <t>Estimation of Time/Resources for Sales</t>
  </si>
  <si>
    <t>Estimation of Time/Resources for Procurement</t>
  </si>
  <si>
    <t>Estimation of Time/Resources for Logistics</t>
  </si>
  <si>
    <t>Estimation of Time/Resources for Infrastructure</t>
  </si>
  <si>
    <t>Estimation of Time/Resources for Production</t>
  </si>
  <si>
    <t>Writing of Project Charter</t>
  </si>
  <si>
    <t>General Design - Finance</t>
  </si>
  <si>
    <t>General Design - Sales</t>
  </si>
  <si>
    <t>General Design - Procurement</t>
  </si>
  <si>
    <t>General Design - Logistics</t>
  </si>
  <si>
    <t>General Design - Infrastructure</t>
  </si>
  <si>
    <t>General Design - Production</t>
  </si>
  <si>
    <t>Writing of Specifications Document</t>
  </si>
  <si>
    <t>Development of Project Schedule</t>
  </si>
  <si>
    <t>Development of Communication Plan</t>
  </si>
  <si>
    <t>Configuration and Unit Testing - FI/CO</t>
  </si>
  <si>
    <t>Configuration and Unit Testing - Fixed Assets</t>
  </si>
  <si>
    <t>Configuration and Unit Testing - Procurement</t>
  </si>
  <si>
    <t>Configuration and Unit Testing - Auctions and Ariba</t>
  </si>
  <si>
    <t>Configuration and Unit Testing - Sales and Distribution (SD)</t>
  </si>
  <si>
    <t>Configuration and Unit Testing - Materials Management (MM)</t>
  </si>
  <si>
    <t>Configuration and Unit Testing - Export and Reporting</t>
  </si>
  <si>
    <t>Configuration, Setup, and Correction of Master Data</t>
  </si>
  <si>
    <t>Configuration, Programming, and Testing - Production</t>
  </si>
  <si>
    <t>Coordination of Implementation and Testing - Finance</t>
  </si>
  <si>
    <t>Coordination of Implementation and Testing - Sales</t>
  </si>
  <si>
    <t>Coordination of Implementation and Testing - Procurement</t>
  </si>
  <si>
    <t>Coordination of Implementation and Testing - Logistics</t>
  </si>
  <si>
    <t>Coordination of Implementation and Testing - Production</t>
  </si>
  <si>
    <t>System Testing, Bug Fixes, and Validation</t>
  </si>
  <si>
    <t>Formal User Validation</t>
  </si>
  <si>
    <t>Phase Validation by Management Committee</t>
  </si>
  <si>
    <t>Integration and Consolidation Testing - FI/CO</t>
  </si>
  <si>
    <t>Integration and Consolidation Testing - Fixed Assets</t>
  </si>
  <si>
    <t>Integration and Consolidation Testing - Procurement</t>
  </si>
  <si>
    <t>Integration and Consolidation Testing - Auctions and Ariba</t>
  </si>
  <si>
    <t>Integration and Consolidation Testing - Sales and Distribution (SD)</t>
  </si>
  <si>
    <t>Integration and Consolidation Testing - Materials Management (MM)</t>
  </si>
  <si>
    <t>Integration and Consolidation Testing - Export and Reporting</t>
  </si>
  <si>
    <t>Integration and Consolidation Testing - Master Data</t>
  </si>
  <si>
    <t>Integration and Consolidation Testing - Production</t>
  </si>
  <si>
    <t>Coordination of Integration and Consolidation Testing - Finance</t>
  </si>
  <si>
    <t>Coordination of Integration and Consolidation Testing - Sales</t>
  </si>
  <si>
    <t>Coordination of Integration and Consolidation Testing - Procurement</t>
  </si>
  <si>
    <t>Coordination of Integration and Consolidation Testing - Logistics</t>
  </si>
  <si>
    <t>Coordination of Integration and Consolidation Testing - Production</t>
  </si>
  <si>
    <t>Integration and Consolidation Testing, System Validation</t>
  </si>
  <si>
    <t>USER TRAINING</t>
  </si>
  <si>
    <t>Preparation and Validation of Pre-Production Environment</t>
  </si>
  <si>
    <t>Deployment</t>
  </si>
  <si>
    <t>Level</t>
  </si>
  <si>
    <t>Skill Mastery Level</t>
  </si>
  <si>
    <t>Niveaux d'intérêt de la ressource</t>
  </si>
  <si>
    <t>Resource Interest Levels</t>
  </si>
  <si>
    <t>N Tâche</t>
  </si>
  <si>
    <t>Task No.</t>
  </si>
  <si>
    <t>Task Description</t>
  </si>
  <si>
    <t xml:space="preserve">               Ressources</t>
  </si>
  <si>
    <t xml:space="preserve">               Resources</t>
  </si>
  <si>
    <t xml:space="preserve">         Compétences</t>
  </si>
  <si>
    <t>Competencies</t>
  </si>
  <si>
    <t>Ajouter une tâche</t>
  </si>
  <si>
    <t>Add a task</t>
  </si>
  <si>
    <t>Supprimer une tâche</t>
  </si>
  <si>
    <t>Delete a task</t>
  </si>
  <si>
    <t>Ajouter une compétence</t>
  </si>
  <si>
    <t>Add a competency</t>
  </si>
  <si>
    <t>Supprimer une compétence</t>
  </si>
  <si>
    <t>Delete a competency</t>
  </si>
  <si>
    <t>Business Analysis</t>
  </si>
  <si>
    <t>Finances FI/CO</t>
  </si>
  <si>
    <t>Finance FI/CO</t>
  </si>
  <si>
    <t>Finances Immobilisations</t>
  </si>
  <si>
    <t>Asset Management Finance</t>
  </si>
  <si>
    <t>Sales SD</t>
  </si>
  <si>
    <t>Procurement</t>
  </si>
  <si>
    <t>Auctions and Ariba</t>
  </si>
  <si>
    <t>Logistics</t>
  </si>
  <si>
    <t>IT Infrastructure</t>
  </si>
  <si>
    <t>CMRL Production</t>
  </si>
  <si>
    <t>Change Management</t>
  </si>
  <si>
    <t>Integration</t>
  </si>
  <si>
    <t>Finance Coordination</t>
  </si>
  <si>
    <t>Sales Coordination</t>
  </si>
  <si>
    <t>Procurement Coordination</t>
  </si>
  <si>
    <t>Logistics Coordination</t>
  </si>
  <si>
    <t>Coordination Production</t>
  </si>
  <si>
    <t>Production Coordination</t>
  </si>
  <si>
    <t>Master Data</t>
  </si>
  <si>
    <t>MOE</t>
  </si>
  <si>
    <t>IT Development</t>
  </si>
  <si>
    <t>CMRL Admin Knowledge</t>
  </si>
  <si>
    <t xml:space="preserve">  Task-Competency Matrix</t>
  </si>
  <si>
    <t xml:space="preserve">  Matrice tâches ressources</t>
  </si>
  <si>
    <t xml:space="preserve">  Task-Resource Matrix</t>
  </si>
  <si>
    <t xml:space="preserve">  Resource-Skills Matrix</t>
  </si>
  <si>
    <t>Ajouter une ress.</t>
  </si>
  <si>
    <t>Add a resource</t>
  </si>
  <si>
    <t>Supprimer une ress.</t>
  </si>
  <si>
    <t>Remove a resource</t>
  </si>
  <si>
    <t>MOA M</t>
  </si>
  <si>
    <t>Business Analysis M</t>
  </si>
  <si>
    <t>MOA I</t>
  </si>
  <si>
    <t>Business Analysis I</t>
  </si>
  <si>
    <t>Finances FI/CO M</t>
  </si>
  <si>
    <t>Finance FI/CO M</t>
  </si>
  <si>
    <t>Finances FI/CO I</t>
  </si>
  <si>
    <t>Finance FI/CO I</t>
  </si>
  <si>
    <t>Finances Immobilisations M</t>
  </si>
  <si>
    <t>Asset Management Finance M</t>
  </si>
  <si>
    <t>Finances Immobilisations I</t>
  </si>
  <si>
    <t>Asset Management Finance I</t>
  </si>
  <si>
    <t>Ventes SD M</t>
  </si>
  <si>
    <t>Sales SD M</t>
  </si>
  <si>
    <t>Ventes SD I</t>
  </si>
  <si>
    <t>Sales SD I</t>
  </si>
  <si>
    <t>Achats M</t>
  </si>
  <si>
    <t>Procurement M</t>
  </si>
  <si>
    <t>Achats I</t>
  </si>
  <si>
    <t>Procurement I</t>
  </si>
  <si>
    <t>Enchères et Ariba M</t>
  </si>
  <si>
    <t>Auctions and Ariba M</t>
  </si>
  <si>
    <t>Enchères et Ariba I</t>
  </si>
  <si>
    <t>Auctions and Ariba I</t>
  </si>
  <si>
    <t>Logistique M</t>
  </si>
  <si>
    <t>Logistics M</t>
  </si>
  <si>
    <t>Logistique I</t>
  </si>
  <si>
    <t>Logistics I</t>
  </si>
  <si>
    <t>Infrastructure Informatique M</t>
  </si>
  <si>
    <t>IT Infrastructure M</t>
  </si>
  <si>
    <t>Infrastructure Informatique I</t>
  </si>
  <si>
    <t>IT Infrastructure I</t>
  </si>
  <si>
    <t>Production CMRL M</t>
  </si>
  <si>
    <t>CMRL Production M</t>
  </si>
  <si>
    <t>Production CMRL I</t>
  </si>
  <si>
    <t>CMRL Production I</t>
  </si>
  <si>
    <t>Communication M</t>
  </si>
  <si>
    <t>Communication I</t>
  </si>
  <si>
    <t>Gestion du changement M</t>
  </si>
  <si>
    <t>Change Management M</t>
  </si>
  <si>
    <t>Gestion du changement I</t>
  </si>
  <si>
    <t>Change Management I</t>
  </si>
  <si>
    <t>Intégration M</t>
  </si>
  <si>
    <t>Integration M</t>
  </si>
  <si>
    <t>Intégration I</t>
  </si>
  <si>
    <t>Integration I</t>
  </si>
  <si>
    <t>Coordination Finances M</t>
  </si>
  <si>
    <t>Finance Coordination M</t>
  </si>
  <si>
    <t>Coordination Finances I</t>
  </si>
  <si>
    <t>Finance Coordination I</t>
  </si>
  <si>
    <t>Coordination Ventes M</t>
  </si>
  <si>
    <t>Sales Coordination M</t>
  </si>
  <si>
    <t>Coordination Ventes I</t>
  </si>
  <si>
    <t>Sales Coordination I</t>
  </si>
  <si>
    <t>Coordination Achats M</t>
  </si>
  <si>
    <t>Procurement Coordination M</t>
  </si>
  <si>
    <t>Coordination Achats I</t>
  </si>
  <si>
    <t>Procurement Coordination I</t>
  </si>
  <si>
    <t>Coordination Logistique M</t>
  </si>
  <si>
    <t>Logistics Coordination M</t>
  </si>
  <si>
    <t>Coordination Logistique I</t>
  </si>
  <si>
    <t>Logistics Coordination I</t>
  </si>
  <si>
    <t>Coordination Production M</t>
  </si>
  <si>
    <t>Production Coordination M</t>
  </si>
  <si>
    <t>Coordination Production I</t>
  </si>
  <si>
    <t>Production Coordination I</t>
  </si>
  <si>
    <t>Master Data M</t>
  </si>
  <si>
    <t>Master Data I</t>
  </si>
  <si>
    <t>MOE M</t>
  </si>
  <si>
    <t>IT Development M</t>
  </si>
  <si>
    <t>MOE I</t>
  </si>
  <si>
    <t>IT Development I</t>
  </si>
  <si>
    <t>Connaissances admin CMRL M</t>
  </si>
  <si>
    <t>CMRL Admin Knowledge M</t>
  </si>
  <si>
    <t>Connaissances admin CMRL I</t>
  </si>
  <si>
    <t>CMRL Admin Knowledge I</t>
  </si>
  <si>
    <t>Skill_Mastery</t>
  </si>
  <si>
    <t>Interest</t>
  </si>
  <si>
    <t>Resource list</t>
  </si>
  <si>
    <t>test 01</t>
  </si>
  <si>
    <t>task 1</t>
  </si>
  <si>
    <t>chantal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</si>
</sst>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5"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sz val="11"/>
      <color theme="1" tint="0.14999847407452621"/>
      <name val="Calibri"/>
      <family val="2"/>
      <scheme val="minor"/>
    </font>
    <font>
      <sz val="8"/>
      <name val="Calibri"/>
      <family val="2"/>
      <scheme val="minor"/>
    </font>
    <font>
      <b/>
      <sz val="12"/>
      <color theme="0" tint="-4.9989318521683403E-2"/>
      <name val="Calibri"/>
      <family val="2"/>
    </font>
    <font>
      <sz val="11"/>
      <color theme="2" tint="-0.749992370372631"/>
      <name val="Calibri"/>
      <family val="2"/>
      <scheme val="minor"/>
    </font>
    <font>
      <sz val="11"/>
      <color rgb="FF262626"/>
      <name val="Calibri"/>
      <family val="2"/>
    </font>
    <font>
      <sz val="10"/>
      <color theme="1"/>
      <name val="Calibri"/>
      <family val="2"/>
      <scheme val="minor"/>
    </font>
    <font>
      <b/>
      <sz val="9"/>
      <color rgb="FF2C6646"/>
      <name val="Calibri"/>
      <family val="2"/>
      <scheme val="minor"/>
    </font>
    <font>
      <sz val="9"/>
      <color theme="1"/>
      <name val="Calibri"/>
      <family val="2"/>
      <scheme val="minor"/>
    </font>
    <font>
      <sz val="9"/>
      <color rgb="FF2C6646"/>
      <name val="Calibri"/>
      <family val="2"/>
      <scheme val="minor"/>
    </font>
    <font>
      <b/>
      <sz val="9"/>
      <color theme="2" tint="-0.749992370372631"/>
      <name val="Calibri"/>
      <family val="2"/>
      <scheme val="minor"/>
    </font>
    <font>
      <b/>
      <sz val="10"/>
      <color theme="0"/>
      <name val="Calibri"/>
      <family val="2"/>
      <scheme val="minor"/>
    </font>
    <font>
      <b/>
      <sz val="14"/>
      <name val="Candara"/>
      <family val="2"/>
    </font>
    <font>
      <sz val="12"/>
      <name val="Candara"/>
      <family val="2"/>
    </font>
    <font>
      <b/>
      <sz val="14"/>
      <color theme="1"/>
      <name val="Candara"/>
      <family val="2"/>
    </font>
    <font>
      <sz val="12"/>
      <color theme="1"/>
      <name val="Candara"/>
      <family val="2"/>
    </font>
    <font>
      <b/>
      <sz val="12"/>
      <color theme="1"/>
      <name val="Candara"/>
      <family val="2"/>
    </font>
    <font>
      <sz val="12"/>
      <color rgb="FFFF0000"/>
      <name val="Candara"/>
      <family val="2"/>
    </font>
    <font>
      <b/>
      <sz val="11"/>
      <color theme="1"/>
      <name val="Candara"/>
      <family val="2"/>
    </font>
    <font>
      <u/>
      <sz val="12"/>
      <color theme="1"/>
      <name val="Candara"/>
      <family val="2"/>
    </font>
    <font>
      <b/>
      <sz val="14"/>
      <color rgb="FF2C6646"/>
      <name val="Calibri"/>
      <family val="2"/>
      <scheme val="minor"/>
    </font>
    <font>
      <sz val="11"/>
      <color theme="0"/>
      <name val="Calibri"/>
      <family val="2"/>
      <scheme val="minor"/>
    </font>
    <font>
      <b/>
      <sz val="11"/>
      <color theme="1"/>
      <name val="Calibri"/>
      <family val="2"/>
      <scheme val="minor"/>
    </font>
    <font>
      <sz val="9"/>
      <color indexed="81"/>
      <name val="Tahoma"/>
      <family val="2"/>
    </font>
    <font>
      <b/>
      <sz val="9"/>
      <color indexed="81"/>
      <name val="Tahoma"/>
      <family val="2"/>
    </font>
    <font>
      <b/>
      <sz val="12"/>
      <color theme="0"/>
      <name val="Calibri"/>
      <family val="2"/>
    </font>
    <font>
      <sz val="11"/>
      <color rgb="FFFF0000"/>
      <name val="Calibri"/>
      <family val="2"/>
      <scheme val="minor"/>
    </font>
    <font>
      <b/>
      <sz val="13.5"/>
      <color theme="1"/>
      <name val="Calibri"/>
      <family val="2"/>
      <scheme val="minor"/>
    </font>
    <font>
      <b/>
      <sz val="12"/>
      <color theme="1"/>
      <name val="Calibri"/>
      <family val="2"/>
      <scheme val="minor"/>
    </font>
    <font>
      <b/>
      <sz val="11"/>
      <color theme="9" tint="-0.499984740745262"/>
      <name val="Calibri"/>
      <family val="2"/>
      <scheme val="minor"/>
    </font>
    <font>
      <sz val="11"/>
      <name val="Calibri"/>
      <family val="2"/>
      <scheme val="minor"/>
    </font>
    <font>
      <b/>
      <sz val="11"/>
      <color theme="0"/>
      <name val="Calibri"/>
      <family val="2"/>
      <scheme val="minor"/>
    </font>
    <font>
      <b/>
      <sz val="9"/>
      <color theme="0"/>
      <name val="Calibri"/>
      <family val="2"/>
      <scheme val="minor"/>
    </font>
    <font>
      <sz val="11"/>
      <color theme="8" tint="-0.499984740745262"/>
      <name val="Calibri"/>
      <family val="2"/>
      <scheme val="minor"/>
    </font>
    <font>
      <b/>
      <sz val="2"/>
      <color rgb="FF8ECEAB"/>
      <name val="Calibri"/>
      <family val="2"/>
    </font>
    <font>
      <b/>
      <sz val="11"/>
      <color rgb="FFFF0000"/>
      <name val="Calibri"/>
      <family val="2"/>
      <scheme val="minor"/>
    </font>
    <font>
      <sz val="11"/>
      <color rgb="FF002060"/>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rgb="FF8ECEAB"/>
        <bgColor indexed="64"/>
      </patternFill>
    </fill>
    <fill>
      <gradientFill degree="180">
        <stop position="0">
          <color theme="0"/>
        </stop>
        <stop position="1">
          <color rgb="FF439B6B"/>
        </stop>
      </gradientFill>
    </fill>
    <fill>
      <patternFill patternType="solid">
        <fgColor theme="9"/>
        <bgColor theme="9"/>
      </patternFill>
    </fill>
    <fill>
      <patternFill patternType="solid">
        <fgColor rgb="FFFFC000"/>
        <bgColor indexed="64"/>
      </patternFill>
    </fill>
    <fill>
      <patternFill patternType="solid">
        <fgColor theme="9" tint="0.59999389629810485"/>
        <bgColor indexed="64"/>
      </patternFill>
    </fill>
    <fill>
      <patternFill patternType="solid">
        <fgColor theme="0"/>
        <bgColor auto="1"/>
      </patternFill>
    </fill>
    <fill>
      <patternFill patternType="solid">
        <fgColor theme="8" tint="0.79998168889431442"/>
        <bgColor indexed="64"/>
      </patternFill>
    </fill>
    <fill>
      <patternFill patternType="solid">
        <fgColor theme="0"/>
        <bgColor theme="9"/>
      </patternFill>
    </fill>
    <fill>
      <patternFill patternType="solid">
        <fgColor theme="4" tint="0.79998168889431442"/>
        <bgColor indexed="64"/>
      </patternFill>
    </fill>
    <fill>
      <patternFill patternType="solid">
        <fgColor rgb="FFA4D8BC"/>
        <bgColor indexed="64"/>
      </patternFill>
    </fill>
    <fill>
      <patternFill patternType="solid">
        <fgColor rgb="FF439B6B"/>
        <bgColor auto="1"/>
      </patternFill>
    </fill>
    <fill>
      <patternFill patternType="solid">
        <fgColor theme="4" tint="0.59999389629810485"/>
        <bgColor indexed="64"/>
      </patternFill>
    </fill>
  </fills>
  <borders count="27">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style="thin">
        <color rgb="FF00B050"/>
      </left>
      <right style="thin">
        <color rgb="FF00B050"/>
      </right>
      <top/>
      <bottom/>
      <diagonal/>
    </border>
    <border>
      <left style="thin">
        <color rgb="FF00B050"/>
      </left>
      <right/>
      <top/>
      <bottom/>
      <diagonal/>
    </border>
    <border>
      <left style="thin">
        <color rgb="FF00B050"/>
      </left>
      <right style="thin">
        <color rgb="FF00B050"/>
      </right>
      <top style="thin">
        <color theme="9"/>
      </top>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rgb="FF00B050"/>
      </left>
      <right style="thin">
        <color rgb="FF00B050"/>
      </right>
      <top style="thin">
        <color rgb="FF00B050"/>
      </top>
      <bottom style="thin">
        <color rgb="FF00B050"/>
      </bottom>
      <diagonal/>
    </border>
    <border>
      <left/>
      <right/>
      <top/>
      <bottom style="thin">
        <color theme="9" tint="0.39997558519241921"/>
      </bottom>
      <diagonal/>
    </border>
    <border>
      <left style="thin">
        <color theme="9"/>
      </left>
      <right/>
      <top style="thin">
        <color theme="9"/>
      </top>
      <bottom style="thin">
        <color theme="9"/>
      </bottom>
      <diagonal/>
    </border>
    <border>
      <left/>
      <right/>
      <top style="thin">
        <color theme="9"/>
      </top>
      <bottom style="thin">
        <color theme="9"/>
      </bottom>
      <diagonal/>
    </border>
    <border>
      <left/>
      <right/>
      <top style="thin">
        <color theme="9"/>
      </top>
      <bottom/>
      <diagonal/>
    </border>
    <border>
      <left style="thin">
        <color theme="9"/>
      </left>
      <right/>
      <top style="thin">
        <color theme="9"/>
      </top>
      <bottom/>
      <diagonal/>
    </border>
    <border>
      <left style="thin">
        <color theme="9"/>
      </left>
      <right style="thin">
        <color theme="9"/>
      </right>
      <top style="thin">
        <color theme="9"/>
      </top>
      <bottom style="thin">
        <color theme="9"/>
      </bottom>
      <diagonal/>
    </border>
    <border>
      <left style="thin">
        <color rgb="FF00B050"/>
      </left>
      <right/>
      <top style="thin">
        <color theme="9"/>
      </top>
      <bottom style="thin">
        <color theme="9"/>
      </bottom>
      <diagonal/>
    </border>
    <border>
      <left/>
      <right style="thin">
        <color rgb="FF00B050"/>
      </right>
      <top style="thin">
        <color theme="9"/>
      </top>
      <bottom style="thin">
        <color theme="9"/>
      </bottom>
      <diagonal/>
    </border>
    <border>
      <left/>
      <right style="thin">
        <color theme="9"/>
      </right>
      <top style="thin">
        <color theme="9"/>
      </top>
      <bottom/>
      <diagonal/>
    </border>
    <border>
      <left style="thin">
        <color theme="9"/>
      </left>
      <right style="thin">
        <color theme="9"/>
      </right>
      <top style="thin">
        <color theme="9"/>
      </top>
      <bottom/>
      <diagonal/>
    </border>
    <border>
      <left/>
      <right/>
      <top/>
      <bottom style="thin">
        <color rgb="FF00B050"/>
      </bottom>
      <diagonal/>
    </border>
    <border>
      <left/>
      <right style="thin">
        <color theme="9"/>
      </right>
      <top/>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1">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0" borderId="0" xfId="0" applyFont="1" applyAlignment="1">
      <alignment horizontal="left" vertical="center" wrapText="1"/>
    </xf>
    <xf numFmtId="0" fontId="13" fillId="0" borderId="0" xfId="0" applyFont="1" applyAlignment="1">
      <alignment horizontal="center" vertical="center" wrapText="1"/>
    </xf>
    <xf numFmtId="0" fontId="12" fillId="0" borderId="0" xfId="0" applyFont="1" applyAlignment="1">
      <alignment horizontal="center" vertical="center" wrapText="1"/>
    </xf>
    <xf numFmtId="0" fontId="0" fillId="0" borderId="0" xfId="0" applyAlignment="1">
      <alignment horizontal="left"/>
    </xf>
    <xf numFmtId="0" fontId="8" fillId="6" borderId="5" xfId="0" applyFont="1" applyFill="1" applyBorder="1" applyAlignment="1">
      <alignment horizontal="left" vertical="center"/>
    </xf>
    <xf numFmtId="0" fontId="14" fillId="0" borderId="0" xfId="0" applyFont="1"/>
    <xf numFmtId="0" fontId="14"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horizontal="left" vertical="center"/>
    </xf>
    <xf numFmtId="0" fontId="15" fillId="7" borderId="7" xfId="0" applyFont="1" applyFill="1" applyBorder="1" applyAlignment="1">
      <alignment horizontal="center" vertical="center" wrapText="1"/>
    </xf>
    <xf numFmtId="0" fontId="15" fillId="7" borderId="0" xfId="0" applyFont="1" applyFill="1" applyAlignment="1">
      <alignment horizontal="center" vertical="center" wrapText="1"/>
    </xf>
    <xf numFmtId="0" fontId="15" fillId="7" borderId="8" xfId="0" applyFont="1" applyFill="1" applyBorder="1" applyAlignment="1">
      <alignment horizontal="center" vertical="center" wrapText="1"/>
    </xf>
    <xf numFmtId="0" fontId="16" fillId="0" borderId="0" xfId="0" applyFont="1"/>
    <xf numFmtId="0" fontId="15" fillId="8" borderId="11" xfId="0" applyFont="1" applyFill="1" applyBorder="1" applyAlignment="1">
      <alignment horizontal="center" vertical="top" wrapText="1"/>
    </xf>
    <xf numFmtId="0" fontId="15" fillId="7" borderId="11" xfId="0" applyFont="1" applyFill="1" applyBorder="1" applyAlignment="1">
      <alignment horizontal="center" vertical="top" wrapText="1"/>
    </xf>
    <xf numFmtId="0" fontId="15" fillId="8" borderId="6" xfId="0" applyFont="1" applyFill="1" applyBorder="1" applyAlignment="1">
      <alignment horizontal="center" vertical="center" wrapText="1"/>
    </xf>
    <xf numFmtId="0" fontId="19" fillId="10" borderId="12" xfId="0" applyFont="1" applyFill="1" applyBorder="1" applyAlignment="1">
      <alignment horizontal="center" vertical="center"/>
    </xf>
    <xf numFmtId="0" fontId="20" fillId="3" borderId="0" xfId="0" applyFont="1" applyFill="1" applyAlignment="1">
      <alignment vertical="top"/>
    </xf>
    <xf numFmtId="0" fontId="21" fillId="3" borderId="0" xfId="0" applyFont="1" applyFill="1" applyAlignment="1">
      <alignment vertical="top"/>
    </xf>
    <xf numFmtId="0" fontId="22" fillId="3" borderId="0" xfId="0" applyFont="1" applyFill="1"/>
    <xf numFmtId="0" fontId="23" fillId="3" borderId="0" xfId="0" applyFont="1" applyFill="1"/>
    <xf numFmtId="0" fontId="0" fillId="3" borderId="0" xfId="0" applyFill="1"/>
    <xf numFmtId="0" fontId="24" fillId="3" borderId="0" xfId="0" applyFont="1" applyFill="1"/>
    <xf numFmtId="0" fontId="25" fillId="3" borderId="0" xfId="0" applyFont="1" applyFill="1"/>
    <xf numFmtId="0" fontId="23" fillId="3" borderId="0" xfId="0" applyFont="1" applyFill="1" applyAlignment="1">
      <alignment horizontal="left" vertical="top"/>
    </xf>
    <xf numFmtId="0" fontId="23" fillId="3" borderId="0" xfId="0" applyFont="1" applyFill="1" applyAlignment="1">
      <alignment vertical="top"/>
    </xf>
    <xf numFmtId="0" fontId="23" fillId="3" borderId="0" xfId="0" applyFont="1" applyFill="1" applyAlignment="1">
      <alignment horizontal="left" wrapText="1"/>
    </xf>
    <xf numFmtId="0" fontId="26" fillId="3" borderId="0" xfId="0" applyFont="1" applyFill="1"/>
    <xf numFmtId="0" fontId="24" fillId="3" borderId="0" xfId="0" applyFont="1" applyFill="1" applyAlignment="1">
      <alignment horizontal="left" vertical="top"/>
    </xf>
    <xf numFmtId="0" fontId="23" fillId="3" borderId="0" xfId="0" applyFont="1" applyFill="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9" fillId="0" borderId="0" xfId="0" applyFont="1" applyAlignment="1">
      <alignment horizontal="left" vertical="center"/>
    </xf>
    <xf numFmtId="0" fontId="14" fillId="0" borderId="0" xfId="0" applyFont="1" applyAlignment="1">
      <alignment vertical="center"/>
    </xf>
    <xf numFmtId="0" fontId="0" fillId="0" borderId="0" xfId="0" applyAlignment="1">
      <alignment horizontal="left" vertical="center" wrapText="1"/>
    </xf>
    <xf numFmtId="0" fontId="29" fillId="0" borderId="0" xfId="0" applyFont="1" applyAlignment="1">
      <alignment horizontal="center" vertical="center"/>
    </xf>
    <xf numFmtId="0" fontId="15" fillId="7" borderId="9" xfId="0" applyFont="1" applyFill="1" applyBorder="1" applyAlignment="1">
      <alignment horizontal="center" vertical="center" wrapText="1"/>
    </xf>
    <xf numFmtId="0" fontId="30" fillId="0" borderId="0" xfId="0" applyFont="1" applyAlignment="1">
      <alignment horizontal="center" vertical="center" wrapText="1"/>
    </xf>
    <xf numFmtId="0" fontId="5" fillId="4" borderId="3" xfId="0" applyFont="1" applyFill="1" applyBorder="1" applyAlignment="1">
      <alignment horizontal="left" vertical="center"/>
    </xf>
    <xf numFmtId="0" fontId="30" fillId="0" borderId="0" xfId="0" applyFont="1"/>
    <xf numFmtId="0" fontId="34" fillId="0" borderId="0" xfId="0" applyFont="1"/>
    <xf numFmtId="0" fontId="35" fillId="0" borderId="0" xfId="0" applyFont="1" applyAlignment="1">
      <alignment vertical="center"/>
    </xf>
    <xf numFmtId="0" fontId="36" fillId="0" borderId="0" xfId="0" applyFont="1" applyAlignment="1">
      <alignment vertical="center"/>
    </xf>
    <xf numFmtId="0" fontId="0" fillId="0" borderId="0" xfId="0" applyAlignment="1">
      <alignment horizontal="left" vertical="center" indent="1"/>
    </xf>
    <xf numFmtId="0" fontId="9" fillId="0" borderId="16" xfId="0" applyFont="1" applyBorder="1" applyAlignment="1">
      <alignment horizontal="left" vertical="center" wrapText="1"/>
    </xf>
    <xf numFmtId="0" fontId="0" fillId="0" borderId="0" xfId="0" applyAlignment="1">
      <alignment horizontal="center"/>
    </xf>
    <xf numFmtId="0" fontId="37" fillId="12" borderId="0" xfId="0" applyFont="1" applyFill="1"/>
    <xf numFmtId="0" fontId="13" fillId="0" borderId="17" xfId="0" applyFont="1" applyBorder="1" applyAlignment="1">
      <alignment horizontal="center" vertical="center" wrapText="1"/>
    </xf>
    <xf numFmtId="0" fontId="38" fillId="0" borderId="15" xfId="0" applyFont="1" applyBorder="1" applyAlignment="1">
      <alignment horizontal="center" vertical="center"/>
    </xf>
    <xf numFmtId="0" fontId="38" fillId="0" borderId="0" xfId="0" applyFont="1" applyAlignment="1">
      <alignment horizontal="center" vertical="center"/>
    </xf>
    <xf numFmtId="0" fontId="0" fillId="0" borderId="0" xfId="0" applyAlignment="1">
      <alignment vertical="center"/>
    </xf>
    <xf numFmtId="0" fontId="0" fillId="0" borderId="16" xfId="0" applyBorder="1" applyAlignment="1">
      <alignment horizontal="left" vertical="center"/>
    </xf>
    <xf numFmtId="0" fontId="38" fillId="0" borderId="9" xfId="0" applyFont="1" applyBorder="1" applyAlignment="1">
      <alignment horizontal="left" vertical="center" wrapText="1"/>
    </xf>
    <xf numFmtId="0" fontId="39" fillId="10" borderId="21" xfId="0" applyFont="1" applyFill="1" applyBorder="1" applyAlignment="1">
      <alignment horizontal="center" vertical="center"/>
    </xf>
    <xf numFmtId="0" fontId="39" fillId="10" borderId="16" xfId="0" applyFont="1" applyFill="1" applyBorder="1" applyAlignment="1">
      <alignment horizontal="center" vertical="center"/>
    </xf>
    <xf numFmtId="0" fontId="39" fillId="10" borderId="20" xfId="0" applyFont="1" applyFill="1" applyBorder="1" applyAlignment="1">
      <alignment horizontal="center" vertical="center"/>
    </xf>
    <xf numFmtId="0" fontId="18" fillId="3" borderId="0" xfId="0" applyFont="1" applyFill="1"/>
    <xf numFmtId="0" fontId="18" fillId="3" borderId="0" xfId="0" applyFont="1" applyFill="1" applyAlignment="1">
      <alignment horizontal="left"/>
    </xf>
    <xf numFmtId="0" fontId="15" fillId="3" borderId="0" xfId="0" applyFont="1" applyFill="1" applyAlignment="1">
      <alignment vertical="center" textRotation="180" wrapText="1"/>
    </xf>
    <xf numFmtId="0" fontId="42" fillId="4" borderId="3" xfId="0" applyFont="1" applyFill="1" applyBorder="1" applyAlignment="1">
      <alignment vertical="center"/>
    </xf>
    <xf numFmtId="0" fontId="9" fillId="0" borderId="21" xfId="0" applyFont="1" applyBorder="1" applyAlignment="1">
      <alignment horizontal="left" vertical="center" wrapText="1"/>
    </xf>
    <xf numFmtId="0" fontId="9" fillId="0" borderId="17" xfId="0" applyFont="1" applyBorder="1" applyAlignment="1">
      <alignment horizontal="left" vertical="center" wrapText="1"/>
    </xf>
    <xf numFmtId="0" fontId="9" fillId="0" borderId="0" xfId="0" applyFont="1" applyAlignment="1">
      <alignment horizontal="center" vertical="center" wrapText="1"/>
    </xf>
    <xf numFmtId="0" fontId="30" fillId="15" borderId="23" xfId="0" applyFont="1" applyFill="1" applyBorder="1" applyAlignment="1">
      <alignment horizontal="center" vertical="center"/>
    </xf>
    <xf numFmtId="0" fontId="13" fillId="8" borderId="17" xfId="0" applyFont="1" applyFill="1" applyBorder="1" applyAlignment="1">
      <alignment horizontal="center" vertical="center" wrapText="1"/>
    </xf>
    <xf numFmtId="14" fontId="0" fillId="0" borderId="0" xfId="0" applyNumberFormat="1" applyAlignment="1">
      <alignment horizontal="center" vertical="center"/>
    </xf>
    <xf numFmtId="2" fontId="0" fillId="0" borderId="26" xfId="0" applyNumberFormat="1" applyBorder="1" applyAlignment="1">
      <alignment horizontal="center" vertical="center"/>
    </xf>
    <xf numFmtId="0" fontId="29" fillId="0" borderId="0" xfId="0" applyFont="1"/>
    <xf numFmtId="0" fontId="43" fillId="0" borderId="0" xfId="0" applyFont="1"/>
    <xf numFmtId="0" fontId="15" fillId="7" borderId="19" xfId="0" applyFont="1" applyFill="1" applyBorder="1" applyAlignment="1">
      <alignment vertical="center" wrapText="1"/>
    </xf>
    <xf numFmtId="0" fontId="23" fillId="3" borderId="0" xfId="0" applyFont="1" applyFill="1" applyAlignment="1">
      <alignment horizontal="left" vertical="top" wrapText="1"/>
    </xf>
    <xf numFmtId="0" fontId="1" fillId="2" borderId="2" xfId="0" applyFont="1" applyFill="1" applyBorder="1" applyAlignment="1">
      <alignment horizontal="center" vertical="center"/>
    </xf>
    <xf numFmtId="0" fontId="11" fillId="18" borderId="0" xfId="0" applyFont="1" applyFill="1" applyAlignment="1">
      <alignment vertical="center"/>
    </xf>
    <xf numFmtId="0" fontId="44" fillId="19" borderId="26" xfId="0" applyFont="1" applyFill="1" applyBorder="1" applyAlignment="1">
      <alignment horizontal="center" vertical="center"/>
    </xf>
    <xf numFmtId="0" fontId="23" fillId="3" borderId="0" xfId="0" applyFont="1" applyFill="1" applyAlignment="1">
      <alignment horizontal="left" vertical="top" wrapText="1"/>
    </xf>
    <xf numFmtId="0" fontId="23" fillId="3" borderId="0" xfId="0" applyFont="1" applyFill="1" applyAlignment="1">
      <alignment horizontal="left" vertical="center" wrapText="1"/>
    </xf>
    <xf numFmtId="0" fontId="28" fillId="7" borderId="13" xfId="0" applyFont="1" applyFill="1" applyBorder="1" applyAlignment="1">
      <alignment horizontal="left" vertical="center" wrapText="1"/>
    </xf>
    <xf numFmtId="0" fontId="28" fillId="7" borderId="14" xfId="0" applyFont="1" applyFill="1" applyBorder="1" applyAlignment="1">
      <alignment horizontal="left" vertical="center" wrapText="1"/>
    </xf>
    <xf numFmtId="0" fontId="24" fillId="11" borderId="15" xfId="0" applyFont="1" applyFill="1" applyBorder="1" applyAlignment="1">
      <alignment horizontal="left" vertical="center"/>
    </xf>
    <xf numFmtId="0" fontId="41" fillId="16" borderId="24" xfId="0" applyFont="1" applyFill="1" applyBorder="1" applyAlignment="1">
      <alignment vertical="center"/>
    </xf>
    <xf numFmtId="0" fontId="41" fillId="16" borderId="25" xfId="0" applyFont="1" applyFill="1" applyBorder="1" applyAlignment="1">
      <alignment vertical="center"/>
    </xf>
    <xf numFmtId="0" fontId="6" fillId="5" borderId="4" xfId="0" applyFont="1" applyFill="1" applyBorder="1" applyAlignment="1">
      <alignment horizontal="left" vertical="center"/>
    </xf>
    <xf numFmtId="0" fontId="33" fillId="9" borderId="0" xfId="0" applyFont="1" applyFill="1" applyAlignment="1">
      <alignment horizontal="left" vertical="center" wrapText="1"/>
    </xf>
    <xf numFmtId="14" fontId="1" fillId="2" borderId="0" xfId="0" applyNumberFormat="1" applyFont="1" applyFill="1" applyAlignment="1">
      <alignment horizontal="center" vertical="center"/>
    </xf>
    <xf numFmtId="0" fontId="1" fillId="2" borderId="2" xfId="0" applyFont="1" applyFill="1" applyBorder="1" applyAlignment="1">
      <alignment horizontal="center" vertical="center"/>
    </xf>
    <xf numFmtId="0" fontId="1" fillId="2" borderId="0" xfId="0" applyFont="1" applyFill="1" applyAlignment="1">
      <alignment horizontal="center" vertical="center"/>
    </xf>
    <xf numFmtId="0" fontId="7" fillId="5" borderId="4" xfId="0" applyFont="1" applyFill="1" applyBorder="1" applyAlignment="1">
      <alignment horizontal="left" vertical="center"/>
    </xf>
    <xf numFmtId="0" fontId="1" fillId="2" borderId="0" xfId="0" applyFont="1" applyFill="1" applyAlignment="1">
      <alignment horizontal="left" vertical="center"/>
    </xf>
    <xf numFmtId="0" fontId="1" fillId="2" borderId="2" xfId="0" applyFont="1" applyFill="1" applyBorder="1" applyAlignment="1">
      <alignment horizontal="left" vertical="center"/>
    </xf>
    <xf numFmtId="14" fontId="1" fillId="2" borderId="0" xfId="0" applyNumberFormat="1" applyFont="1" applyFill="1" applyAlignment="1">
      <alignment horizontal="left" vertical="center"/>
    </xf>
    <xf numFmtId="0" fontId="40" fillId="13" borderId="22" xfId="0" applyFont="1" applyFill="1" applyBorder="1" applyAlignment="1">
      <alignment horizontal="left" vertical="center" wrapText="1"/>
    </xf>
    <xf numFmtId="0" fontId="15" fillId="3" borderId="0" xfId="0" applyFont="1" applyFill="1" applyAlignment="1">
      <alignment horizontal="center" vertical="center" textRotation="180" wrapText="1"/>
    </xf>
    <xf numFmtId="0" fontId="15" fillId="7" borderId="18" xfId="0" applyFont="1" applyFill="1" applyBorder="1" applyAlignment="1">
      <alignment horizontal="center" vertical="center" wrapText="1"/>
    </xf>
    <xf numFmtId="0" fontId="15" fillId="7" borderId="14"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17" borderId="14" xfId="0" applyFont="1" applyFill="1" applyBorder="1" applyAlignment="1">
      <alignment horizontal="center" vertical="center" wrapText="1"/>
    </xf>
    <xf numFmtId="0" fontId="41" fillId="14" borderId="0" xfId="0" applyFont="1" applyFill="1" applyAlignment="1">
      <alignment horizontal="center" vertical="center"/>
    </xf>
    <xf numFmtId="0" fontId="17" fillId="7" borderId="9" xfId="0" applyFont="1" applyFill="1" applyBorder="1" applyAlignment="1">
      <alignment horizontal="center" vertical="center" wrapText="1"/>
    </xf>
    <xf numFmtId="0" fontId="17" fillId="7" borderId="10" xfId="0" applyFont="1" applyFill="1" applyBorder="1" applyAlignment="1">
      <alignment horizontal="center" vertical="center" wrapText="1"/>
    </xf>
  </cellXfs>
  <cellStyles count="1">
    <cellStyle name="Normal" xfId="0" builtinId="0"/>
  </cellStyles>
  <dxfs count="87">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solid">
          <fgColor theme="9"/>
          <bgColor theme="0"/>
        </patternFill>
      </fill>
      <alignment horizontal="left" vertical="center" textRotation="0" wrapText="1" indent="0" justifyLastLine="0" shrinkToFit="0" readingOrder="0"/>
      <border diagonalUp="0" diagonalDown="0">
        <left style="thin">
          <color theme="9"/>
        </left>
        <right style="thin">
          <color theme="9"/>
        </right>
        <top style="thin">
          <color theme="9"/>
        </top>
        <bottom/>
        <vertical/>
        <horizontal/>
      </border>
    </dxf>
    <dxf>
      <border outline="0">
        <left style="thin">
          <color theme="9"/>
        </left>
        <top style="thin">
          <color theme="9"/>
        </top>
      </border>
    </dxf>
    <dxf>
      <font>
        <b val="0"/>
        <i val="0"/>
        <strike val="0"/>
        <condense val="0"/>
        <extend val="0"/>
        <outline val="0"/>
        <shadow val="0"/>
        <u val="none"/>
        <vertAlign val="baseline"/>
        <sz val="11"/>
        <color theme="1" tint="0.14999847407452621"/>
        <name val="Calibri"/>
        <family val="2"/>
        <scheme val="minor"/>
      </font>
      <fill>
        <patternFill patternType="solid">
          <fgColor theme="9"/>
          <bgColor theme="0"/>
        </patternFill>
      </fill>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9"/>
          <bgColor theme="0"/>
        </patternFill>
      </fill>
      <alignment horizontal="center" vertical="center" textRotation="0" wrapText="0" indent="0" justifyLastLine="0" shrinkToFit="0" readingOrder="0"/>
    </dxf>
    <dxf>
      <font>
        <b val="0"/>
        <strike val="0"/>
        <outline val="0"/>
        <shadow val="0"/>
        <u val="none"/>
        <vertAlign val="baseline"/>
        <color auto="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op>
        <bottom/>
      </border>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rgb="FF00B050"/>
        </left>
        <right/>
        <top style="thin">
          <color rgb="FF00B050"/>
        </top>
        <bottom style="thin">
          <color rgb="FF00B050"/>
        </bottom>
      </border>
    </dxf>
    <dxf>
      <font>
        <b val="0"/>
        <strike val="0"/>
        <outline val="0"/>
        <shadow val="0"/>
        <u val="none"/>
        <vertAlign val="baseline"/>
        <color auto="1"/>
        <name val="Calibri"/>
        <family val="2"/>
        <scheme val="minor"/>
      </font>
      <fill>
        <patternFill patternType="none">
          <fgColor indexed="64"/>
          <bgColor auto="1"/>
        </patternFill>
      </fill>
    </dxf>
    <dxf>
      <border outline="0">
        <bottom style="thin">
          <color theme="9" tint="0.39997558519241921"/>
        </bottom>
      </border>
    </dxf>
    <dxf>
      <alignment horizontal="center" vertical="center" textRotation="0" wrapText="0" indent="0" justifyLastLine="0" shrinkToFit="0" readingOrder="0"/>
    </dxf>
    <dxf>
      <alignment horizontal="left" vertical="bottom" textRotation="0" wrapText="0" indent="0" justifyLastLine="0" shrinkToFit="0" readingOrder="0"/>
      <border diagonalUp="0" diagonalDown="0">
        <left style="thin">
          <color theme="9"/>
        </left>
        <right/>
        <top style="thin">
          <color theme="9"/>
        </top>
        <bottom/>
        <vertical/>
        <horizontal/>
      </border>
    </dxf>
    <dxf>
      <border outline="0">
        <bottom style="thin">
          <color theme="9"/>
        </bottom>
      </border>
    </dxf>
    <dxf>
      <alignment horizontal="left" vertical="bottom"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2" tint="-0.749992370372631"/>
        <name val="Calibri"/>
        <family val="2"/>
        <scheme val="minor"/>
      </font>
      <fill>
        <patternFill patternType="none">
          <bgColor auto="1"/>
        </patternFill>
      </fill>
      <alignment horizontal="left" vertical="center" textRotation="0" wrapText="0" indent="0" justifyLastLine="0" shrinkToFit="0" readingOrder="0"/>
    </dxf>
    <dxf>
      <font>
        <strike val="0"/>
        <outline val="0"/>
        <shadow val="0"/>
        <u val="none"/>
        <vertAlign val="baseline"/>
        <sz val="11"/>
        <color theme="2" tint="-0.749992370372631"/>
        <name val="Calibri"/>
        <family val="2"/>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theme="2" tint="-0.749992370372631"/>
        <name val="Calibri"/>
        <family val="2"/>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0"/>
        <name val="Calibri"/>
        <family val="2"/>
        <scheme val="minor"/>
      </font>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9"/>
        <color rgb="FF2C6646"/>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9"/>
        <color rgb="FF2C6646"/>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numFmt numFmtId="2"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theme="9"/>
        <name val="Calibri"/>
        <family val="2"/>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9"/>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border>
        <left style="thin">
          <color theme="9"/>
        </left>
      </border>
    </dxf>
    <dxf>
      <border>
        <left style="thin">
          <color theme="9"/>
        </left>
      </border>
    </dxf>
    <dxf>
      <border>
        <top style="thin">
          <color theme="9"/>
        </top>
      </border>
    </dxf>
    <dxf>
      <border>
        <top style="thin">
          <color theme="9"/>
        </top>
      </border>
    </dxf>
    <dxf>
      <font>
        <b/>
        <color theme="1"/>
      </font>
    </dxf>
    <dxf>
      <font>
        <b/>
        <color theme="1"/>
      </font>
    </dxf>
    <dxf>
      <font>
        <b/>
        <color theme="1"/>
      </font>
      <border>
        <top style="double">
          <color theme="9"/>
        </top>
      </border>
    </dxf>
    <dxf>
      <font>
        <b/>
        <i val="0"/>
        <color rgb="FF439B6B"/>
      </font>
      <fill>
        <patternFill patternType="solid">
          <fgColor theme="9"/>
          <bgColor rgb="FFB9E1CB"/>
        </patternFill>
      </fill>
      <border diagonalUp="0" diagonalDown="0">
        <left style="thin">
          <color theme="9"/>
        </left>
        <right style="thin">
          <color theme="9"/>
        </right>
        <top style="thin">
          <color theme="9"/>
        </top>
        <bottom style="thin">
          <color theme="9"/>
        </bottom>
        <vertical style="thin">
          <color rgb="FF00B050"/>
        </vertical>
        <horizontal/>
      </border>
    </dxf>
    <dxf>
      <font>
        <color theme="1"/>
      </font>
      <border>
        <left style="thin">
          <color theme="9"/>
        </left>
        <right style="thin">
          <color theme="9"/>
        </right>
        <top style="thin">
          <color theme="9"/>
        </top>
        <bottom style="thin">
          <color theme="9"/>
        </bottom>
      </border>
    </dxf>
  </dxfs>
  <tableStyles count="1" defaultTableStyle="TableStyleMedium2" defaultPivotStyle="PivotStyleLight16">
    <tableStyle name="TableStyleLight14 MC" pivot="0" count="9" xr9:uid="{84A4A566-A35B-46E4-A8A1-F99B9E637DED}">
      <tableStyleElement type="wholeTable" dxfId="86"/>
      <tableStyleElement type="headerRow" dxfId="85"/>
      <tableStyleElement type="totalRow" dxfId="84"/>
      <tableStyleElement type="firstColumn" dxfId="83"/>
      <tableStyleElement type="lastColumn" dxfId="82"/>
      <tableStyleElement type="firstRowStripe" dxfId="81"/>
      <tableStyleElement type="secondRowStripe" dxfId="80"/>
      <tableStyleElement type="firstColumnStripe" dxfId="79"/>
      <tableStyleElement type="secondColumnStripe" dxfId="78"/>
    </tableStyle>
  </tableStyles>
  <colors>
    <mruColors>
      <color rgb="FF439B6B"/>
      <color rgb="FFA4D8BC"/>
      <color rgb="FFB9E1CB"/>
      <color rgb="FF8ECEAB"/>
      <color rgb="FFF3FDF1"/>
      <color rgb="FFFBF3F8"/>
      <color rgb="FFF2F7FC"/>
      <color rgb="FFF4FEF0"/>
      <color rgb="FF00B050"/>
      <color rgb="FF09FF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v>'Matrice Ressources-Compétences'!$B$15</c:v>
          </c:tx>
          <c:spPr>
            <a:ln w="28575" cap="rnd">
              <a:solidFill>
                <a:schemeClr val="accent5"/>
              </a:solidFill>
              <a:round/>
            </a:ln>
            <a:effectLst/>
          </c:spPr>
          <c:marker>
            <c:symbol val="none"/>
          </c:marker>
          <c:cat>
            <c:strRef>
              <c:f>'Matrice Ressources-Compétences'!$D$14:$K$14</c:f>
              <c:strCache>
                <c:ptCount val="8"/>
                <c:pt idx="0">
                  <c:v>Modélisation des processus</c:v>
                </c:pt>
                <c:pt idx="1">
                  <c:v>Analyse des données</c:v>
                </c:pt>
                <c:pt idx="2">
                  <c:v>Rédaction fonctionnelle</c:v>
                </c:pt>
                <c:pt idx="3">
                  <c:v>Connaissance des outils métier	</c:v>
                </c:pt>
                <c:pt idx="4">
                  <c:v>Scénarios d’exception / cas limites</c:v>
                </c:pt>
                <c:pt idx="5">
                  <c:v>Suivi des anomalies fonctionnelles</c:v>
                </c:pt>
                <c:pt idx="6">
                  <c:v>Conception des états de reporting</c:v>
                </c:pt>
                <c:pt idx="7">
                  <c:v>Connaissances admin CMRL</c:v>
                </c:pt>
              </c:strCache>
            </c:strRef>
          </c:cat>
          <c:val>
            <c:numRef>
              <c:f>'Matrice Ressources-Compétences'!$D$15:$K$15</c:f>
              <c:numCache>
                <c:formatCode>General</c:formatCode>
                <c:ptCount val="8"/>
                <c:pt idx="0">
                  <c:v>1</c:v>
                </c:pt>
                <c:pt idx="1">
                  <c:v>1</c:v>
                </c:pt>
                <c:pt idx="2">
                  <c:v>1</c:v>
                </c:pt>
                <c:pt idx="3">
                  <c:v>4</c:v>
                </c:pt>
                <c:pt idx="4">
                  <c:v>1</c:v>
                </c:pt>
                <c:pt idx="5">
                  <c:v>4</c:v>
                </c:pt>
                <c:pt idx="6">
                  <c:v>3</c:v>
                </c:pt>
                <c:pt idx="7">
                  <c:v>2</c:v>
                </c:pt>
              </c:numCache>
            </c:numRef>
          </c:val>
          <c:extLst>
            <c:ext xmlns:c16="http://schemas.microsoft.com/office/drawing/2014/chart" uri="{C3380CC4-5D6E-409C-BE32-E72D297353CC}">
              <c16:uniqueId val="{00000000-4C42-48E8-8078-AC25017F53C2}"/>
            </c:ext>
          </c:extLst>
        </c:ser>
        <c:dLbls>
          <c:showLegendKey val="0"/>
          <c:showVal val="0"/>
          <c:showCatName val="0"/>
          <c:showSerName val="0"/>
          <c:showPercent val="0"/>
          <c:showBubbleSize val="0"/>
        </c:dLbls>
        <c:axId val="319421136"/>
        <c:axId val="319427856"/>
      </c:radarChart>
      <c:catAx>
        <c:axId val="3194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7856"/>
        <c:crosses val="autoZero"/>
        <c:auto val="1"/>
        <c:lblAlgn val="ctr"/>
        <c:lblOffset val="100"/>
        <c:noMultiLvlLbl val="0"/>
      </c:catAx>
      <c:valAx>
        <c:axId val="319427856"/>
        <c:scaling>
          <c:orientation val="minMax"/>
          <c:max val="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1136"/>
        <c:crosses val="autoZero"/>
        <c:crossBetween val="between"/>
      </c:valAx>
      <c:spPr>
        <a:noFill/>
        <a:ln>
          <a:noFill/>
        </a:ln>
        <a:effectLst/>
      </c:spPr>
    </c:plotArea>
    <c:plotVisOnly val="1"/>
    <c:dispBlanksAs val="span"/>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0"/>
          <c:tx>
            <c:v>MOA</c:v>
          </c:tx>
          <c:spPr>
            <a:ln w="28575" cap="rnd">
              <a:solidFill>
                <a:schemeClr val="accent6"/>
              </a:solidFill>
              <a:round/>
            </a:ln>
            <a:effectLst/>
          </c:spPr>
          <c:marker>
            <c:symbol val="none"/>
          </c:marker>
          <c:cat>
            <c:strRef>
              <c:f>'Matrice Tâches-Compétences'!$D$13:$K$13</c:f>
              <c:strCache>
                <c:ptCount val="8"/>
                <c:pt idx="0">
                  <c:v>Modélisation des processus</c:v>
                </c:pt>
                <c:pt idx="1">
                  <c:v>Analyse des données</c:v>
                </c:pt>
                <c:pt idx="2">
                  <c:v>Rédaction fonctionnelle</c:v>
                </c:pt>
                <c:pt idx="3">
                  <c:v>Connaissance des outils métier	</c:v>
                </c:pt>
                <c:pt idx="4">
                  <c:v>Scénarios d’exception / cas limites</c:v>
                </c:pt>
                <c:pt idx="5">
                  <c:v>Suivi des anomalies fonctionnelles</c:v>
                </c:pt>
                <c:pt idx="6">
                  <c:v>Conception des états de reporting</c:v>
                </c:pt>
                <c:pt idx="7">
                  <c:v>Connaissances admin CMRL</c:v>
                </c:pt>
              </c:strCache>
            </c:strRef>
          </c:cat>
          <c:val>
            <c:numRef>
              <c:f>Backend!$D$14:$K$14</c:f>
              <c:numCache>
                <c:formatCode>0.00</c:formatCode>
                <c:ptCount val="8"/>
                <c:pt idx="0">
                  <c:v>1.3584905660377358</c:v>
                </c:pt>
                <c:pt idx="1">
                  <c:v>1.5849056603773586</c:v>
                </c:pt>
                <c:pt idx="2">
                  <c:v>1.7358490566037736</c:v>
                </c:pt>
                <c:pt idx="3">
                  <c:v>1.7735849056603774</c:v>
                </c:pt>
                <c:pt idx="4">
                  <c:v>1.8490566037735849</c:v>
                </c:pt>
                <c:pt idx="5">
                  <c:v>1.7924528301886793</c:v>
                </c:pt>
                <c:pt idx="6">
                  <c:v>1.9056603773584906</c:v>
                </c:pt>
                <c:pt idx="7">
                  <c:v>1.8490566037735849</c:v>
                </c:pt>
              </c:numCache>
            </c:numRef>
          </c:val>
          <c:extLst>
            <c:ext xmlns:c16="http://schemas.microsoft.com/office/drawing/2014/chart" uri="{C3380CC4-5D6E-409C-BE32-E72D297353CC}">
              <c16:uniqueId val="{00000002-D30E-445F-B766-B64D1960B1C0}"/>
            </c:ext>
          </c:extLst>
        </c:ser>
        <c:dLbls>
          <c:showLegendKey val="0"/>
          <c:showVal val="0"/>
          <c:showCatName val="0"/>
          <c:showSerName val="0"/>
          <c:showPercent val="0"/>
          <c:showBubbleSize val="0"/>
        </c:dLbls>
        <c:axId val="319421136"/>
        <c:axId val="319427856"/>
      </c:radarChart>
      <c:catAx>
        <c:axId val="3194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7856"/>
        <c:crosses val="autoZero"/>
        <c:auto val="1"/>
        <c:lblAlgn val="ctr"/>
        <c:lblOffset val="100"/>
        <c:noMultiLvlLbl val="0"/>
      </c:catAx>
      <c:valAx>
        <c:axId val="319427856"/>
        <c:scaling>
          <c:orientation val="minMax"/>
          <c:max val="4"/>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1136"/>
        <c:crosses val="autoZero"/>
        <c:crossBetween val="between"/>
      </c:valAx>
      <c:spPr>
        <a:noFill/>
        <a:ln>
          <a:noFill/>
        </a:ln>
        <a:effectLst/>
      </c:spPr>
    </c:plotArea>
    <c:plotVisOnly val="1"/>
    <c:dispBlanksAs val="span"/>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v>Fonction</c:v>
          </c:tx>
          <c:spPr>
            <a:ln w="28575" cap="rnd">
              <a:solidFill>
                <a:schemeClr val="accent6"/>
              </a:solidFill>
              <a:round/>
            </a:ln>
            <a:effectLst/>
          </c:spPr>
          <c:marker>
            <c:symbol val="none"/>
          </c:marker>
          <c:cat>
            <c:strRef>
              <c:f>'Matrice Tâches-Compétences'!$D$13:$K$13</c:f>
              <c:strCache>
                <c:ptCount val="8"/>
                <c:pt idx="0">
                  <c:v>Modélisation des processus</c:v>
                </c:pt>
                <c:pt idx="1">
                  <c:v>Analyse des données</c:v>
                </c:pt>
                <c:pt idx="2">
                  <c:v>Rédaction fonctionnelle</c:v>
                </c:pt>
                <c:pt idx="3">
                  <c:v>Connaissance des outils métier	</c:v>
                </c:pt>
                <c:pt idx="4">
                  <c:v>Scénarios d’exception / cas limites</c:v>
                </c:pt>
                <c:pt idx="5">
                  <c:v>Suivi des anomalies fonctionnelles</c:v>
                </c:pt>
                <c:pt idx="6">
                  <c:v>Conception des états de reporting</c:v>
                </c:pt>
                <c:pt idx="7">
                  <c:v>Connaissances admin CMRL</c:v>
                </c:pt>
              </c:strCache>
            </c:strRef>
          </c:cat>
          <c:val>
            <c:numRef>
              <c:f>Backend!$D$14:$K$14</c:f>
              <c:numCache>
                <c:formatCode>0.00</c:formatCode>
                <c:ptCount val="8"/>
                <c:pt idx="0">
                  <c:v>1.3584905660377358</c:v>
                </c:pt>
                <c:pt idx="1">
                  <c:v>1.5849056603773586</c:v>
                </c:pt>
                <c:pt idx="2">
                  <c:v>1.7358490566037736</c:v>
                </c:pt>
                <c:pt idx="3">
                  <c:v>1.7735849056603774</c:v>
                </c:pt>
                <c:pt idx="4">
                  <c:v>1.8490566037735849</c:v>
                </c:pt>
                <c:pt idx="5">
                  <c:v>1.7924528301886793</c:v>
                </c:pt>
                <c:pt idx="6">
                  <c:v>1.9056603773584906</c:v>
                </c:pt>
                <c:pt idx="7">
                  <c:v>1.8490566037735849</c:v>
                </c:pt>
              </c:numCache>
            </c:numRef>
          </c:val>
          <c:extLst>
            <c:ext xmlns:c16="http://schemas.microsoft.com/office/drawing/2014/chart" uri="{C3380CC4-5D6E-409C-BE32-E72D297353CC}">
              <c16:uniqueId val="{00000000-336D-4F88-8381-070BB94FC59C}"/>
            </c:ext>
          </c:extLst>
        </c:ser>
        <c:ser>
          <c:idx val="1"/>
          <c:order val="1"/>
          <c:tx>
            <c:v>Ressource</c:v>
          </c:tx>
          <c:spPr>
            <a:ln w="28575" cap="rnd">
              <a:solidFill>
                <a:schemeClr val="accent5"/>
              </a:solidFill>
              <a:round/>
            </a:ln>
            <a:effectLst/>
          </c:spPr>
          <c:marker>
            <c:symbol val="none"/>
          </c:marker>
          <c:cat>
            <c:strRef>
              <c:f>'Matrice Ressources-Compétences'!$D$14:$K$14</c:f>
              <c:strCache>
                <c:ptCount val="8"/>
                <c:pt idx="0">
                  <c:v>Modélisation des processus</c:v>
                </c:pt>
                <c:pt idx="1">
                  <c:v>Analyse des données</c:v>
                </c:pt>
                <c:pt idx="2">
                  <c:v>Rédaction fonctionnelle</c:v>
                </c:pt>
                <c:pt idx="3">
                  <c:v>Connaissance des outils métier	</c:v>
                </c:pt>
                <c:pt idx="4">
                  <c:v>Scénarios d’exception / cas limites</c:v>
                </c:pt>
                <c:pt idx="5">
                  <c:v>Suivi des anomalies fonctionnelles</c:v>
                </c:pt>
                <c:pt idx="6">
                  <c:v>Conception des états de reporting</c:v>
                </c:pt>
                <c:pt idx="7">
                  <c:v>Connaissances admin CMRL</c:v>
                </c:pt>
              </c:strCache>
            </c:strRef>
          </c:cat>
          <c:val>
            <c:numRef>
              <c:f>'Matrice Ressources-Compétences'!$D$15:$K$15</c:f>
              <c:numCache>
                <c:formatCode>General</c:formatCode>
                <c:ptCount val="8"/>
                <c:pt idx="0">
                  <c:v>1</c:v>
                </c:pt>
                <c:pt idx="1">
                  <c:v>1</c:v>
                </c:pt>
                <c:pt idx="2">
                  <c:v>1</c:v>
                </c:pt>
                <c:pt idx="3">
                  <c:v>4</c:v>
                </c:pt>
                <c:pt idx="4">
                  <c:v>1</c:v>
                </c:pt>
                <c:pt idx="5">
                  <c:v>4</c:v>
                </c:pt>
                <c:pt idx="6">
                  <c:v>3</c:v>
                </c:pt>
                <c:pt idx="7">
                  <c:v>2</c:v>
                </c:pt>
              </c:numCache>
            </c:numRef>
          </c:val>
          <c:extLst>
            <c:ext xmlns:c16="http://schemas.microsoft.com/office/drawing/2014/chart" uri="{C3380CC4-5D6E-409C-BE32-E72D297353CC}">
              <c16:uniqueId val="{00000001-336D-4F88-8381-070BB94FC59C}"/>
            </c:ext>
          </c:extLst>
        </c:ser>
        <c:dLbls>
          <c:showLegendKey val="0"/>
          <c:showVal val="0"/>
          <c:showCatName val="0"/>
          <c:showSerName val="0"/>
          <c:showPercent val="0"/>
          <c:showBubbleSize val="0"/>
        </c:dLbls>
        <c:axId val="319421136"/>
        <c:axId val="319427856"/>
      </c:radarChart>
      <c:catAx>
        <c:axId val="3194211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7856"/>
        <c:crosses val="autoZero"/>
        <c:auto val="1"/>
        <c:lblAlgn val="ctr"/>
        <c:lblOffset val="100"/>
        <c:noMultiLvlLbl val="0"/>
      </c:catAx>
      <c:valAx>
        <c:axId val="319427856"/>
        <c:scaling>
          <c:orientation val="minMax"/>
          <c:max val="4"/>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2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hyperlink" Target="https://learn.microsoft.com/fr-fr/deployoffice/security/internet-macros-blocked" TargetMode="External"/><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1446706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1318260</xdr:colOff>
      <xdr:row>5</xdr:row>
      <xdr:rowOff>60960</xdr:rowOff>
    </xdr:from>
    <xdr:to>
      <xdr:col>4</xdr:col>
      <xdr:colOff>667737</xdr:colOff>
      <xdr:row>5</xdr:row>
      <xdr:rowOff>309117</xdr:rowOff>
    </xdr:to>
    <xdr:sp macro="[0]!NavBar" textlink="">
      <xdr:nvSpPr>
        <xdr:cNvPr id="4" name="BtnGuide">
          <a:extLst>
            <a:ext uri="{FF2B5EF4-FFF2-40B4-BE49-F238E27FC236}">
              <a16:creationId xmlns:a16="http://schemas.microsoft.com/office/drawing/2014/main" id="{00000000-0008-0000-0000-000004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717831</xdr:colOff>
      <xdr:row>5</xdr:row>
      <xdr:rowOff>64088</xdr:rowOff>
    </xdr:from>
    <xdr:to>
      <xdr:col>5</xdr:col>
      <xdr:colOff>797493</xdr:colOff>
      <xdr:row>5</xdr:row>
      <xdr:rowOff>312245</xdr:rowOff>
    </xdr:to>
    <xdr:sp macro="[0]!NavBar" textlink="">
      <xdr:nvSpPr>
        <xdr:cNvPr id="5" name="BtnMatTacheComp">
          <a:extLst>
            <a:ext uri="{FF2B5EF4-FFF2-40B4-BE49-F238E27FC236}">
              <a16:creationId xmlns:a16="http://schemas.microsoft.com/office/drawing/2014/main" id="{00000000-0008-0000-0000-000005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5</xdr:col>
      <xdr:colOff>865922</xdr:colOff>
      <xdr:row>5</xdr:row>
      <xdr:rowOff>61229</xdr:rowOff>
    </xdr:from>
    <xdr:to>
      <xdr:col>7</xdr:col>
      <xdr:colOff>994498</xdr:colOff>
      <xdr:row>5</xdr:row>
      <xdr:rowOff>309386</xdr:rowOff>
    </xdr:to>
    <xdr:sp macro="[0]!NavBar" textlink="">
      <xdr:nvSpPr>
        <xdr:cNvPr id="6" name="BtnMatRessComp">
          <a:extLst>
            <a:ext uri="{FF2B5EF4-FFF2-40B4-BE49-F238E27FC236}">
              <a16:creationId xmlns:a16="http://schemas.microsoft.com/office/drawing/2014/main" id="{00000000-0008-0000-0000-000006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8</xdr:col>
      <xdr:colOff>1242921</xdr:colOff>
      <xdr:row>5</xdr:row>
      <xdr:rowOff>62332</xdr:rowOff>
    </xdr:from>
    <xdr:to>
      <xdr:col>10</xdr:col>
      <xdr:colOff>1115880</xdr:colOff>
      <xdr:row>5</xdr:row>
      <xdr:rowOff>310489</xdr:rowOff>
    </xdr:to>
    <xdr:sp macro="[0]!NavBar" textlink="">
      <xdr:nvSpPr>
        <xdr:cNvPr id="7" name="BtnSettings">
          <a:extLst>
            <a:ext uri="{FF2B5EF4-FFF2-40B4-BE49-F238E27FC236}">
              <a16:creationId xmlns:a16="http://schemas.microsoft.com/office/drawing/2014/main" id="{00000000-0008-0000-0000-000007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1034712</xdr:colOff>
      <xdr:row>5</xdr:row>
      <xdr:rowOff>60960</xdr:rowOff>
    </xdr:from>
    <xdr:to>
      <xdr:col>8</xdr:col>
      <xdr:colOff>1168252</xdr:colOff>
      <xdr:row>5</xdr:row>
      <xdr:rowOff>309117</xdr:rowOff>
    </xdr:to>
    <xdr:sp macro="[0]!NavBar" textlink="">
      <xdr:nvSpPr>
        <xdr:cNvPr id="8" name="BtnMatTacheRess">
          <a:extLst>
            <a:ext uri="{FF2B5EF4-FFF2-40B4-BE49-F238E27FC236}">
              <a16:creationId xmlns:a16="http://schemas.microsoft.com/office/drawing/2014/main" id="{00000000-0008-0000-0000-000008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twoCellAnchor editAs="oneCell">
    <xdr:from>
      <xdr:col>1</xdr:col>
      <xdr:colOff>31860</xdr:colOff>
      <xdr:row>10</xdr:row>
      <xdr:rowOff>205740</xdr:rowOff>
    </xdr:from>
    <xdr:to>
      <xdr:col>8</xdr:col>
      <xdr:colOff>1005840</xdr:colOff>
      <xdr:row>17</xdr:row>
      <xdr:rowOff>235853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245220" y="1882140"/>
          <a:ext cx="9363600" cy="1897013"/>
        </a:xfrm>
        <a:prstGeom prst="rect">
          <a:avLst/>
        </a:prstGeom>
      </xdr:spPr>
    </xdr:pic>
    <xdr:clientData/>
  </xdr:twoCellAnchor>
  <xdr:twoCellAnchor>
    <xdr:from>
      <xdr:col>9</xdr:col>
      <xdr:colOff>55726</xdr:colOff>
      <xdr:row>19</xdr:row>
      <xdr:rowOff>196488</xdr:rowOff>
    </xdr:from>
    <xdr:to>
      <xdr:col>10</xdr:col>
      <xdr:colOff>685800</xdr:colOff>
      <xdr:row>19</xdr:row>
      <xdr:rowOff>419100</xdr:rowOff>
    </xdr:to>
    <xdr:sp macro="" textlink="">
      <xdr:nvSpPr>
        <xdr:cNvPr id="10" name="TextBox 5">
          <a:hlinkClick xmlns:r="http://schemas.openxmlformats.org/officeDocument/2006/relationships" r:id="rId3"/>
          <a:extLst>
            <a:ext uri="{FF2B5EF4-FFF2-40B4-BE49-F238E27FC236}">
              <a16:creationId xmlns:a16="http://schemas.microsoft.com/office/drawing/2014/main" id="{00000000-0008-0000-0000-00000A000000}"/>
            </a:ext>
          </a:extLst>
        </xdr:cNvPr>
        <xdr:cNvSpPr txBox="1"/>
      </xdr:nvSpPr>
      <xdr:spPr>
        <a:xfrm>
          <a:off x="9969346" y="4273188"/>
          <a:ext cx="995834" cy="222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1</xdr:col>
      <xdr:colOff>30479</xdr:colOff>
      <xdr:row>20</xdr:row>
      <xdr:rowOff>30480</xdr:rowOff>
    </xdr:from>
    <xdr:to>
      <xdr:col>5</xdr:col>
      <xdr:colOff>815340</xdr:colOff>
      <xdr:row>22</xdr:row>
      <xdr:rowOff>205766</xdr:rowOff>
    </xdr:to>
    <xdr:pic>
      <xdr:nvPicPr>
        <xdr:cNvPr id="11" name="Image 55">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4"/>
        <a:srcRect b="12132"/>
        <a:stretch/>
      </xdr:blipFill>
      <xdr:spPr>
        <a:xfrm>
          <a:off x="243839" y="4572000"/>
          <a:ext cx="5814061" cy="708686"/>
        </a:xfrm>
        <a:prstGeom prst="rect">
          <a:avLst/>
        </a:prstGeom>
      </xdr:spPr>
    </xdr:pic>
    <xdr:clientData/>
  </xdr:twoCellAnchor>
  <xdr:twoCellAnchor>
    <xdr:from>
      <xdr:col>1</xdr:col>
      <xdr:colOff>45719</xdr:colOff>
      <xdr:row>30</xdr:row>
      <xdr:rowOff>17982</xdr:rowOff>
    </xdr:from>
    <xdr:to>
      <xdr:col>12</xdr:col>
      <xdr:colOff>22860</xdr:colOff>
      <xdr:row>41</xdr:row>
      <xdr:rowOff>180537</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259079" y="7218882"/>
          <a:ext cx="12824461" cy="2593335"/>
          <a:chOff x="259079" y="7150302"/>
          <a:chExt cx="12824461" cy="2623815"/>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259079" y="7366042"/>
            <a:ext cx="5554981" cy="2398537"/>
            <a:chOff x="259079" y="7366042"/>
            <a:chExt cx="5554981" cy="2398537"/>
          </a:xfrm>
        </xdr:grpSpPr>
        <xdr:pic>
          <xdr:nvPicPr>
            <xdr:cNvPr id="18" name="Imag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5"/>
            <a:srcRect l="6891" r="26887"/>
            <a:stretch/>
          </xdr:blipFill>
          <xdr:spPr>
            <a:xfrm>
              <a:off x="259079" y="7366042"/>
              <a:ext cx="5554981" cy="2398537"/>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373380" y="7703820"/>
              <a:ext cx="1097280" cy="236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4" name="Groupe 13">
            <a:extLst>
              <a:ext uri="{FF2B5EF4-FFF2-40B4-BE49-F238E27FC236}">
                <a16:creationId xmlns:a16="http://schemas.microsoft.com/office/drawing/2014/main" id="{00000000-0008-0000-0000-00000E000000}"/>
              </a:ext>
            </a:extLst>
          </xdr:cNvPr>
          <xdr:cNvGrpSpPr/>
        </xdr:nvGrpSpPr>
        <xdr:grpSpPr>
          <a:xfrm>
            <a:off x="7185660" y="7150302"/>
            <a:ext cx="5897880" cy="2623815"/>
            <a:chOff x="7185660" y="7150302"/>
            <a:chExt cx="5897880" cy="2623815"/>
          </a:xfrm>
        </xdr:grpSpPr>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rotWithShape="1">
            <a:blip xmlns:r="http://schemas.openxmlformats.org/officeDocument/2006/relationships" r:embed="rId6"/>
            <a:srcRect r="9166"/>
            <a:stretch/>
          </xdr:blipFill>
          <xdr:spPr>
            <a:xfrm>
              <a:off x="7185660" y="7150302"/>
              <a:ext cx="5897880" cy="2623815"/>
            </a:xfrm>
            <a:prstGeom prst="rect">
              <a:avLst/>
            </a:prstGeom>
          </xdr:spPr>
        </xdr:pic>
        <xdr:sp macro="" textlink="">
          <xdr:nvSpPr>
            <xdr:cNvPr id="17" name="Rectangle 16">
              <a:extLst>
                <a:ext uri="{FF2B5EF4-FFF2-40B4-BE49-F238E27FC236}">
                  <a16:creationId xmlns:a16="http://schemas.microsoft.com/office/drawing/2014/main" id="{00000000-0008-0000-0000-000011000000}"/>
                </a:ext>
              </a:extLst>
            </xdr:cNvPr>
            <xdr:cNvSpPr/>
          </xdr:nvSpPr>
          <xdr:spPr>
            <a:xfrm>
              <a:off x="7581900" y="8747760"/>
              <a:ext cx="550164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5" name="Flèche : droite 14">
            <a:extLst>
              <a:ext uri="{FF2B5EF4-FFF2-40B4-BE49-F238E27FC236}">
                <a16:creationId xmlns:a16="http://schemas.microsoft.com/office/drawing/2014/main" id="{00000000-0008-0000-0000-00000F000000}"/>
              </a:ext>
            </a:extLst>
          </xdr:cNvPr>
          <xdr:cNvSpPr/>
        </xdr:nvSpPr>
        <xdr:spPr>
          <a:xfrm>
            <a:off x="6210300" y="8496300"/>
            <a:ext cx="525780" cy="3429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83820</xdr:colOff>
      <xdr:row>44</xdr:row>
      <xdr:rowOff>179529</xdr:rowOff>
    </xdr:from>
    <xdr:to>
      <xdr:col>4</xdr:col>
      <xdr:colOff>635439</xdr:colOff>
      <xdr:row>50</xdr:row>
      <xdr:rowOff>131225</xdr:rowOff>
    </xdr:to>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97180" y="10359849"/>
          <a:ext cx="3957759" cy="1048976"/>
        </a:xfrm>
        <a:prstGeom prst="rect">
          <a:avLst/>
        </a:prstGeom>
      </xdr:spPr>
    </xdr:pic>
    <xdr:clientData/>
  </xdr:twoCellAnchor>
  <xdr:twoCellAnchor>
    <xdr:from>
      <xdr:col>1</xdr:col>
      <xdr:colOff>91440</xdr:colOff>
      <xdr:row>69</xdr:row>
      <xdr:rowOff>57687</xdr:rowOff>
    </xdr:from>
    <xdr:to>
      <xdr:col>11</xdr:col>
      <xdr:colOff>746760</xdr:colOff>
      <xdr:row>81</xdr:row>
      <xdr:rowOff>53340</xdr:rowOff>
    </xdr:to>
    <xdr:grpSp>
      <xdr:nvGrpSpPr>
        <xdr:cNvPr id="22" name="Groupe 21">
          <a:extLst>
            <a:ext uri="{FF2B5EF4-FFF2-40B4-BE49-F238E27FC236}">
              <a16:creationId xmlns:a16="http://schemas.microsoft.com/office/drawing/2014/main" id="{00000000-0008-0000-0000-000016000000}"/>
            </a:ext>
          </a:extLst>
        </xdr:cNvPr>
        <xdr:cNvGrpSpPr/>
      </xdr:nvGrpSpPr>
      <xdr:grpSpPr>
        <a:xfrm>
          <a:off x="304800" y="15259587"/>
          <a:ext cx="12336780" cy="2373093"/>
          <a:chOff x="304800" y="14794767"/>
          <a:chExt cx="12336780" cy="2373093"/>
        </a:xfrm>
      </xdr:grpSpPr>
      <xdr:grpSp>
        <xdr:nvGrpSpPr>
          <xdr:cNvPr id="23" name="Groupe 22">
            <a:extLst>
              <a:ext uri="{FF2B5EF4-FFF2-40B4-BE49-F238E27FC236}">
                <a16:creationId xmlns:a16="http://schemas.microsoft.com/office/drawing/2014/main" id="{00000000-0008-0000-0000-000017000000}"/>
              </a:ext>
            </a:extLst>
          </xdr:cNvPr>
          <xdr:cNvGrpSpPr/>
        </xdr:nvGrpSpPr>
        <xdr:grpSpPr>
          <a:xfrm>
            <a:off x="304800" y="14794767"/>
            <a:ext cx="5601566" cy="2373093"/>
            <a:chOff x="304800" y="14794767"/>
            <a:chExt cx="5601566" cy="2373093"/>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8"/>
            <a:stretch>
              <a:fillRect/>
            </a:stretch>
          </xdr:blipFill>
          <xdr:spPr>
            <a:xfrm>
              <a:off x="304800" y="14794767"/>
              <a:ext cx="5601566" cy="2117430"/>
            </a:xfrm>
            <a:prstGeom prst="rect">
              <a:avLst/>
            </a:prstGeom>
          </xdr:spPr>
        </xdr:pic>
        <xdr:sp macro="" textlink="">
          <xdr:nvSpPr>
            <xdr:cNvPr id="28" name="ZoneTexte 27">
              <a:extLst>
                <a:ext uri="{FF2B5EF4-FFF2-40B4-BE49-F238E27FC236}">
                  <a16:creationId xmlns:a16="http://schemas.microsoft.com/office/drawing/2014/main" id="{00000000-0008-0000-0000-00001C000000}"/>
                </a:ext>
              </a:extLst>
            </xdr:cNvPr>
            <xdr:cNvSpPr txBox="1"/>
          </xdr:nvSpPr>
          <xdr:spPr>
            <a:xfrm>
              <a:off x="609600" y="16969740"/>
              <a:ext cx="470916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t>Onglet "Matrice Tâches-Compétences"</a:t>
              </a:r>
            </a:p>
          </xdr:txBody>
        </xdr:sp>
      </xdr:grpSp>
      <xdr:grpSp>
        <xdr:nvGrpSpPr>
          <xdr:cNvPr id="24" name="Groupe 23">
            <a:extLst>
              <a:ext uri="{FF2B5EF4-FFF2-40B4-BE49-F238E27FC236}">
                <a16:creationId xmlns:a16="http://schemas.microsoft.com/office/drawing/2014/main" id="{00000000-0008-0000-0000-000018000000}"/>
              </a:ext>
            </a:extLst>
          </xdr:cNvPr>
          <xdr:cNvGrpSpPr/>
        </xdr:nvGrpSpPr>
        <xdr:grpSpPr>
          <a:xfrm>
            <a:off x="6896100" y="14821559"/>
            <a:ext cx="5745480" cy="2308201"/>
            <a:chOff x="6896100" y="14821559"/>
            <a:chExt cx="5745480" cy="2308201"/>
          </a:xfrm>
        </xdr:grpSpPr>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9"/>
            <a:srcRect l="-1" r="-1021" b="15780"/>
            <a:stretch/>
          </xdr:blipFill>
          <xdr:spPr>
            <a:xfrm>
              <a:off x="6896100" y="14821559"/>
              <a:ext cx="5745480" cy="2071981"/>
            </a:xfrm>
            <a:prstGeom prst="rect">
              <a:avLst/>
            </a:prstGeom>
          </xdr:spPr>
        </xdr:pic>
        <xdr:sp macro="" textlink="">
          <xdr:nvSpPr>
            <xdr:cNvPr id="26" name="ZoneTexte 25">
              <a:extLst>
                <a:ext uri="{FF2B5EF4-FFF2-40B4-BE49-F238E27FC236}">
                  <a16:creationId xmlns:a16="http://schemas.microsoft.com/office/drawing/2014/main" id="{00000000-0008-0000-0000-00001A000000}"/>
                </a:ext>
              </a:extLst>
            </xdr:cNvPr>
            <xdr:cNvSpPr txBox="1"/>
          </xdr:nvSpPr>
          <xdr:spPr>
            <a:xfrm>
              <a:off x="7650480" y="16931640"/>
              <a:ext cx="470916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t>Onglet "Matrice Ressources-Compétences"</a:t>
              </a:r>
            </a:p>
          </xdr:txBody>
        </xdr:sp>
      </xdr:grpSp>
    </xdr:grpSp>
    <xdr:clientData/>
  </xdr:twoCellAnchor>
  <xdr:twoCellAnchor editAs="oneCell">
    <xdr:from>
      <xdr:col>1</xdr:col>
      <xdr:colOff>22860</xdr:colOff>
      <xdr:row>91</xdr:row>
      <xdr:rowOff>76200</xdr:rowOff>
    </xdr:from>
    <xdr:to>
      <xdr:col>8</xdr:col>
      <xdr:colOff>865352</xdr:colOff>
      <xdr:row>102</xdr:row>
      <xdr:rowOff>104443</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10"/>
        <a:srcRect t="5360"/>
        <a:stretch/>
      </xdr:blipFill>
      <xdr:spPr>
        <a:xfrm>
          <a:off x="236220" y="19210020"/>
          <a:ext cx="9232112" cy="2039923"/>
        </a:xfrm>
        <a:prstGeom prst="rect">
          <a:avLst/>
        </a:prstGeom>
      </xdr:spPr>
    </xdr:pic>
    <xdr:clientData/>
  </xdr:twoCellAnchor>
  <xdr:twoCellAnchor editAs="oneCell">
    <xdr:from>
      <xdr:col>1</xdr:col>
      <xdr:colOff>31918</xdr:colOff>
      <xdr:row>111</xdr:row>
      <xdr:rowOff>83820</xdr:rowOff>
    </xdr:from>
    <xdr:to>
      <xdr:col>8</xdr:col>
      <xdr:colOff>617219</xdr:colOff>
      <xdr:row>119</xdr:row>
      <xdr:rowOff>114005</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1"/>
        <a:stretch>
          <a:fillRect/>
        </a:stretch>
      </xdr:blipFill>
      <xdr:spPr>
        <a:xfrm>
          <a:off x="245278" y="26700480"/>
          <a:ext cx="8974921" cy="1493225"/>
        </a:xfrm>
        <a:prstGeom prst="rect">
          <a:avLst/>
        </a:prstGeom>
      </xdr:spPr>
    </xdr:pic>
    <xdr:clientData/>
  </xdr:twoCellAnchor>
  <xdr:twoCellAnchor editAs="oneCell">
    <xdr:from>
      <xdr:col>0</xdr:col>
      <xdr:colOff>167640</xdr:colOff>
      <xdr:row>132</xdr:row>
      <xdr:rowOff>0</xdr:rowOff>
    </xdr:from>
    <xdr:to>
      <xdr:col>8</xdr:col>
      <xdr:colOff>975360</xdr:colOff>
      <xdr:row>135</xdr:row>
      <xdr:rowOff>45606</xdr:rowOff>
    </xdr:to>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rotWithShape="1">
        <a:blip xmlns:r="http://schemas.openxmlformats.org/officeDocument/2006/relationships" r:embed="rId12"/>
        <a:srcRect t="7638" r="5797"/>
        <a:stretch/>
      </xdr:blipFill>
      <xdr:spPr>
        <a:xfrm>
          <a:off x="167640" y="30685740"/>
          <a:ext cx="9410700" cy="594246"/>
        </a:xfrm>
        <a:prstGeom prst="rect">
          <a:avLst/>
        </a:prstGeom>
      </xdr:spPr>
    </xdr:pic>
    <xdr:clientData/>
  </xdr:twoCellAnchor>
  <xdr:twoCellAnchor>
    <xdr:from>
      <xdr:col>1</xdr:col>
      <xdr:colOff>15240</xdr:colOff>
      <xdr:row>123</xdr:row>
      <xdr:rowOff>154586</xdr:rowOff>
    </xdr:from>
    <xdr:to>
      <xdr:col>8</xdr:col>
      <xdr:colOff>426720</xdr:colOff>
      <xdr:row>129</xdr:row>
      <xdr:rowOff>142652</xdr:rowOff>
    </xdr:to>
    <xdr:grpSp>
      <xdr:nvGrpSpPr>
        <xdr:cNvPr id="32" name="Groupe 31">
          <a:extLst>
            <a:ext uri="{FF2B5EF4-FFF2-40B4-BE49-F238E27FC236}">
              <a16:creationId xmlns:a16="http://schemas.microsoft.com/office/drawing/2014/main" id="{00000000-0008-0000-0000-000020000000}"/>
            </a:ext>
          </a:extLst>
        </xdr:cNvPr>
        <xdr:cNvGrpSpPr/>
      </xdr:nvGrpSpPr>
      <xdr:grpSpPr>
        <a:xfrm>
          <a:off x="228600" y="29979266"/>
          <a:ext cx="8801100" cy="1176786"/>
          <a:chOff x="228600" y="29057246"/>
          <a:chExt cx="8801100" cy="1176786"/>
        </a:xfrm>
      </xdr:grpSpPr>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3"/>
          <a:stretch>
            <a:fillRect/>
          </a:stretch>
        </xdr:blipFill>
        <xdr:spPr>
          <a:xfrm>
            <a:off x="228600" y="29057246"/>
            <a:ext cx="8801100" cy="1176786"/>
          </a:xfrm>
          <a:prstGeom prst="rect">
            <a:avLst/>
          </a:prstGeom>
        </xdr:spPr>
      </xdr:pic>
      <xdr:sp macro="" textlink="">
        <xdr:nvSpPr>
          <xdr:cNvPr id="34" name="Rectangle 33">
            <a:extLst>
              <a:ext uri="{FF2B5EF4-FFF2-40B4-BE49-F238E27FC236}">
                <a16:creationId xmlns:a16="http://schemas.microsoft.com/office/drawing/2014/main" id="{00000000-0008-0000-0000-000022000000}"/>
              </a:ext>
            </a:extLst>
          </xdr:cNvPr>
          <xdr:cNvSpPr/>
        </xdr:nvSpPr>
        <xdr:spPr>
          <a:xfrm>
            <a:off x="203454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 name="Rectangle 34">
            <a:extLst>
              <a:ext uri="{FF2B5EF4-FFF2-40B4-BE49-F238E27FC236}">
                <a16:creationId xmlns:a16="http://schemas.microsoft.com/office/drawing/2014/main" id="{00000000-0008-0000-0000-000023000000}"/>
              </a:ext>
            </a:extLst>
          </xdr:cNvPr>
          <xdr:cNvSpPr/>
        </xdr:nvSpPr>
        <xdr:spPr>
          <a:xfrm>
            <a:off x="261366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6" name="Rectangle 35">
            <a:extLst>
              <a:ext uri="{FF2B5EF4-FFF2-40B4-BE49-F238E27FC236}">
                <a16:creationId xmlns:a16="http://schemas.microsoft.com/office/drawing/2014/main" id="{00000000-0008-0000-0000-000024000000}"/>
              </a:ext>
            </a:extLst>
          </xdr:cNvPr>
          <xdr:cNvSpPr/>
        </xdr:nvSpPr>
        <xdr:spPr>
          <a:xfrm>
            <a:off x="3215640" y="2970276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7" name="Rectangle 36">
            <a:extLst>
              <a:ext uri="{FF2B5EF4-FFF2-40B4-BE49-F238E27FC236}">
                <a16:creationId xmlns:a16="http://schemas.microsoft.com/office/drawing/2014/main" id="{00000000-0008-0000-0000-000025000000}"/>
              </a:ext>
            </a:extLst>
          </xdr:cNvPr>
          <xdr:cNvSpPr/>
        </xdr:nvSpPr>
        <xdr:spPr>
          <a:xfrm>
            <a:off x="380238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8" name="Rectangle 37">
            <a:extLst>
              <a:ext uri="{FF2B5EF4-FFF2-40B4-BE49-F238E27FC236}">
                <a16:creationId xmlns:a16="http://schemas.microsoft.com/office/drawing/2014/main" id="{00000000-0008-0000-0000-000026000000}"/>
              </a:ext>
            </a:extLst>
          </xdr:cNvPr>
          <xdr:cNvSpPr/>
        </xdr:nvSpPr>
        <xdr:spPr>
          <a:xfrm>
            <a:off x="438150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9" name="Rectangle 38">
            <a:extLst>
              <a:ext uri="{FF2B5EF4-FFF2-40B4-BE49-F238E27FC236}">
                <a16:creationId xmlns:a16="http://schemas.microsoft.com/office/drawing/2014/main" id="{00000000-0008-0000-0000-000027000000}"/>
              </a:ext>
            </a:extLst>
          </xdr:cNvPr>
          <xdr:cNvSpPr/>
        </xdr:nvSpPr>
        <xdr:spPr>
          <a:xfrm>
            <a:off x="4960620" y="2971800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0" name="Rectangle 39">
            <a:extLst>
              <a:ext uri="{FF2B5EF4-FFF2-40B4-BE49-F238E27FC236}">
                <a16:creationId xmlns:a16="http://schemas.microsoft.com/office/drawing/2014/main" id="{00000000-0008-0000-0000-000028000000}"/>
              </a:ext>
            </a:extLst>
          </xdr:cNvPr>
          <xdr:cNvSpPr/>
        </xdr:nvSpPr>
        <xdr:spPr>
          <a:xfrm>
            <a:off x="554736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1" name="Rectangle 40">
            <a:extLst>
              <a:ext uri="{FF2B5EF4-FFF2-40B4-BE49-F238E27FC236}">
                <a16:creationId xmlns:a16="http://schemas.microsoft.com/office/drawing/2014/main" id="{00000000-0008-0000-0000-000029000000}"/>
              </a:ext>
            </a:extLst>
          </xdr:cNvPr>
          <xdr:cNvSpPr/>
        </xdr:nvSpPr>
        <xdr:spPr>
          <a:xfrm>
            <a:off x="613410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2" name="Rectangle 41">
            <a:extLst>
              <a:ext uri="{FF2B5EF4-FFF2-40B4-BE49-F238E27FC236}">
                <a16:creationId xmlns:a16="http://schemas.microsoft.com/office/drawing/2014/main" id="{00000000-0008-0000-0000-00002A000000}"/>
              </a:ext>
            </a:extLst>
          </xdr:cNvPr>
          <xdr:cNvSpPr/>
        </xdr:nvSpPr>
        <xdr:spPr>
          <a:xfrm>
            <a:off x="671322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42">
            <a:extLst>
              <a:ext uri="{FF2B5EF4-FFF2-40B4-BE49-F238E27FC236}">
                <a16:creationId xmlns:a16="http://schemas.microsoft.com/office/drawing/2014/main" id="{00000000-0008-0000-0000-00002B000000}"/>
              </a:ext>
            </a:extLst>
          </xdr:cNvPr>
          <xdr:cNvSpPr/>
        </xdr:nvSpPr>
        <xdr:spPr>
          <a:xfrm>
            <a:off x="728472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00000000-0008-0000-0000-00002C000000}"/>
              </a:ext>
            </a:extLst>
          </xdr:cNvPr>
          <xdr:cNvSpPr/>
        </xdr:nvSpPr>
        <xdr:spPr>
          <a:xfrm>
            <a:off x="786384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 name="Rectangle 44">
            <a:extLst>
              <a:ext uri="{FF2B5EF4-FFF2-40B4-BE49-F238E27FC236}">
                <a16:creationId xmlns:a16="http://schemas.microsoft.com/office/drawing/2014/main" id="{00000000-0008-0000-0000-00002D000000}"/>
              </a:ext>
            </a:extLst>
          </xdr:cNvPr>
          <xdr:cNvSpPr/>
        </xdr:nvSpPr>
        <xdr:spPr>
          <a:xfrm>
            <a:off x="845058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38100</xdr:colOff>
      <xdr:row>137</xdr:row>
      <xdr:rowOff>129540</xdr:rowOff>
    </xdr:from>
    <xdr:to>
      <xdr:col>8</xdr:col>
      <xdr:colOff>449580</xdr:colOff>
      <xdr:row>144</xdr:row>
      <xdr:rowOff>10926</xdr:rowOff>
    </xdr:to>
    <xdr:grpSp>
      <xdr:nvGrpSpPr>
        <xdr:cNvPr id="46" name="Groupe 45">
          <a:extLst>
            <a:ext uri="{FF2B5EF4-FFF2-40B4-BE49-F238E27FC236}">
              <a16:creationId xmlns:a16="http://schemas.microsoft.com/office/drawing/2014/main" id="{00000000-0008-0000-0000-00002E000000}"/>
            </a:ext>
          </a:extLst>
        </xdr:cNvPr>
        <xdr:cNvGrpSpPr/>
      </xdr:nvGrpSpPr>
      <xdr:grpSpPr>
        <a:xfrm>
          <a:off x="251460" y="32727900"/>
          <a:ext cx="8801100" cy="1176786"/>
          <a:chOff x="251460" y="31805880"/>
          <a:chExt cx="8801100" cy="1176786"/>
        </a:xfrm>
      </xdr:grpSpPr>
      <xdr:pic>
        <xdr:nvPicPr>
          <xdr:cNvPr id="47" name="Imag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3"/>
          <a:stretch>
            <a:fillRect/>
          </a:stretch>
        </xdr:blipFill>
        <xdr:spPr>
          <a:xfrm>
            <a:off x="251460" y="31805880"/>
            <a:ext cx="8801100" cy="1176786"/>
          </a:xfrm>
          <a:prstGeom prst="rect">
            <a:avLst/>
          </a:prstGeom>
        </xdr:spPr>
      </xdr:pic>
      <xdr:sp macro="" textlink="">
        <xdr:nvSpPr>
          <xdr:cNvPr id="48" name="Rectangle 47">
            <a:extLst>
              <a:ext uri="{FF2B5EF4-FFF2-40B4-BE49-F238E27FC236}">
                <a16:creationId xmlns:a16="http://schemas.microsoft.com/office/drawing/2014/main" id="{00000000-0008-0000-0000-000030000000}"/>
              </a:ext>
            </a:extLst>
          </xdr:cNvPr>
          <xdr:cNvSpPr/>
        </xdr:nvSpPr>
        <xdr:spPr>
          <a:xfrm>
            <a:off x="8199120" y="32461200"/>
            <a:ext cx="274320" cy="3276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167640</xdr:colOff>
      <xdr:row>57</xdr:row>
      <xdr:rowOff>52600</xdr:rowOff>
    </xdr:from>
    <xdr:to>
      <xdr:col>8</xdr:col>
      <xdr:colOff>55838</xdr:colOff>
      <xdr:row>67</xdr:row>
      <xdr:rowOff>5416</xdr:rowOff>
    </xdr:to>
    <xdr:pic>
      <xdr:nvPicPr>
        <xdr:cNvPr id="49" name="Imag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14"/>
        <a:stretch>
          <a:fillRect/>
        </a:stretch>
      </xdr:blipFill>
      <xdr:spPr>
        <a:xfrm>
          <a:off x="167640" y="12808480"/>
          <a:ext cx="8491178" cy="19340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175260</xdr:rowOff>
    </xdr:from>
    <xdr:to>
      <xdr:col>1</xdr:col>
      <xdr:colOff>2255520</xdr:colOff>
      <xdr:row>4</xdr:row>
      <xdr:rowOff>99060</xdr:rowOff>
    </xdr:to>
    <xdr:pic>
      <xdr:nvPicPr>
        <xdr:cNvPr id="2" name="Picture 1">
          <a:extLst>
            <a:ext uri="{FF2B5EF4-FFF2-40B4-BE49-F238E27FC236}">
              <a16:creationId xmlns:a16="http://schemas.microsoft.com/office/drawing/2014/main" id="{00000000-0008-0000-01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 y="175260"/>
          <a:ext cx="225552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2598420</xdr:colOff>
      <xdr:row>5</xdr:row>
      <xdr:rowOff>60960</xdr:rowOff>
    </xdr:from>
    <xdr:to>
      <xdr:col>3</xdr:col>
      <xdr:colOff>80997</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100-000006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131091</xdr:colOff>
      <xdr:row>5</xdr:row>
      <xdr:rowOff>64088</xdr:rowOff>
    </xdr:from>
    <xdr:to>
      <xdr:col>4</xdr:col>
      <xdr:colOff>843213</xdr:colOff>
      <xdr:row>5</xdr:row>
      <xdr:rowOff>312245</xdr:rowOff>
    </xdr:to>
    <xdr:sp macro="[0]!NavBar" textlink="">
      <xdr:nvSpPr>
        <xdr:cNvPr id="7" name="BtnMatTacheComp">
          <a:extLst>
            <a:ext uri="{FF2B5EF4-FFF2-40B4-BE49-F238E27FC236}">
              <a16:creationId xmlns:a16="http://schemas.microsoft.com/office/drawing/2014/main" id="{00000000-0008-0000-0100-000007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4</xdr:col>
      <xdr:colOff>911642</xdr:colOff>
      <xdr:row>5</xdr:row>
      <xdr:rowOff>61229</xdr:rowOff>
    </xdr:from>
    <xdr:to>
      <xdr:col>6</xdr:col>
      <xdr:colOff>857338</xdr:colOff>
      <xdr:row>5</xdr:row>
      <xdr:rowOff>309386</xdr:rowOff>
    </xdr:to>
    <xdr:sp macro="[0]!NavBar" textlink="">
      <xdr:nvSpPr>
        <xdr:cNvPr id="8" name="BtnMatRessComp">
          <a:extLst>
            <a:ext uri="{FF2B5EF4-FFF2-40B4-BE49-F238E27FC236}">
              <a16:creationId xmlns:a16="http://schemas.microsoft.com/office/drawing/2014/main" id="{00000000-0008-0000-0100-000008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8</xdr:col>
      <xdr:colOff>709521</xdr:colOff>
      <xdr:row>5</xdr:row>
      <xdr:rowOff>62332</xdr:rowOff>
    </xdr:from>
    <xdr:to>
      <xdr:col>10</xdr:col>
      <xdr:colOff>292920</xdr:colOff>
      <xdr:row>5</xdr:row>
      <xdr:rowOff>310489</xdr:rowOff>
    </xdr:to>
    <xdr:sp macro="[0]!NavBar" textlink="">
      <xdr:nvSpPr>
        <xdr:cNvPr id="9" name="BtnSettings">
          <a:extLst>
            <a:ext uri="{FF2B5EF4-FFF2-40B4-BE49-F238E27FC236}">
              <a16:creationId xmlns:a16="http://schemas.microsoft.com/office/drawing/2014/main" id="{00000000-0008-0000-0100-000009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897552</xdr:colOff>
      <xdr:row>5</xdr:row>
      <xdr:rowOff>60960</xdr:rowOff>
    </xdr:from>
    <xdr:to>
      <xdr:col>8</xdr:col>
      <xdr:colOff>634852</xdr:colOff>
      <xdr:row>5</xdr:row>
      <xdr:rowOff>309117</xdr:rowOff>
    </xdr:to>
    <xdr:sp macro="[0]!NavBar" textlink="">
      <xdr:nvSpPr>
        <xdr:cNvPr id="10" name="BtnMatTacheRess">
          <a:extLst>
            <a:ext uri="{FF2B5EF4-FFF2-40B4-BE49-F238E27FC236}">
              <a16:creationId xmlns:a16="http://schemas.microsoft.com/office/drawing/2014/main" id="{00000000-0008-0000-0100-00000A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174166</xdr:colOff>
      <xdr:row>4</xdr:row>
      <xdr:rowOff>76200</xdr:rowOff>
    </xdr:to>
    <xdr:pic>
      <xdr:nvPicPr>
        <xdr:cNvPr id="2" name="Picture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45720</xdr:colOff>
      <xdr:row>5</xdr:row>
      <xdr:rowOff>60960</xdr:rowOff>
    </xdr:from>
    <xdr:to>
      <xdr:col>2</xdr:col>
      <xdr:colOff>1536417</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200-000006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2</xdr:col>
      <xdr:colOff>1586511</xdr:colOff>
      <xdr:row>5</xdr:row>
      <xdr:rowOff>64088</xdr:rowOff>
    </xdr:from>
    <xdr:to>
      <xdr:col>5</xdr:col>
      <xdr:colOff>3108</xdr:colOff>
      <xdr:row>5</xdr:row>
      <xdr:rowOff>312245</xdr:rowOff>
    </xdr:to>
    <xdr:sp macro="[0]!NavBar" textlink="">
      <xdr:nvSpPr>
        <xdr:cNvPr id="7" name="BtnMatTacheComp">
          <a:extLst>
            <a:ext uri="{FF2B5EF4-FFF2-40B4-BE49-F238E27FC236}">
              <a16:creationId xmlns:a16="http://schemas.microsoft.com/office/drawing/2014/main" id="{00000000-0008-0000-0200-000007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5</xdr:col>
      <xdr:colOff>50582</xdr:colOff>
      <xdr:row>5</xdr:row>
      <xdr:rowOff>61229</xdr:rowOff>
    </xdr:from>
    <xdr:to>
      <xdr:col>7</xdr:col>
      <xdr:colOff>400138</xdr:colOff>
      <xdr:row>5</xdr:row>
      <xdr:rowOff>309386</xdr:rowOff>
    </xdr:to>
    <xdr:sp macro="[0]!NavBar" textlink="">
      <xdr:nvSpPr>
        <xdr:cNvPr id="8" name="BtnMatRessComp">
          <a:extLst>
            <a:ext uri="{FF2B5EF4-FFF2-40B4-BE49-F238E27FC236}">
              <a16:creationId xmlns:a16="http://schemas.microsoft.com/office/drawing/2014/main" id="{00000000-0008-0000-0200-000008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9</xdr:col>
      <xdr:colOff>648561</xdr:colOff>
      <xdr:row>5</xdr:row>
      <xdr:rowOff>62332</xdr:rowOff>
    </xdr:from>
    <xdr:to>
      <xdr:col>11</xdr:col>
      <xdr:colOff>620580</xdr:colOff>
      <xdr:row>5</xdr:row>
      <xdr:rowOff>310489</xdr:rowOff>
    </xdr:to>
    <xdr:sp macro="[0]!NavBar" textlink="">
      <xdr:nvSpPr>
        <xdr:cNvPr id="9" name="BtnSettings">
          <a:extLst>
            <a:ext uri="{FF2B5EF4-FFF2-40B4-BE49-F238E27FC236}">
              <a16:creationId xmlns:a16="http://schemas.microsoft.com/office/drawing/2014/main" id="{00000000-0008-0000-0200-000009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440352</xdr:colOff>
      <xdr:row>5</xdr:row>
      <xdr:rowOff>60960</xdr:rowOff>
    </xdr:from>
    <xdr:to>
      <xdr:col>9</xdr:col>
      <xdr:colOff>573892</xdr:colOff>
      <xdr:row>5</xdr:row>
      <xdr:rowOff>309117</xdr:rowOff>
    </xdr:to>
    <xdr:sp macro="[0]!NavBar" textlink="">
      <xdr:nvSpPr>
        <xdr:cNvPr id="10" name="BtnMatTacheRess">
          <a:extLst>
            <a:ext uri="{FF2B5EF4-FFF2-40B4-BE49-F238E27FC236}">
              <a16:creationId xmlns:a16="http://schemas.microsoft.com/office/drawing/2014/main" id="{00000000-0008-0000-0200-00000A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1</xdr:col>
      <xdr:colOff>2255520</xdr:colOff>
      <xdr:row>4</xdr:row>
      <xdr:rowOff>38100</xdr:rowOff>
    </xdr:to>
    <xdr:pic>
      <xdr:nvPicPr>
        <xdr:cNvPr id="4" name="Picture 3">
          <a:extLst>
            <a:ext uri="{FF2B5EF4-FFF2-40B4-BE49-F238E27FC236}">
              <a16:creationId xmlns:a16="http://schemas.microsoft.com/office/drawing/2014/main" id="{53FC77BA-9797-4723-AC99-65FCA857D58A}"/>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152400"/>
          <a:ext cx="225552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3459480</xdr:colOff>
      <xdr:row>5</xdr:row>
      <xdr:rowOff>68580</xdr:rowOff>
    </xdr:from>
    <xdr:to>
      <xdr:col>2</xdr:col>
      <xdr:colOff>637257</xdr:colOff>
      <xdr:row>5</xdr:row>
      <xdr:rowOff>316737</xdr:rowOff>
    </xdr:to>
    <xdr:sp macro="" textlink="">
      <xdr:nvSpPr>
        <xdr:cNvPr id="10" name="BtnGuide">
          <a:hlinkClick xmlns:r="http://schemas.openxmlformats.org/officeDocument/2006/relationships" r:id="rId2"/>
          <a:extLst>
            <a:ext uri="{FF2B5EF4-FFF2-40B4-BE49-F238E27FC236}">
              <a16:creationId xmlns:a16="http://schemas.microsoft.com/office/drawing/2014/main" id="{43219F4A-9CAD-417E-9522-381B49D32E91}"/>
            </a:ext>
          </a:extLst>
        </xdr:cNvPr>
        <xdr:cNvSpPr/>
      </xdr:nvSpPr>
      <xdr:spPr>
        <a:xfrm>
          <a:off x="3680460" y="822960"/>
          <a:ext cx="147545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2</xdr:col>
      <xdr:colOff>687351</xdr:colOff>
      <xdr:row>5</xdr:row>
      <xdr:rowOff>71708</xdr:rowOff>
    </xdr:from>
    <xdr:to>
      <xdr:col>4</xdr:col>
      <xdr:colOff>759393</xdr:colOff>
      <xdr:row>5</xdr:row>
      <xdr:rowOff>319865</xdr:rowOff>
    </xdr:to>
    <xdr:sp macro="[0]!NavBar" textlink="">
      <xdr:nvSpPr>
        <xdr:cNvPr id="11" name="BtnMatTacheComp">
          <a:extLst>
            <a:ext uri="{FF2B5EF4-FFF2-40B4-BE49-F238E27FC236}">
              <a16:creationId xmlns:a16="http://schemas.microsoft.com/office/drawing/2014/main" id="{BC0AE20D-41B9-4D6D-AFBA-5120BD3E0F67}"/>
            </a:ext>
          </a:extLst>
        </xdr:cNvPr>
        <xdr:cNvSpPr/>
      </xdr:nvSpPr>
      <xdr:spPr>
        <a:xfrm>
          <a:off x="5206011" y="826088"/>
          <a:ext cx="16874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5</xdr:col>
      <xdr:colOff>20102</xdr:colOff>
      <xdr:row>5</xdr:row>
      <xdr:rowOff>68849</xdr:rowOff>
    </xdr:from>
    <xdr:to>
      <xdr:col>7</xdr:col>
      <xdr:colOff>125818</xdr:colOff>
      <xdr:row>5</xdr:row>
      <xdr:rowOff>317006</xdr:rowOff>
    </xdr:to>
    <xdr:sp macro="[0]!NavBar" textlink="">
      <xdr:nvSpPr>
        <xdr:cNvPr id="12" name="BtnMatRessComp">
          <a:extLst>
            <a:ext uri="{FF2B5EF4-FFF2-40B4-BE49-F238E27FC236}">
              <a16:creationId xmlns:a16="http://schemas.microsoft.com/office/drawing/2014/main" id="{6644D9BB-3EE6-4323-828D-162B01DF9D80}"/>
            </a:ext>
          </a:extLst>
        </xdr:cNvPr>
        <xdr:cNvSpPr/>
      </xdr:nvSpPr>
      <xdr:spPr>
        <a:xfrm>
          <a:off x="6961922" y="823229"/>
          <a:ext cx="189641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9</xdr:col>
      <xdr:colOff>313281</xdr:colOff>
      <xdr:row>5</xdr:row>
      <xdr:rowOff>69952</xdr:rowOff>
    </xdr:from>
    <xdr:to>
      <xdr:col>11</xdr:col>
      <xdr:colOff>231960</xdr:colOff>
      <xdr:row>5</xdr:row>
      <xdr:rowOff>318109</xdr:rowOff>
    </xdr:to>
    <xdr:sp macro="[0]!NavBar" textlink="">
      <xdr:nvSpPr>
        <xdr:cNvPr id="13" name="BtnSettings">
          <a:extLst>
            <a:ext uri="{FF2B5EF4-FFF2-40B4-BE49-F238E27FC236}">
              <a16:creationId xmlns:a16="http://schemas.microsoft.com/office/drawing/2014/main" id="{67492F81-B8C5-474E-BAE2-D183E1B00AEF}"/>
            </a:ext>
          </a:extLst>
        </xdr:cNvPr>
        <xdr:cNvSpPr/>
      </xdr:nvSpPr>
      <xdr:spPr>
        <a:xfrm>
          <a:off x="10661241" y="824332"/>
          <a:ext cx="153411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166032</xdr:colOff>
      <xdr:row>5</xdr:row>
      <xdr:rowOff>68580</xdr:rowOff>
    </xdr:from>
    <xdr:to>
      <xdr:col>9</xdr:col>
      <xdr:colOff>238612</xdr:colOff>
      <xdr:row>5</xdr:row>
      <xdr:rowOff>316737</xdr:rowOff>
    </xdr:to>
    <xdr:sp macro="[0]!NavBar" textlink="">
      <xdr:nvSpPr>
        <xdr:cNvPr id="14" name="BtnMatTacheRess">
          <a:extLst>
            <a:ext uri="{FF2B5EF4-FFF2-40B4-BE49-F238E27FC236}">
              <a16:creationId xmlns:a16="http://schemas.microsoft.com/office/drawing/2014/main" id="{206E78B5-3F84-4656-AC42-C752A858D6FE}"/>
            </a:ext>
          </a:extLst>
        </xdr:cNvPr>
        <xdr:cNvSpPr/>
      </xdr:nvSpPr>
      <xdr:spPr>
        <a:xfrm>
          <a:off x="8898552" y="822960"/>
          <a:ext cx="168802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1</xdr:col>
      <xdr:colOff>2255520</xdr:colOff>
      <xdr:row>4</xdr:row>
      <xdr:rowOff>38100</xdr:rowOff>
    </xdr:to>
    <xdr:pic>
      <xdr:nvPicPr>
        <xdr:cNvPr id="2" name="Picture 1">
          <a:extLst>
            <a:ext uri="{FF2B5EF4-FFF2-40B4-BE49-F238E27FC236}">
              <a16:creationId xmlns:a16="http://schemas.microsoft.com/office/drawing/2014/main" id="{F01FEA35-C4B2-4C75-8F5C-7EA026FED66B}"/>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152400"/>
          <a:ext cx="225552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3459480</xdr:colOff>
      <xdr:row>5</xdr:row>
      <xdr:rowOff>68580</xdr:rowOff>
    </xdr:from>
    <xdr:to>
      <xdr:col>2</xdr:col>
      <xdr:colOff>637257</xdr:colOff>
      <xdr:row>5</xdr:row>
      <xdr:rowOff>316737</xdr:rowOff>
    </xdr:to>
    <xdr:sp macro="" textlink="">
      <xdr:nvSpPr>
        <xdr:cNvPr id="3" name="BtnGuide">
          <a:hlinkClick xmlns:r="http://schemas.openxmlformats.org/officeDocument/2006/relationships" r:id="rId2"/>
          <a:extLst>
            <a:ext uri="{FF2B5EF4-FFF2-40B4-BE49-F238E27FC236}">
              <a16:creationId xmlns:a16="http://schemas.microsoft.com/office/drawing/2014/main" id="{B2CD014C-A96C-49A0-A500-B5C0A1F6850E}"/>
            </a:ext>
          </a:extLst>
        </xdr:cNvPr>
        <xdr:cNvSpPr/>
      </xdr:nvSpPr>
      <xdr:spPr>
        <a:xfrm>
          <a:off x="3680460" y="822960"/>
          <a:ext cx="147545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2</xdr:col>
      <xdr:colOff>687351</xdr:colOff>
      <xdr:row>5</xdr:row>
      <xdr:rowOff>71708</xdr:rowOff>
    </xdr:from>
    <xdr:to>
      <xdr:col>4</xdr:col>
      <xdr:colOff>195513</xdr:colOff>
      <xdr:row>5</xdr:row>
      <xdr:rowOff>319865</xdr:rowOff>
    </xdr:to>
    <xdr:sp macro="[0]!NavBar" textlink="">
      <xdr:nvSpPr>
        <xdr:cNvPr id="4" name="BtnMatTacheComp">
          <a:extLst>
            <a:ext uri="{FF2B5EF4-FFF2-40B4-BE49-F238E27FC236}">
              <a16:creationId xmlns:a16="http://schemas.microsoft.com/office/drawing/2014/main" id="{E32FA453-D4F1-4D7F-86C4-3518E09DDEEA}"/>
            </a:ext>
          </a:extLst>
        </xdr:cNvPr>
        <xdr:cNvSpPr/>
      </xdr:nvSpPr>
      <xdr:spPr>
        <a:xfrm>
          <a:off x="5206011" y="826088"/>
          <a:ext cx="16874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4</xdr:col>
      <xdr:colOff>263942</xdr:colOff>
      <xdr:row>5</xdr:row>
      <xdr:rowOff>68849</xdr:rowOff>
    </xdr:from>
    <xdr:to>
      <xdr:col>5</xdr:col>
      <xdr:colOff>1070698</xdr:colOff>
      <xdr:row>5</xdr:row>
      <xdr:rowOff>317006</xdr:rowOff>
    </xdr:to>
    <xdr:sp macro="[0]!NavBar" textlink="">
      <xdr:nvSpPr>
        <xdr:cNvPr id="5" name="BtnMatRessComp">
          <a:extLst>
            <a:ext uri="{FF2B5EF4-FFF2-40B4-BE49-F238E27FC236}">
              <a16:creationId xmlns:a16="http://schemas.microsoft.com/office/drawing/2014/main" id="{42C74C70-A3F3-4A0E-9D18-1D120626F726}"/>
            </a:ext>
          </a:extLst>
        </xdr:cNvPr>
        <xdr:cNvSpPr/>
      </xdr:nvSpPr>
      <xdr:spPr>
        <a:xfrm>
          <a:off x="6961922" y="823229"/>
          <a:ext cx="189641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6</xdr:col>
      <xdr:colOff>1082901</xdr:colOff>
      <xdr:row>5</xdr:row>
      <xdr:rowOff>69952</xdr:rowOff>
    </xdr:from>
    <xdr:to>
      <xdr:col>7</xdr:col>
      <xdr:colOff>887280</xdr:colOff>
      <xdr:row>5</xdr:row>
      <xdr:rowOff>318109</xdr:rowOff>
    </xdr:to>
    <xdr:sp macro="[0]!NavBar" textlink="">
      <xdr:nvSpPr>
        <xdr:cNvPr id="6" name="BtnSettings">
          <a:extLst>
            <a:ext uri="{FF2B5EF4-FFF2-40B4-BE49-F238E27FC236}">
              <a16:creationId xmlns:a16="http://schemas.microsoft.com/office/drawing/2014/main" id="{25D13F8E-C48A-4575-BB25-B2299CA6A8EC}"/>
            </a:ext>
          </a:extLst>
        </xdr:cNvPr>
        <xdr:cNvSpPr/>
      </xdr:nvSpPr>
      <xdr:spPr>
        <a:xfrm>
          <a:off x="10661241" y="824332"/>
          <a:ext cx="153411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5</xdr:col>
      <xdr:colOff>1110912</xdr:colOff>
      <xdr:row>5</xdr:row>
      <xdr:rowOff>68580</xdr:rowOff>
    </xdr:from>
    <xdr:to>
      <xdr:col>6</xdr:col>
      <xdr:colOff>1008232</xdr:colOff>
      <xdr:row>5</xdr:row>
      <xdr:rowOff>316737</xdr:rowOff>
    </xdr:to>
    <xdr:sp macro="[0]!NavBar" textlink="">
      <xdr:nvSpPr>
        <xdr:cNvPr id="7" name="BtnMatTacheRess">
          <a:extLst>
            <a:ext uri="{FF2B5EF4-FFF2-40B4-BE49-F238E27FC236}">
              <a16:creationId xmlns:a16="http://schemas.microsoft.com/office/drawing/2014/main" id="{FBB5D15B-2F8E-49C4-8305-CBDEC75150E9}"/>
            </a:ext>
          </a:extLst>
        </xdr:cNvPr>
        <xdr:cNvSpPr/>
      </xdr:nvSpPr>
      <xdr:spPr>
        <a:xfrm>
          <a:off x="8898552" y="822960"/>
          <a:ext cx="168802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175260</xdr:colOff>
      <xdr:row>32</xdr:row>
      <xdr:rowOff>22860</xdr:rowOff>
    </xdr:from>
    <xdr:to>
      <xdr:col>12</xdr:col>
      <xdr:colOff>266700</xdr:colOff>
      <xdr:row>50</xdr:row>
      <xdr:rowOff>15240</xdr:rowOff>
    </xdr:to>
    <xdr:sp macro="" textlink="">
      <xdr:nvSpPr>
        <xdr:cNvPr id="14" name="Rectangle: Rounded Corners 13">
          <a:extLst>
            <a:ext uri="{FF2B5EF4-FFF2-40B4-BE49-F238E27FC236}">
              <a16:creationId xmlns:a16="http://schemas.microsoft.com/office/drawing/2014/main" id="{ACEF86D6-16E6-4CA3-9338-F5E1F6E3AD9F}"/>
            </a:ext>
          </a:extLst>
        </xdr:cNvPr>
        <xdr:cNvSpPr/>
      </xdr:nvSpPr>
      <xdr:spPr>
        <a:xfrm>
          <a:off x="2918460" y="5349240"/>
          <a:ext cx="7315200" cy="3360420"/>
        </a:xfrm>
        <a:prstGeom prst="roundRect">
          <a:avLst>
            <a:gd name="adj" fmla="val 4472"/>
          </a:avLst>
        </a:prstGeom>
        <a:solidFill>
          <a:srgbClr val="F3FD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434340</xdr:colOff>
      <xdr:row>13</xdr:row>
      <xdr:rowOff>7620</xdr:rowOff>
    </xdr:from>
    <xdr:to>
      <xdr:col>14</xdr:col>
      <xdr:colOff>388620</xdr:colOff>
      <xdr:row>28</xdr:row>
      <xdr:rowOff>137160</xdr:rowOff>
    </xdr:to>
    <xdr:sp macro="" textlink="">
      <xdr:nvSpPr>
        <xdr:cNvPr id="13" name="Rectangle: Rounded Corners 12">
          <a:extLst>
            <a:ext uri="{FF2B5EF4-FFF2-40B4-BE49-F238E27FC236}">
              <a16:creationId xmlns:a16="http://schemas.microsoft.com/office/drawing/2014/main" id="{815CB2DD-116D-4E31-8430-98DCB233AAFB}"/>
            </a:ext>
          </a:extLst>
        </xdr:cNvPr>
        <xdr:cNvSpPr/>
      </xdr:nvSpPr>
      <xdr:spPr>
        <a:xfrm>
          <a:off x="6789420" y="2407920"/>
          <a:ext cx="5372100" cy="2872740"/>
        </a:xfrm>
        <a:prstGeom prst="roundRect">
          <a:avLst>
            <a:gd name="adj" fmla="val 4472"/>
          </a:avLst>
        </a:prstGeom>
        <a:solidFill>
          <a:srgbClr val="F2F7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388620</xdr:colOff>
      <xdr:row>13</xdr:row>
      <xdr:rowOff>0</xdr:rowOff>
    </xdr:from>
    <xdr:to>
      <xdr:col>7</xdr:col>
      <xdr:colOff>342900</xdr:colOff>
      <xdr:row>28</xdr:row>
      <xdr:rowOff>129540</xdr:rowOff>
    </xdr:to>
    <xdr:sp macro="" textlink="">
      <xdr:nvSpPr>
        <xdr:cNvPr id="12" name="Rectangle: Rounded Corners 11">
          <a:extLst>
            <a:ext uri="{FF2B5EF4-FFF2-40B4-BE49-F238E27FC236}">
              <a16:creationId xmlns:a16="http://schemas.microsoft.com/office/drawing/2014/main" id="{A4333AAE-EE24-8A62-F0AC-3009925EB68F}"/>
            </a:ext>
          </a:extLst>
        </xdr:cNvPr>
        <xdr:cNvSpPr/>
      </xdr:nvSpPr>
      <xdr:spPr>
        <a:xfrm>
          <a:off x="533400" y="2400300"/>
          <a:ext cx="5372100" cy="2872740"/>
        </a:xfrm>
        <a:prstGeom prst="roundRect">
          <a:avLst>
            <a:gd name="adj" fmla="val 4472"/>
          </a:avLst>
        </a:prstGeom>
        <a:solidFill>
          <a:srgbClr val="F2F7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0</xdr:row>
      <xdr:rowOff>152400</xdr:rowOff>
    </xdr:from>
    <xdr:to>
      <xdr:col>3</xdr:col>
      <xdr:colOff>762000</xdr:colOff>
      <xdr:row>2</xdr:row>
      <xdr:rowOff>220980</xdr:rowOff>
    </xdr:to>
    <xdr:pic>
      <xdr:nvPicPr>
        <xdr:cNvPr id="2" name="Picture 1">
          <a:extLst>
            <a:ext uri="{FF2B5EF4-FFF2-40B4-BE49-F238E27FC236}">
              <a16:creationId xmlns:a16="http://schemas.microsoft.com/office/drawing/2014/main" id="{245B7EEB-5744-4B31-B0B3-33AFC6DC49EB}"/>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780" y="152400"/>
          <a:ext cx="2346960" cy="320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480060</xdr:colOff>
      <xdr:row>5</xdr:row>
      <xdr:rowOff>60960</xdr:rowOff>
    </xdr:from>
    <xdr:to>
      <xdr:col>5</xdr:col>
      <xdr:colOff>942057</xdr:colOff>
      <xdr:row>5</xdr:row>
      <xdr:rowOff>309117</xdr:rowOff>
    </xdr:to>
    <xdr:sp macro="" textlink="">
      <xdr:nvSpPr>
        <xdr:cNvPr id="3" name="BtnGuide">
          <a:hlinkClick xmlns:r="http://schemas.openxmlformats.org/officeDocument/2006/relationships" r:id="rId2"/>
          <a:extLst>
            <a:ext uri="{FF2B5EF4-FFF2-40B4-BE49-F238E27FC236}">
              <a16:creationId xmlns:a16="http://schemas.microsoft.com/office/drawing/2014/main" id="{1B86FB5F-6A67-49CF-B796-3E2E9B79559E}"/>
            </a:ext>
          </a:extLst>
        </xdr:cNvPr>
        <xdr:cNvSpPr/>
      </xdr:nvSpPr>
      <xdr:spPr>
        <a:xfrm>
          <a:off x="3223260" y="815340"/>
          <a:ext cx="147545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1551</xdr:colOff>
      <xdr:row>5</xdr:row>
      <xdr:rowOff>64088</xdr:rowOff>
    </xdr:from>
    <xdr:to>
      <xdr:col>8</xdr:col>
      <xdr:colOff>81213</xdr:colOff>
      <xdr:row>5</xdr:row>
      <xdr:rowOff>312245</xdr:rowOff>
    </xdr:to>
    <xdr:sp macro="[0]!NavBar" textlink="">
      <xdr:nvSpPr>
        <xdr:cNvPr id="4" name="BtnMatTacheComp">
          <a:extLst>
            <a:ext uri="{FF2B5EF4-FFF2-40B4-BE49-F238E27FC236}">
              <a16:creationId xmlns:a16="http://schemas.microsoft.com/office/drawing/2014/main" id="{A7CCCC0B-FE92-4306-8750-A8F22930B170}"/>
            </a:ext>
          </a:extLst>
        </xdr:cNvPr>
        <xdr:cNvSpPr/>
      </xdr:nvSpPr>
      <xdr:spPr>
        <a:xfrm>
          <a:off x="4748811" y="818468"/>
          <a:ext cx="16874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8</xdr:col>
      <xdr:colOff>149642</xdr:colOff>
      <xdr:row>5</xdr:row>
      <xdr:rowOff>61229</xdr:rowOff>
    </xdr:from>
    <xdr:to>
      <xdr:col>10</xdr:col>
      <xdr:colOff>461098</xdr:colOff>
      <xdr:row>5</xdr:row>
      <xdr:rowOff>309386</xdr:rowOff>
    </xdr:to>
    <xdr:sp macro="[0]!NavBar" textlink="">
      <xdr:nvSpPr>
        <xdr:cNvPr id="5" name="BtnMatRessComp">
          <a:extLst>
            <a:ext uri="{FF2B5EF4-FFF2-40B4-BE49-F238E27FC236}">
              <a16:creationId xmlns:a16="http://schemas.microsoft.com/office/drawing/2014/main" id="{BB2BB5B8-4BFE-419F-9FBC-CDAB5CE9D59D}"/>
            </a:ext>
          </a:extLst>
        </xdr:cNvPr>
        <xdr:cNvSpPr/>
      </xdr:nvSpPr>
      <xdr:spPr>
        <a:xfrm>
          <a:off x="6504722" y="815609"/>
          <a:ext cx="189641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12</xdr:col>
      <xdr:colOff>237081</xdr:colOff>
      <xdr:row>5</xdr:row>
      <xdr:rowOff>62332</xdr:rowOff>
    </xdr:from>
    <xdr:to>
      <xdr:col>13</xdr:col>
      <xdr:colOff>757740</xdr:colOff>
      <xdr:row>5</xdr:row>
      <xdr:rowOff>310489</xdr:rowOff>
    </xdr:to>
    <xdr:sp macro="[0]!NavBar" textlink="">
      <xdr:nvSpPr>
        <xdr:cNvPr id="6" name="BtnSettings">
          <a:extLst>
            <a:ext uri="{FF2B5EF4-FFF2-40B4-BE49-F238E27FC236}">
              <a16:creationId xmlns:a16="http://schemas.microsoft.com/office/drawing/2014/main" id="{151D3C05-E305-438F-9287-64538A0A8D0C}"/>
            </a:ext>
          </a:extLst>
        </xdr:cNvPr>
        <xdr:cNvSpPr/>
      </xdr:nvSpPr>
      <xdr:spPr>
        <a:xfrm>
          <a:off x="10204041" y="816712"/>
          <a:ext cx="153411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10</xdr:col>
      <xdr:colOff>501312</xdr:colOff>
      <xdr:row>5</xdr:row>
      <xdr:rowOff>60960</xdr:rowOff>
    </xdr:from>
    <xdr:to>
      <xdr:col>12</xdr:col>
      <xdr:colOff>162412</xdr:colOff>
      <xdr:row>5</xdr:row>
      <xdr:rowOff>309117</xdr:rowOff>
    </xdr:to>
    <xdr:sp macro="[0]!NavBar" textlink="">
      <xdr:nvSpPr>
        <xdr:cNvPr id="7" name="BtnMatTacheRess">
          <a:extLst>
            <a:ext uri="{FF2B5EF4-FFF2-40B4-BE49-F238E27FC236}">
              <a16:creationId xmlns:a16="http://schemas.microsoft.com/office/drawing/2014/main" id="{F77CC5C8-6038-48B4-BA4B-CF36514CFBC5}"/>
            </a:ext>
          </a:extLst>
        </xdr:cNvPr>
        <xdr:cNvSpPr/>
      </xdr:nvSpPr>
      <xdr:spPr>
        <a:xfrm>
          <a:off x="8441352" y="815340"/>
          <a:ext cx="168802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twoCellAnchor>
    <xdr:from>
      <xdr:col>8</xdr:col>
      <xdr:colOff>411480</xdr:colOff>
      <xdr:row>13</xdr:row>
      <xdr:rowOff>7620</xdr:rowOff>
    </xdr:from>
    <xdr:to>
      <xdr:col>14</xdr:col>
      <xdr:colOff>327660</xdr:colOff>
      <xdr:row>28</xdr:row>
      <xdr:rowOff>68580</xdr:rowOff>
    </xdr:to>
    <xdr:graphicFrame macro="">
      <xdr:nvGraphicFramePr>
        <xdr:cNvPr id="8" name="Chart 7">
          <a:extLst>
            <a:ext uri="{FF2B5EF4-FFF2-40B4-BE49-F238E27FC236}">
              <a16:creationId xmlns:a16="http://schemas.microsoft.com/office/drawing/2014/main" id="{AC0F4A4F-F94D-4736-B366-D8C9B2927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152400</xdr:colOff>
      <xdr:row>12</xdr:row>
      <xdr:rowOff>106680</xdr:rowOff>
    </xdr:from>
    <xdr:to>
      <xdr:col>7</xdr:col>
      <xdr:colOff>182880</xdr:colOff>
      <xdr:row>29</xdr:row>
      <xdr:rowOff>7620</xdr:rowOff>
    </xdr:to>
    <xdr:graphicFrame macro="">
      <xdr:nvGraphicFramePr>
        <xdr:cNvPr id="10" name="ChartFonction">
          <a:extLst>
            <a:ext uri="{FF2B5EF4-FFF2-40B4-BE49-F238E27FC236}">
              <a16:creationId xmlns:a16="http://schemas.microsoft.com/office/drawing/2014/main" id="{ACCCBB6F-02A2-4814-A088-0BDE2DCDFC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944880</xdr:colOff>
      <xdr:row>32</xdr:row>
      <xdr:rowOff>60960</xdr:rowOff>
    </xdr:from>
    <xdr:to>
      <xdr:col>11</xdr:col>
      <xdr:colOff>381000</xdr:colOff>
      <xdr:row>49</xdr:row>
      <xdr:rowOff>152400</xdr:rowOff>
    </xdr:to>
    <xdr:graphicFrame macro="">
      <xdr:nvGraphicFramePr>
        <xdr:cNvPr id="11" name="RadarComb">
          <a:extLst>
            <a:ext uri="{FF2B5EF4-FFF2-40B4-BE49-F238E27FC236}">
              <a16:creationId xmlns:a16="http://schemas.microsoft.com/office/drawing/2014/main" id="{E2323F84-4BA4-4211-A872-7E37C8C21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243839</xdr:colOff>
      <xdr:row>0</xdr:row>
      <xdr:rowOff>152400</xdr:rowOff>
    </xdr:from>
    <xdr:to>
      <xdr:col>1</xdr:col>
      <xdr:colOff>2590800</xdr:colOff>
      <xdr:row>4</xdr:row>
      <xdr:rowOff>53340</xdr:rowOff>
    </xdr:to>
    <xdr:pic>
      <xdr:nvPicPr>
        <xdr:cNvPr id="3" name="Picture 2">
          <a:extLst>
            <a:ext uri="{FF2B5EF4-FFF2-40B4-BE49-F238E27FC236}">
              <a16:creationId xmlns:a16="http://schemas.microsoft.com/office/drawing/2014/main" id="{82E8A0BD-DF81-4015-87A6-1E07D6BFEBAE}"/>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39" y="152400"/>
          <a:ext cx="2590801"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3139440</xdr:colOff>
      <xdr:row>5</xdr:row>
      <xdr:rowOff>60960</xdr:rowOff>
    </xdr:from>
    <xdr:to>
      <xdr:col>2</xdr:col>
      <xdr:colOff>599157</xdr:colOff>
      <xdr:row>5</xdr:row>
      <xdr:rowOff>309117</xdr:rowOff>
    </xdr:to>
    <xdr:sp macro="" textlink="">
      <xdr:nvSpPr>
        <xdr:cNvPr id="4" name="BtnGuide">
          <a:hlinkClick xmlns:r="http://schemas.openxmlformats.org/officeDocument/2006/relationships" r:id="rId2"/>
          <a:extLst>
            <a:ext uri="{FF2B5EF4-FFF2-40B4-BE49-F238E27FC236}">
              <a16:creationId xmlns:a16="http://schemas.microsoft.com/office/drawing/2014/main" id="{86C2C700-6F99-440D-BA26-54F1E2AFC32A}"/>
            </a:ext>
          </a:extLst>
        </xdr:cNvPr>
        <xdr:cNvSpPr/>
      </xdr:nvSpPr>
      <xdr:spPr>
        <a:xfrm>
          <a:off x="3383280" y="815340"/>
          <a:ext cx="147545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2</xdr:col>
      <xdr:colOff>649251</xdr:colOff>
      <xdr:row>5</xdr:row>
      <xdr:rowOff>64088</xdr:rowOff>
    </xdr:from>
    <xdr:to>
      <xdr:col>3</xdr:col>
      <xdr:colOff>1315653</xdr:colOff>
      <xdr:row>5</xdr:row>
      <xdr:rowOff>312245</xdr:rowOff>
    </xdr:to>
    <xdr:sp macro="[0]!NavBar" textlink="">
      <xdr:nvSpPr>
        <xdr:cNvPr id="5" name="BtnMatTacheComp">
          <a:extLst>
            <a:ext uri="{FF2B5EF4-FFF2-40B4-BE49-F238E27FC236}">
              <a16:creationId xmlns:a16="http://schemas.microsoft.com/office/drawing/2014/main" id="{9379A6F5-DDA4-4B83-8A62-B39823B48797}"/>
            </a:ext>
          </a:extLst>
        </xdr:cNvPr>
        <xdr:cNvSpPr/>
      </xdr:nvSpPr>
      <xdr:spPr>
        <a:xfrm>
          <a:off x="4908831" y="818468"/>
          <a:ext cx="16874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3</xdr:col>
      <xdr:colOff>1384082</xdr:colOff>
      <xdr:row>5</xdr:row>
      <xdr:rowOff>61229</xdr:rowOff>
    </xdr:from>
    <xdr:to>
      <xdr:col>5</xdr:col>
      <xdr:colOff>483958</xdr:colOff>
      <xdr:row>5</xdr:row>
      <xdr:rowOff>309386</xdr:rowOff>
    </xdr:to>
    <xdr:sp macro="[0]!NavBar" textlink="">
      <xdr:nvSpPr>
        <xdr:cNvPr id="6" name="BtnMatRessComp">
          <a:extLst>
            <a:ext uri="{FF2B5EF4-FFF2-40B4-BE49-F238E27FC236}">
              <a16:creationId xmlns:a16="http://schemas.microsoft.com/office/drawing/2014/main" id="{0D10D70C-0BBC-496B-8B0F-6B0B5C1027F0}"/>
            </a:ext>
          </a:extLst>
        </xdr:cNvPr>
        <xdr:cNvSpPr/>
      </xdr:nvSpPr>
      <xdr:spPr>
        <a:xfrm>
          <a:off x="6664742" y="815609"/>
          <a:ext cx="189641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5</xdr:col>
      <xdr:colOff>2286861</xdr:colOff>
      <xdr:row>5</xdr:row>
      <xdr:rowOff>62332</xdr:rowOff>
    </xdr:from>
    <xdr:to>
      <xdr:col>6</xdr:col>
      <xdr:colOff>955860</xdr:colOff>
      <xdr:row>5</xdr:row>
      <xdr:rowOff>310489</xdr:rowOff>
    </xdr:to>
    <xdr:sp macro="[0]!NavBar" textlink="">
      <xdr:nvSpPr>
        <xdr:cNvPr id="7" name="BtnSettings">
          <a:extLst>
            <a:ext uri="{FF2B5EF4-FFF2-40B4-BE49-F238E27FC236}">
              <a16:creationId xmlns:a16="http://schemas.microsoft.com/office/drawing/2014/main" id="{C2E2BFAE-2289-46C5-8E11-E7DF50B83574}"/>
            </a:ext>
          </a:extLst>
        </xdr:cNvPr>
        <xdr:cNvSpPr/>
      </xdr:nvSpPr>
      <xdr:spPr>
        <a:xfrm>
          <a:off x="10364061" y="816712"/>
          <a:ext cx="153411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5</xdr:col>
      <xdr:colOff>524172</xdr:colOff>
      <xdr:row>5</xdr:row>
      <xdr:rowOff>60960</xdr:rowOff>
    </xdr:from>
    <xdr:to>
      <xdr:col>5</xdr:col>
      <xdr:colOff>2212192</xdr:colOff>
      <xdr:row>5</xdr:row>
      <xdr:rowOff>309117</xdr:rowOff>
    </xdr:to>
    <xdr:sp macro="[0]!NavBar" textlink="">
      <xdr:nvSpPr>
        <xdr:cNvPr id="8" name="BtnMatTacheRess">
          <a:extLst>
            <a:ext uri="{FF2B5EF4-FFF2-40B4-BE49-F238E27FC236}">
              <a16:creationId xmlns:a16="http://schemas.microsoft.com/office/drawing/2014/main" id="{945D025C-A84C-45AA-A925-CB2CB8F77CA3}"/>
            </a:ext>
          </a:extLst>
        </xdr:cNvPr>
        <xdr:cNvSpPr/>
      </xdr:nvSpPr>
      <xdr:spPr>
        <a:xfrm>
          <a:off x="8601372" y="815340"/>
          <a:ext cx="168802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106680</xdr:rowOff>
    </xdr:from>
    <xdr:to>
      <xdr:col>3</xdr:col>
      <xdr:colOff>1058086</xdr:colOff>
      <xdr:row>4</xdr:row>
      <xdr:rowOff>30480</xdr:rowOff>
    </xdr:to>
    <xdr:pic>
      <xdr:nvPicPr>
        <xdr:cNvPr id="2" name="Picture 1">
          <a:extLst>
            <a:ext uri="{FF2B5EF4-FFF2-40B4-BE49-F238E27FC236}">
              <a16:creationId xmlns:a16="http://schemas.microsoft.com/office/drawing/2014/main" id="{00000000-0008-0000-04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668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1143000</xdr:colOff>
      <xdr:row>5</xdr:row>
      <xdr:rowOff>60960</xdr:rowOff>
    </xdr:from>
    <xdr:to>
      <xdr:col>4</xdr:col>
      <xdr:colOff>1637528</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2804160" y="815340"/>
          <a:ext cx="165276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4</xdr:col>
      <xdr:colOff>1693354</xdr:colOff>
      <xdr:row>5</xdr:row>
      <xdr:rowOff>64088</xdr:rowOff>
    </xdr:from>
    <xdr:to>
      <xdr:col>6</xdr:col>
      <xdr:colOff>1480159</xdr:colOff>
      <xdr:row>5</xdr:row>
      <xdr:rowOff>312245</xdr:rowOff>
    </xdr:to>
    <xdr:sp macro="[0]!NavBar" textlink="">
      <xdr:nvSpPr>
        <xdr:cNvPr id="7" name="BtnMatTacheComp">
          <a:extLst>
            <a:ext uri="{FF2B5EF4-FFF2-40B4-BE49-F238E27FC236}">
              <a16:creationId xmlns:a16="http://schemas.microsoft.com/office/drawing/2014/main" id="{00000000-0008-0000-0400-000007000000}"/>
            </a:ext>
          </a:extLst>
        </xdr:cNvPr>
        <xdr:cNvSpPr/>
      </xdr:nvSpPr>
      <xdr:spPr>
        <a:xfrm>
          <a:off x="4512754" y="818468"/>
          <a:ext cx="1897545"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xdr:from>
      <xdr:col>6</xdr:col>
      <xdr:colOff>1556417</xdr:colOff>
      <xdr:row>5</xdr:row>
      <xdr:rowOff>61229</xdr:rowOff>
    </xdr:from>
    <xdr:to>
      <xdr:col>8</xdr:col>
      <xdr:colOff>753974</xdr:colOff>
      <xdr:row>5</xdr:row>
      <xdr:rowOff>309386</xdr:rowOff>
    </xdr:to>
    <xdr:sp macro="[0]!NavBar" textlink="">
      <xdr:nvSpPr>
        <xdr:cNvPr id="8" name="BtnMatRessComp">
          <a:extLst>
            <a:ext uri="{FF2B5EF4-FFF2-40B4-BE49-F238E27FC236}">
              <a16:creationId xmlns:a16="http://schemas.microsoft.com/office/drawing/2014/main" id="{00000000-0008-0000-0400-000008000000}"/>
            </a:ext>
          </a:extLst>
        </xdr:cNvPr>
        <xdr:cNvSpPr/>
      </xdr:nvSpPr>
      <xdr:spPr>
        <a:xfrm>
          <a:off x="6486557" y="815609"/>
          <a:ext cx="2138877"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xdr:from>
      <xdr:col>9</xdr:col>
      <xdr:colOff>737986</xdr:colOff>
      <xdr:row>5</xdr:row>
      <xdr:rowOff>62332</xdr:rowOff>
    </xdr:from>
    <xdr:to>
      <xdr:col>11</xdr:col>
      <xdr:colOff>986340</xdr:colOff>
      <xdr:row>5</xdr:row>
      <xdr:rowOff>310489</xdr:rowOff>
    </xdr:to>
    <xdr:sp macro="[0]!NavBar" textlink="">
      <xdr:nvSpPr>
        <xdr:cNvPr id="9" name="BtnSettings">
          <a:extLst>
            <a:ext uri="{FF2B5EF4-FFF2-40B4-BE49-F238E27FC236}">
              <a16:creationId xmlns:a16="http://schemas.microsoft.com/office/drawing/2014/main" id="{00000000-0008-0000-0400-000009000000}"/>
            </a:ext>
          </a:extLst>
        </xdr:cNvPr>
        <xdr:cNvSpPr/>
      </xdr:nvSpPr>
      <xdr:spPr>
        <a:xfrm>
          <a:off x="10651606" y="816712"/>
          <a:ext cx="1726634"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8</xdr:col>
      <xdr:colOff>798789</xdr:colOff>
      <xdr:row>5</xdr:row>
      <xdr:rowOff>60960</xdr:rowOff>
    </xdr:from>
    <xdr:to>
      <xdr:col>9</xdr:col>
      <xdr:colOff>654773</xdr:colOff>
      <xdr:row>5</xdr:row>
      <xdr:rowOff>309117</xdr:rowOff>
    </xdr:to>
    <xdr:sp macro="[0]!NavBar" textlink="">
      <xdr:nvSpPr>
        <xdr:cNvPr id="10" name="BtnMatTacheRess">
          <a:extLst>
            <a:ext uri="{FF2B5EF4-FFF2-40B4-BE49-F238E27FC236}">
              <a16:creationId xmlns:a16="http://schemas.microsoft.com/office/drawing/2014/main" id="{00000000-0008-0000-0400-00000A000000}"/>
            </a:ext>
          </a:extLst>
        </xdr:cNvPr>
        <xdr:cNvSpPr/>
      </xdr:nvSpPr>
      <xdr:spPr>
        <a:xfrm>
          <a:off x="8670249" y="815340"/>
          <a:ext cx="1898144"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Comparaison</a:t>
          </a:r>
        </a:p>
      </xdr:txBody>
    </xdr:sp>
    <xdr:clientData/>
  </xdr:twoCellAnchor>
  <xdr:oneCellAnchor>
    <xdr:from>
      <xdr:col>3</xdr:col>
      <xdr:colOff>30480</xdr:colOff>
      <xdr:row>7</xdr:row>
      <xdr:rowOff>99480</xdr:rowOff>
    </xdr:from>
    <xdr:ext cx="126000" cy="126000"/>
    <xdr:pic macro="[0]!AddRow">
      <xdr:nvPicPr>
        <xdr:cNvPr id="17" name="BtnAddCmp" descr="Add with solid fill">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16380" y="2263560"/>
          <a:ext cx="126000" cy="126000"/>
        </a:xfrm>
        <a:prstGeom prst="rect">
          <a:avLst/>
        </a:prstGeom>
      </xdr:spPr>
    </xdr:pic>
    <xdr:clientData/>
  </xdr:oneCellAnchor>
  <xdr:oneCellAnchor>
    <xdr:from>
      <xdr:col>3</xdr:col>
      <xdr:colOff>266280</xdr:colOff>
      <xdr:row>7</xdr:row>
      <xdr:rowOff>99060</xdr:rowOff>
    </xdr:from>
    <xdr:ext cx="126000" cy="126000"/>
    <xdr:pic macro="[0]!DeleteRow">
      <xdr:nvPicPr>
        <xdr:cNvPr id="18" name="BtnDeleteCmp" descr="Close with solid fill">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52180" y="2263140"/>
          <a:ext cx="126000" cy="126000"/>
        </a:xfrm>
        <a:prstGeom prst="rect">
          <a:avLst/>
        </a:prstGeom>
      </xdr:spPr>
    </xdr:pic>
    <xdr:clientData/>
  </xdr:oneCellAnchor>
  <xdr:oneCellAnchor>
    <xdr:from>
      <xdr:col>6</xdr:col>
      <xdr:colOff>15240</xdr:colOff>
      <xdr:row>7</xdr:row>
      <xdr:rowOff>99480</xdr:rowOff>
    </xdr:from>
    <xdr:ext cx="126000" cy="126000"/>
    <xdr:pic macro="[0]!AddNewFunction">
      <xdr:nvPicPr>
        <xdr:cNvPr id="4" name="BtnAddInteret" descr="Add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318760" y="1539660"/>
          <a:ext cx="126000" cy="126000"/>
        </a:xfrm>
        <a:prstGeom prst="rect">
          <a:avLst/>
        </a:prstGeom>
      </xdr:spPr>
    </xdr:pic>
    <xdr:clientData/>
  </xdr:oneCellAnchor>
  <xdr:oneCellAnchor>
    <xdr:from>
      <xdr:col>6</xdr:col>
      <xdr:colOff>251040</xdr:colOff>
      <xdr:row>7</xdr:row>
      <xdr:rowOff>91440</xdr:rowOff>
    </xdr:from>
    <xdr:ext cx="126000" cy="126000"/>
    <xdr:pic macro="[0]!DeleteFunction">
      <xdr:nvPicPr>
        <xdr:cNvPr id="5" name="BtnDeleteInteret" descr="Close with solid fill">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554560" y="1531620"/>
          <a:ext cx="126000" cy="126000"/>
        </a:xfrm>
        <a:prstGeom prst="rect">
          <a:avLst/>
        </a:prstGeom>
      </xdr:spPr>
    </xdr:pic>
    <xdr:clientData/>
  </xdr:oneCellAnchor>
  <xdr:oneCellAnchor>
    <xdr:from>
      <xdr:col>8</xdr:col>
      <xdr:colOff>22860</xdr:colOff>
      <xdr:row>7</xdr:row>
      <xdr:rowOff>91860</xdr:rowOff>
    </xdr:from>
    <xdr:ext cx="126000" cy="126000"/>
    <xdr:pic macro="[0]!AddCompetence">
      <xdr:nvPicPr>
        <xdr:cNvPr id="20" name="BtnAddComp" descr="Add with solid fill">
          <a:extLst>
            <a:ext uri="{FF2B5EF4-FFF2-40B4-BE49-F238E27FC236}">
              <a16:creationId xmlns:a16="http://schemas.microsoft.com/office/drawing/2014/main" id="{78DEA434-624F-430B-AC02-E005D339AB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60080" y="1532040"/>
          <a:ext cx="126000" cy="126000"/>
        </a:xfrm>
        <a:prstGeom prst="rect">
          <a:avLst/>
        </a:prstGeom>
      </xdr:spPr>
    </xdr:pic>
    <xdr:clientData/>
  </xdr:oneCellAnchor>
  <xdr:oneCellAnchor>
    <xdr:from>
      <xdr:col>8</xdr:col>
      <xdr:colOff>258660</xdr:colOff>
      <xdr:row>7</xdr:row>
      <xdr:rowOff>91440</xdr:rowOff>
    </xdr:from>
    <xdr:ext cx="126000" cy="126000"/>
    <xdr:pic macro="[0]!DeleteCompetence">
      <xdr:nvPicPr>
        <xdr:cNvPr id="21" name="BtnDeleteComp" descr="Close with solid fill">
          <a:extLst>
            <a:ext uri="{FF2B5EF4-FFF2-40B4-BE49-F238E27FC236}">
              <a16:creationId xmlns:a16="http://schemas.microsoft.com/office/drawing/2014/main" id="{E7144B8C-BE92-4279-B380-2D636058123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495880" y="1531620"/>
          <a:ext cx="126000" cy="126000"/>
        </a:xfrm>
        <a:prstGeom prst="rect">
          <a:avLst/>
        </a:prstGeom>
      </xdr:spPr>
    </xdr:pic>
    <xdr:clientData/>
  </xdr:oneCellAnchor>
  <xdr:oneCellAnchor>
    <xdr:from>
      <xdr:col>11</xdr:col>
      <xdr:colOff>15240</xdr:colOff>
      <xdr:row>7</xdr:row>
      <xdr:rowOff>84240</xdr:rowOff>
    </xdr:from>
    <xdr:ext cx="126000" cy="126000"/>
    <xdr:pic macro="[0]!AddNewTaskToCompetences">
      <xdr:nvPicPr>
        <xdr:cNvPr id="3" name="BtnAddTask" descr="Add with solid fill">
          <a:extLst>
            <a:ext uri="{FF2B5EF4-FFF2-40B4-BE49-F238E27FC236}">
              <a16:creationId xmlns:a16="http://schemas.microsoft.com/office/drawing/2014/main" id="{9F2029B2-4078-4CDD-A8E7-EF489659F6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590020" y="1524420"/>
          <a:ext cx="126000" cy="126000"/>
        </a:xfrm>
        <a:prstGeom prst="rect">
          <a:avLst/>
        </a:prstGeom>
      </xdr:spPr>
    </xdr:pic>
    <xdr:clientData/>
  </xdr:oneCellAnchor>
  <xdr:oneCellAnchor>
    <xdr:from>
      <xdr:col>11</xdr:col>
      <xdr:colOff>251040</xdr:colOff>
      <xdr:row>7</xdr:row>
      <xdr:rowOff>76200</xdr:rowOff>
    </xdr:from>
    <xdr:ext cx="126000" cy="126000"/>
    <xdr:pic macro="[0]!SuppTaskCompetences">
      <xdr:nvPicPr>
        <xdr:cNvPr id="11" name="BtnDeleteTask" descr="Close with solid fill">
          <a:extLst>
            <a:ext uri="{FF2B5EF4-FFF2-40B4-BE49-F238E27FC236}">
              <a16:creationId xmlns:a16="http://schemas.microsoft.com/office/drawing/2014/main" id="{F9EB22AE-3F85-4E56-A0C6-40664DB4331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825820" y="1516380"/>
          <a:ext cx="126000" cy="126000"/>
        </a:xfrm>
        <a:prstGeom prst="rect">
          <a:avLst/>
        </a:prstGeom>
      </xdr:spPr>
    </xdr:pic>
    <xdr:clientData/>
  </xdr:oneCellAnchor>
</xdr:wsDr>
</file>

<file path=xl/persons/person.xml><?xml version="1.0" encoding="utf-8"?>
<personList xmlns="http://schemas.microsoft.com/office/spreadsheetml/2018/threadedcomments" xmlns:x="http://schemas.openxmlformats.org/spreadsheetml/2006/main">
  <person displayName="Sara AIT TALEB" id="{6D807FB9-B92B-410B-A743-919883A3AB63}" userId="59ec1b9e7fc65200"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3DEA75-DFF7-46DD-B396-236438F7C119}" name="TabTachesCompetences" displayName="TabTachesCompetences" ref="B13:K861" headerRowDxfId="77" dataDxfId="76">
  <autoFilter ref="B13:K861" xr:uid="{013DEA75-DFF7-46DD-B396-236438F7C119}">
    <filterColumn colId="0" hiddenButton="1"/>
    <filterColumn colId="1" hiddenButton="1">
      <filters>
        <filter val="MOA"/>
      </filters>
    </filterColumn>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14:K861">
    <sortCondition ref="C13:C861"/>
  </sortState>
  <tableColumns count="10">
    <tableColumn id="3" xr3:uid="{C4B7C349-8AB8-4D15-AF31-3F0282561D9D}" name="Libellé de la tâche" totalsRowLabel="Moyenne" dataDxfId="75" totalsRowDxfId="74"/>
    <tableColumn id="9" xr3:uid="{35ECB350-7F5D-4C86-B30E-8366188BB618}" name="Fonction" dataDxfId="73" totalsRowDxfId="72"/>
    <tableColumn id="2" xr3:uid="{CE7BB0A0-9295-47F8-A10A-9FFC9EB4A645}" name="Modélisation des processus" totalsRowFunction="custom" dataDxfId="71" totalsRowDxfId="70">
      <totalsRowFormula>IFERROR(SUBTOTAL(101,TabTachesCompetences[Modélisation des processus]),"")</totalsRowFormula>
    </tableColumn>
    <tableColumn id="4" xr3:uid="{7D3B4F4A-7942-4239-9B30-1380F56B2A29}" name="Analyse des données" totalsRowFunction="custom" dataDxfId="69" totalsRowDxfId="68">
      <totalsRowFormula>IFERROR(SUBTOTAL(101,TabTachesCompetences[Analyse des données]),"")</totalsRowFormula>
    </tableColumn>
    <tableColumn id="5" xr3:uid="{EA44D676-45D1-44ED-A8A9-A79AA696671C}" name="Rédaction fonctionnelle" totalsRowFunction="custom" dataDxfId="67" totalsRowDxfId="66">
      <totalsRowFormula>IFERROR(SUBTOTAL(101,TabTachesCompetences[Rédaction fonctionnelle]),"")</totalsRowFormula>
    </tableColumn>
    <tableColumn id="6" xr3:uid="{A1CDC1E3-7F3B-47A4-A0FE-94DADA5083AE}" name="Connaissance des outils métier_x0009_" totalsRowFunction="custom" dataDxfId="65" totalsRowDxfId="64">
      <totalsRowFormula>IFERROR(SUBTOTAL(101,TabTachesCompetences[Connaissance des outils métier	]),"")</totalsRowFormula>
    </tableColumn>
    <tableColumn id="7" xr3:uid="{4483DE79-A5DC-4AE0-B251-C3610990A2C8}" name="Scénarios d’exception / cas limites" totalsRowFunction="custom" dataDxfId="63" totalsRowDxfId="62">
      <totalsRowFormula>IFERROR(SUBTOTAL(101,TabTachesCompetences[Scénarios d’exception / cas limites]),"")</totalsRowFormula>
    </tableColumn>
    <tableColumn id="8" xr3:uid="{DF31A428-1F81-44D0-960C-F80D062F6A4E}" name="Suivi des anomalies fonctionnelles" totalsRowFunction="custom" dataDxfId="61" totalsRowDxfId="60">
      <totalsRowFormula>IFERROR(SUBTOTAL(101,TabTachesCompetences[Suivi des anomalies fonctionnelles]),"")</totalsRowFormula>
    </tableColumn>
    <tableColumn id="10" xr3:uid="{28752565-4FE2-435F-A585-D82156CCBDC7}" name="Conception des états de reporting" totalsRowFunction="custom" dataDxfId="59" totalsRowDxfId="58">
      <totalsRowFormula>IFERROR(SUBTOTAL(101,TabTachesCompetences[Conception des états de reporting]),"")</totalsRowFormula>
    </tableColumn>
    <tableColumn id="11" xr3:uid="{EE9111CC-7003-4EC5-BB09-7ECFE1525CCF}" name="Connaissances admin CMRL" totalsRowFunction="custom" dataDxfId="57" totalsRowDxfId="56">
      <totalsRowFormula>IFERROR(SUBTOTAL(101,TabTachesCompetences[Connaissances admin CMRL]),"")</totalsRowFormula>
    </tableColumn>
  </tableColumns>
  <tableStyleInfo name="TableStyleLight14 MC"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8F1C75-86FF-4DD1-A5AE-AFBC57AE39BD}" name="TabRessComp" displayName="TabRessComp" ref="B14:K30" totalsRowShown="0" headerRowDxfId="55" dataDxfId="54">
  <autoFilter ref="B14:K30"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3" xr3:uid="{40F62440-7998-4BD6-857C-D76FA03CED13}" name="Liste des ressources" dataDxfId="53"/>
    <tableColumn id="2" xr3:uid="{27C9A267-0A7E-41F5-ADAD-61D728A93C2A}" name="Fonction cible" dataDxfId="52"/>
    <tableColumn id="1" xr3:uid="{46519CA3-C31E-40E5-AD7E-1E9EC550C077}" name="Modélisation des processus" dataDxfId="51"/>
    <tableColumn id="4" xr3:uid="{BCCB174F-E769-49CF-841C-7DDB0A71A8AB}" name="Analyse des données" dataDxfId="50"/>
    <tableColumn id="6" xr3:uid="{96B48B57-368C-412A-A41F-816B3B2BB1C5}" name="Rédaction fonctionnelle" dataDxfId="49"/>
    <tableColumn id="8" xr3:uid="{6F39DC91-8E7D-4FD9-8A06-01F03B5B288A}" name="Connaissance des outils métier_x0009_" dataDxfId="48"/>
    <tableColumn id="10" xr3:uid="{AEEBBDAE-1702-4C1B-B60D-3A8C59B92A29}" name="Scénarios d’exception / cas limites" dataDxfId="47"/>
    <tableColumn id="12" xr3:uid="{D670083A-8AA7-437B-B936-B382DC06224A}" name="Suivi des anomalies fonctionnelles" dataDxfId="46"/>
    <tableColumn id="14" xr3:uid="{150EDDB3-093E-473E-930D-E9429AF01733}" name="Conception des états de reporting" dataDxfId="45"/>
    <tableColumn id="40" xr3:uid="{30E99D64-1FCB-4645-A90C-D7242CCD1204}" name="Connaissances admin CMRL" dataDxfId="44"/>
  </tableColumns>
  <tableStyleInfo name="TableStyleLight14 MC"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55CF470-6239-4CBB-BDE3-4E1433D1C14F}" name="TabRessCompAttendu" displayName="TabRessCompAttendu" ref="B35:K51" totalsRowShown="0" headerRowDxfId="43" dataDxfId="42">
  <autoFilter ref="B35:K51" xr:uid="{955CF470-6239-4CBB-BDE3-4E1433D1C14F}"/>
  <tableColumns count="10">
    <tableColumn id="3" xr3:uid="{C87EEADE-6EFD-4439-8A80-46C57B8D0FCF}" name="Liste des ressources" dataDxfId="41"/>
    <tableColumn id="2" xr3:uid="{19EFECDA-D938-4D23-A8E0-40E509447072}" name="Fonction cible" dataDxfId="40"/>
    <tableColumn id="1" xr3:uid="{645FD184-2384-4676-BBEF-1E36E4196E16}" name="Modélisation des processus" dataDxfId="39"/>
    <tableColumn id="4" xr3:uid="{0386EB63-8393-4EF5-8197-D6BC00DA64DE}" name="Analyse des données" dataDxfId="38"/>
    <tableColumn id="6" xr3:uid="{BDAF255E-9824-4F2A-B266-22770022E75B}" name="Rédaction fonctionnelle" dataDxfId="37"/>
    <tableColumn id="8" xr3:uid="{A0E68BAC-B459-4A7C-8605-D585066A5B47}" name="Connaissance des outils métier_x0009_" dataDxfId="36"/>
    <tableColumn id="10" xr3:uid="{285A0B39-7002-478F-8EDB-53F34A1AB797}" name="Scénarios d’exception / cas limites" dataDxfId="35"/>
    <tableColumn id="12" xr3:uid="{A63F1EDF-EF91-492E-A73E-00D7B78F3F05}" name="Suivi des anomalies fonctionnelles" dataDxfId="34"/>
    <tableColumn id="14" xr3:uid="{DD12E02A-193E-4B8D-A8BA-273461413737}" name="Conception des états de reporting" dataDxfId="33"/>
    <tableColumn id="40" xr3:uid="{A55B1061-78D9-40D7-A4EF-EC1CA0A82F16}" name="Connaissances admin CMRL" dataDxfId="32"/>
  </tableColumns>
  <tableStyleInfo name="TableStyleLight14 MC"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60A08F6-9E16-410D-9298-02B9E4504D33}" name="TabPlanAcc" displayName="TabPlanAcc" ref="B9:G60" totalsRowShown="0" headerRowDxfId="31" dataDxfId="30">
  <autoFilter ref="B9:G60" xr:uid="{560A08F6-9E16-410D-9298-02B9E4504D33}">
    <filterColumn colId="0" hiddenButton="1"/>
    <filterColumn colId="1" hiddenButton="1"/>
    <filterColumn colId="2" hiddenButton="1"/>
    <filterColumn colId="3" hiddenButton="1"/>
    <filterColumn colId="4" hiddenButton="1"/>
    <filterColumn colId="5" hiddenButton="1"/>
  </autoFilter>
  <tableColumns count="6">
    <tableColumn id="1" xr3:uid="{6331968A-648D-4A27-AB88-28C1640BCBF0}" name="Tâche" dataDxfId="29"/>
    <tableColumn id="2" xr3:uid="{66E2505D-73D5-4FE3-94D5-522D9231DD35}" name="Écart" dataDxfId="28"/>
    <tableColumn id="4" xr3:uid="{25B32EF8-2910-4E56-AFA7-98B6CDABD4F6}" name="Responsable" dataDxfId="27"/>
    <tableColumn id="6" xr3:uid="{2BE763F8-C799-4A31-B93F-68BCCEF9B041}" name="Etat" dataDxfId="26"/>
    <tableColumn id="3" xr3:uid="{6C187ADD-3B83-4DB2-B95B-99690769CC0B}" name="Action recommandée" dataDxfId="25"/>
    <tableColumn id="5" xr3:uid="{E3079E32-6DC1-4124-A702-44B076563B96}" name="Échéance" dataDxf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59915E-81E2-4BF2-A0ED-DA9781DAF102}" name="Maitrise" displayName="Maitrise" ref="D10:E15" totalsRowShown="0" headerRowDxfId="23" dataDxfId="22">
  <autoFilter ref="D10:E15" xr:uid="{0C59915E-81E2-4BF2-A0ED-DA9781DAF102}">
    <filterColumn colId="0" hiddenButton="1"/>
    <filterColumn colId="1" hiddenButton="1"/>
  </autoFilter>
  <tableColumns count="2">
    <tableColumn id="1" xr3:uid="{83EDE78D-D280-4052-98A5-6C0ECEB8ABF0}" name="Niveau" dataDxfId="21"/>
    <tableColumn id="2" xr3:uid="{302C9329-1E1F-4645-8BA2-EC1E25D35B77}" name="Niveau de maîtrise des compétences" dataDxfId="2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A8ACBC-9742-4CA2-B2CF-D83C8B182083}" name="TabFonction" displayName="TabFonction" ref="G10:G26" totalsRowShown="0" headerRowDxfId="19" dataDxfId="18" tableBorderDxfId="17">
  <autoFilter ref="G10:G26" xr:uid="{5FA8ACBC-9742-4CA2-B2CF-D83C8B182083}"/>
  <tableColumns count="1">
    <tableColumn id="1" xr3:uid="{2D8DBBB3-3463-4563-81EB-2F3293ADED2D}" name="Fonction" dataDxfId="16"/>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0270C43-0D24-4481-8032-0B3EE96A095B}" name="TabComp" displayName="TabComp" ref="I10:J18" totalsRowShown="0" headerRowDxfId="15" dataDxfId="13" headerRowBorderDxfId="14">
  <autoFilter ref="I10:J18" xr:uid="{90270C43-0D24-4481-8032-0B3EE96A095B}"/>
  <tableColumns count="2">
    <tableColumn id="1" xr3:uid="{9E0D2B05-3794-4A96-B646-C40DBBE802C7}" name="Compétence" dataDxfId="12"/>
    <tableColumn id="2" xr3:uid="{4D60CE6C-EEDE-478A-8820-90DAEFC37C6A}" name="Coefficient" dataDxfId="11"/>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DEC818-4D72-44FD-B492-7460E4C59E8F}" name="TabTask" displayName="TabTask" ref="L10:L63" totalsRowShown="0" headerRowDxfId="10" dataDxfId="9" tableBorderDxfId="8">
  <autoFilter ref="L10:L63" xr:uid="{81DEC818-4D72-44FD-B492-7460E4C59E8F}"/>
  <tableColumns count="1">
    <tableColumn id="1" xr3:uid="{C748D7B1-6807-42BC-9BD6-E0CA2B6CE0AD}" name="Tâche" dataDxfId="7"/>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55B4EC-726C-4E48-85CA-09415FF767FC}" name="TabLangue" displayName="TabLangue" ref="A1:B155" totalsRowShown="0" headerRowDxfId="6" dataDxfId="5">
  <autoFilter ref="A1:B155" xr:uid="{9F55B4EC-726C-4E48-85CA-09415FF767FC}"/>
  <sortState xmlns:xlrd2="http://schemas.microsoft.com/office/spreadsheetml/2017/richdata2" ref="A2:B74">
    <sortCondition ref="A1:A74"/>
  </sortState>
  <tableColumns count="2">
    <tableColumn id="1" xr3:uid="{8FA2A5BB-D0FE-4146-8BB7-76D48B95288A}" name="Français" dataDxfId="4"/>
    <tableColumn id="2" xr3:uid="{A983EF42-DB1A-42E3-8384-67C685B5D195}" name="Anglais" dataDxf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4F4A4C-7E20-4983-8DB6-24A18D1F5E13}" name="TabLang" displayName="TabLang" ref="F1:F3" totalsRowShown="0">
  <autoFilter ref="F1:F3" xr:uid="{BB4F4A4C-7E20-4983-8DB6-24A18D1F5E13}"/>
  <tableColumns count="1">
    <tableColumn id="1" xr3:uid="{364621F0-6FAC-448F-A5FD-8282445378D8}" name="Langue"/>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3" dT="2025-09-10T15:24:05.25" personId="{6D807FB9-B92B-410B-A743-919883A3AB63}" id="{0348D610-F0AE-4B7C-80EC-50218D338814}">
    <text xml:space="preserve">Objectif du tableau
En colonne, remplacer les fonctions (MOA, Finance, Logistique…) par les ressources individuelles (ex. : Chantal, …).
Ajouter immédiatement à droite trois colonnes : Plan d’accompagnement, Responsable, Date cible.
Constituer ainsi un bloc de 4 colonnes dynamiques : Ressource, Plan d’accompagnement, Responsable, Date cible.
Interaction attendue
Placer une liste déroulante “Ressource” en en-tête.
Au choix d’une ressource, afficher le sous-tableau filtré correspondant, limité aux 4 colonnes ci-dessus pour cette ressource.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94299-C3A4-45AD-9AAD-4B8577585075}">
  <sheetPr codeName="ShGuide">
    <tabColor theme="4"/>
  </sheetPr>
  <dimension ref="A1:R138"/>
  <sheetViews>
    <sheetView showGridLines="0" workbookViewId="0">
      <selection activeCell="L18" sqref="L18"/>
    </sheetView>
  </sheetViews>
  <sheetFormatPr baseColWidth="10" defaultColWidth="0" defaultRowHeight="14.4" x14ac:dyDescent="0.3"/>
  <cols>
    <col min="1" max="1" width="3.109375" customWidth="1"/>
    <col min="2" max="2" width="5.6640625" customWidth="1"/>
    <col min="3" max="3" width="12.88671875" customWidth="1"/>
    <col min="4" max="4" width="31.109375" customWidth="1"/>
    <col min="5" max="5" width="23.6640625" customWidth="1"/>
    <col min="6" max="6" width="20" customWidth="1"/>
    <col min="7" max="7" width="6.109375" customWidth="1"/>
    <col min="8" max="8" width="22.88671875" customWidth="1"/>
    <col min="9" max="9" width="19.109375" customWidth="1"/>
    <col min="10" max="10" width="5.332031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E1" s="8" t="s">
        <v>0</v>
      </c>
      <c r="F1" s="9" t="s">
        <v>1</v>
      </c>
      <c r="H1" s="8" t="s">
        <v>2</v>
      </c>
      <c r="I1" s="9" t="s">
        <v>3</v>
      </c>
      <c r="K1" s="1" t="s">
        <v>4</v>
      </c>
      <c r="L1" s="2">
        <v>44893</v>
      </c>
    </row>
    <row r="2" spans="2:12" ht="14.4" hidden="1" customHeight="1" x14ac:dyDescent="0.3">
      <c r="E2" s="10"/>
      <c r="F2" s="11"/>
      <c r="H2" s="10"/>
      <c r="I2" s="11"/>
      <c r="K2" s="3"/>
      <c r="L2" s="4"/>
    </row>
    <row r="3" spans="2:12" ht="19.95" customHeight="1" x14ac:dyDescent="0.3">
      <c r="E3" s="8" t="s">
        <v>5</v>
      </c>
      <c r="F3" s="9" t="s">
        <v>6</v>
      </c>
      <c r="H3" s="8" t="s">
        <v>7</v>
      </c>
      <c r="I3" s="9" t="s">
        <v>8</v>
      </c>
      <c r="K3" s="1" t="s">
        <v>9</v>
      </c>
      <c r="L3" s="2"/>
    </row>
    <row r="4" spans="2:12" ht="14.4" hidden="1" customHeight="1" x14ac:dyDescent="0.3">
      <c r="K4" s="3"/>
      <c r="L4" s="4"/>
    </row>
    <row r="5" spans="2:12" ht="19.95" customHeight="1" thickBot="1" x14ac:dyDescent="0.35">
      <c r="K5" s="5" t="s">
        <v>10</v>
      </c>
      <c r="L5" s="83" t="s">
        <v>11</v>
      </c>
    </row>
    <row r="6" spans="2:12" ht="28.2" customHeight="1" thickTop="1" thickBot="1" x14ac:dyDescent="0.35">
      <c r="B6" s="6"/>
      <c r="C6" s="7" t="s">
        <v>12</v>
      </c>
      <c r="D6" s="6"/>
      <c r="E6" s="6"/>
      <c r="F6" s="6"/>
      <c r="G6" s="6"/>
      <c r="H6" s="6"/>
      <c r="I6" s="6"/>
      <c r="J6" s="6"/>
      <c r="K6" s="6"/>
      <c r="L6" s="6"/>
    </row>
    <row r="7" spans="2:12" ht="10.199999999999999" customHeight="1" thickTop="1" x14ac:dyDescent="0.3"/>
    <row r="9" spans="2:12" ht="1.95" customHeight="1" x14ac:dyDescent="0.3"/>
    <row r="10" spans="2:12" ht="18" x14ac:dyDescent="0.3">
      <c r="B10" s="29" t="s">
        <v>13</v>
      </c>
    </row>
    <row r="11" spans="2:12" ht="21" customHeight="1" x14ac:dyDescent="0.3">
      <c r="B11" s="30" t="s">
        <v>14</v>
      </c>
    </row>
    <row r="12" spans="2:12" ht="21" customHeight="1" x14ac:dyDescent="0.3"/>
    <row r="13" spans="2:12" ht="21" customHeight="1" x14ac:dyDescent="0.3"/>
    <row r="14" spans="2:12" ht="21" customHeight="1" x14ac:dyDescent="0.3"/>
    <row r="15" spans="2:12" ht="21" customHeight="1" x14ac:dyDescent="0.3"/>
    <row r="16" spans="2:12" ht="21" customHeight="1" x14ac:dyDescent="0.3"/>
    <row r="17" spans="2:18" ht="21" customHeight="1" x14ac:dyDescent="0.3"/>
    <row r="18" spans="2:18" ht="21" customHeight="1" x14ac:dyDescent="0.3"/>
    <row r="19" spans="2:18" ht="21" customHeight="1" x14ac:dyDescent="0.35">
      <c r="B19" s="31" t="s">
        <v>15</v>
      </c>
      <c r="C19" s="32"/>
      <c r="D19" s="32"/>
      <c r="E19" s="32"/>
      <c r="F19" s="32"/>
      <c r="G19" s="32"/>
      <c r="H19" s="32"/>
      <c r="I19" s="32"/>
      <c r="J19" s="32"/>
      <c r="K19" s="32"/>
      <c r="L19" s="33"/>
      <c r="M19" s="33"/>
      <c r="N19" s="33"/>
      <c r="O19" s="33"/>
      <c r="P19" s="33"/>
      <c r="Q19" s="33"/>
      <c r="R19" s="33"/>
    </row>
    <row r="20" spans="2:18" ht="36.6" customHeight="1" x14ac:dyDescent="0.3">
      <c r="B20" s="87" t="s">
        <v>16</v>
      </c>
      <c r="C20" s="87"/>
      <c r="D20" s="87"/>
      <c r="E20" s="87"/>
      <c r="F20" s="87"/>
      <c r="G20" s="87"/>
      <c r="H20" s="87"/>
      <c r="I20" s="87"/>
      <c r="J20" s="87"/>
      <c r="K20" s="87"/>
      <c r="L20" s="87"/>
      <c r="M20" s="87"/>
      <c r="N20" s="87"/>
      <c r="O20" s="87"/>
      <c r="P20" s="87"/>
      <c r="Q20" s="87"/>
      <c r="R20" s="87"/>
    </row>
    <row r="21" spans="2:18" ht="21" customHeight="1" x14ac:dyDescent="0.3"/>
    <row r="22" spans="2:18" ht="21" customHeight="1" x14ac:dyDescent="0.3"/>
    <row r="23" spans="2:18" ht="21" customHeight="1" x14ac:dyDescent="0.3"/>
    <row r="24" spans="2:18" ht="21" customHeight="1" x14ac:dyDescent="0.3">
      <c r="B24" s="88" t="s">
        <v>17</v>
      </c>
      <c r="C24" s="89"/>
      <c r="D24" s="89"/>
      <c r="E24" s="89"/>
      <c r="F24" s="89"/>
      <c r="G24" s="89"/>
      <c r="H24" s="89"/>
      <c r="I24" s="89"/>
      <c r="J24" s="89"/>
      <c r="K24" s="89"/>
      <c r="L24" s="89"/>
    </row>
    <row r="25" spans="2:18" ht="21" customHeight="1" x14ac:dyDescent="0.3">
      <c r="B25" s="90" t="s">
        <v>18</v>
      </c>
      <c r="C25" s="90"/>
      <c r="D25" s="90"/>
      <c r="E25" s="90"/>
      <c r="F25" s="90"/>
      <c r="G25" s="90"/>
      <c r="H25" s="90"/>
      <c r="I25" s="90"/>
      <c r="J25" s="90"/>
      <c r="K25" s="90"/>
      <c r="L25" s="90"/>
    </row>
    <row r="26" spans="2:18" s="3" customFormat="1" ht="15.6" x14ac:dyDescent="0.3">
      <c r="B26" s="32" t="s">
        <v>19</v>
      </c>
      <c r="C26" s="35"/>
      <c r="D26" s="32"/>
      <c r="E26" s="32"/>
      <c r="F26" s="32"/>
    </row>
    <row r="27" spans="2:18" s="3" customFormat="1" ht="36.6" customHeight="1" x14ac:dyDescent="0.3">
      <c r="B27" s="86" t="s">
        <v>20</v>
      </c>
      <c r="C27" s="86"/>
      <c r="D27" s="86"/>
      <c r="E27" s="86"/>
      <c r="F27" s="86"/>
      <c r="G27" s="86"/>
      <c r="H27" s="86"/>
      <c r="I27" s="86"/>
      <c r="J27" s="86"/>
      <c r="K27" s="86"/>
      <c r="L27" s="86"/>
      <c r="M27" s="86"/>
      <c r="N27" s="86"/>
      <c r="O27" s="86"/>
      <c r="P27" s="86"/>
      <c r="Q27" s="86"/>
    </row>
    <row r="28" spans="2:18" s="3" customFormat="1" ht="17.399999999999999" customHeight="1" x14ac:dyDescent="0.3">
      <c r="B28" s="90" t="s">
        <v>21</v>
      </c>
      <c r="C28" s="90"/>
      <c r="D28" s="90"/>
      <c r="E28" s="90"/>
      <c r="F28" s="90"/>
      <c r="G28" s="90"/>
      <c r="H28" s="90"/>
      <c r="I28" s="90"/>
      <c r="J28" s="90"/>
      <c r="K28" s="90"/>
      <c r="L28" s="90"/>
      <c r="M28"/>
      <c r="N28" s="82"/>
      <c r="O28" s="82"/>
      <c r="P28" s="82"/>
      <c r="Q28" s="82"/>
    </row>
    <row r="29" spans="2:18" s="3" customFormat="1" ht="17.399999999999999" customHeight="1" x14ac:dyDescent="0.3">
      <c r="B29" s="36" t="s">
        <v>22</v>
      </c>
      <c r="C29" s="82"/>
      <c r="D29" s="82"/>
      <c r="E29" s="82"/>
      <c r="F29" s="82"/>
      <c r="G29" s="82"/>
      <c r="H29" s="82"/>
      <c r="I29" s="82"/>
      <c r="J29" s="82"/>
      <c r="K29" s="82"/>
      <c r="L29" s="82"/>
      <c r="M29" s="82"/>
      <c r="N29" s="82"/>
      <c r="O29" s="82"/>
      <c r="P29" s="82"/>
      <c r="Q29" s="82"/>
    </row>
    <row r="30" spans="2:18" s="3" customFormat="1" ht="17.399999999999999" customHeight="1" x14ac:dyDescent="0.3">
      <c r="B30" s="36" t="s">
        <v>23</v>
      </c>
      <c r="C30" s="82"/>
      <c r="D30" s="82"/>
      <c r="E30" s="82"/>
      <c r="F30" s="82"/>
      <c r="G30" s="82"/>
      <c r="H30" s="82"/>
      <c r="I30" s="82"/>
      <c r="J30" s="82"/>
      <c r="K30" s="82"/>
      <c r="L30" s="82"/>
      <c r="M30" s="82"/>
      <c r="N30" s="82"/>
      <c r="O30" s="82"/>
      <c r="P30" s="82"/>
      <c r="Q30" s="82"/>
    </row>
    <row r="31" spans="2:18" s="3" customFormat="1" ht="17.399999999999999" customHeight="1" x14ac:dyDescent="0.3">
      <c r="B31" s="82"/>
      <c r="C31" s="82"/>
      <c r="D31" s="82"/>
      <c r="E31" s="82"/>
      <c r="F31" s="82"/>
      <c r="G31" s="82"/>
      <c r="H31" s="82"/>
      <c r="I31" s="82"/>
      <c r="J31" s="82"/>
      <c r="K31" s="82"/>
      <c r="L31" s="82"/>
      <c r="M31" s="82"/>
      <c r="N31" s="82"/>
      <c r="O31" s="82"/>
      <c r="P31" s="82"/>
      <c r="Q31" s="82"/>
    </row>
    <row r="32" spans="2:18" s="3" customFormat="1" ht="17.399999999999999" customHeight="1" x14ac:dyDescent="0.3">
      <c r="B32" s="82"/>
      <c r="C32" s="82"/>
      <c r="D32" s="82"/>
      <c r="E32" s="82"/>
      <c r="F32" s="82"/>
      <c r="G32" s="82"/>
      <c r="H32" s="82"/>
      <c r="I32" s="82"/>
      <c r="J32" s="82"/>
      <c r="K32" s="82"/>
      <c r="L32" s="82"/>
      <c r="M32" s="82"/>
      <c r="N32" s="82"/>
      <c r="O32" s="82"/>
      <c r="P32" s="82"/>
      <c r="Q32" s="82"/>
    </row>
    <row r="33" spans="2:17" s="3" customFormat="1" ht="17.399999999999999" customHeight="1" x14ac:dyDescent="0.3">
      <c r="B33" s="82"/>
      <c r="C33" s="82"/>
      <c r="D33" s="82"/>
      <c r="E33" s="82"/>
      <c r="F33" s="82"/>
      <c r="G33" s="82"/>
      <c r="H33" s="82"/>
      <c r="I33" s="82"/>
      <c r="J33" s="82"/>
      <c r="K33" s="82"/>
      <c r="L33" s="82"/>
      <c r="M33" s="82"/>
      <c r="N33" s="82"/>
      <c r="O33" s="82"/>
      <c r="P33" s="82"/>
      <c r="Q33" s="82"/>
    </row>
    <row r="34" spans="2:17" s="3" customFormat="1" ht="17.399999999999999" customHeight="1" x14ac:dyDescent="0.3">
      <c r="B34" s="82"/>
      <c r="C34" s="82"/>
      <c r="D34" s="82"/>
      <c r="E34" s="82"/>
      <c r="F34" s="82"/>
      <c r="G34" s="82"/>
      <c r="H34" s="82"/>
      <c r="I34" s="82"/>
      <c r="J34" s="82"/>
      <c r="K34" s="82"/>
      <c r="L34" s="82"/>
      <c r="M34" s="82"/>
      <c r="N34" s="82"/>
      <c r="O34" s="82"/>
      <c r="P34" s="82"/>
      <c r="Q34" s="82"/>
    </row>
    <row r="35" spans="2:17" s="3" customFormat="1" ht="17.399999999999999" customHeight="1" x14ac:dyDescent="0.3">
      <c r="B35" s="82"/>
      <c r="C35" s="82"/>
      <c r="D35" s="82"/>
      <c r="E35" s="82"/>
      <c r="F35" s="82"/>
      <c r="G35" s="82"/>
      <c r="H35" s="82"/>
      <c r="I35" s="82"/>
      <c r="J35" s="82"/>
      <c r="K35" s="82"/>
      <c r="L35" s="82"/>
      <c r="M35" s="82"/>
      <c r="N35" s="82"/>
      <c r="O35" s="82"/>
      <c r="P35" s="82"/>
      <c r="Q35" s="82"/>
    </row>
    <row r="36" spans="2:17" s="3" customFormat="1" ht="17.399999999999999" customHeight="1" x14ac:dyDescent="0.3">
      <c r="B36" s="82"/>
      <c r="C36" s="82"/>
      <c r="D36" s="82"/>
      <c r="E36" s="82"/>
      <c r="F36" s="82"/>
      <c r="G36" s="82"/>
      <c r="H36" s="82"/>
      <c r="I36" s="82"/>
      <c r="J36" s="82"/>
      <c r="K36" s="82"/>
      <c r="L36" s="82"/>
      <c r="M36" s="82"/>
      <c r="N36" s="82"/>
      <c r="O36" s="82"/>
      <c r="P36" s="82"/>
      <c r="Q36" s="82"/>
    </row>
    <row r="37" spans="2:17" s="3" customFormat="1" ht="17.399999999999999" customHeight="1" x14ac:dyDescent="0.3">
      <c r="B37" s="82"/>
      <c r="C37" s="82"/>
      <c r="D37" s="82"/>
      <c r="E37" s="82"/>
      <c r="F37" s="82"/>
      <c r="G37" s="82"/>
      <c r="H37" s="82"/>
      <c r="I37" s="82"/>
      <c r="J37" s="82"/>
      <c r="K37" s="82"/>
      <c r="L37" s="82"/>
      <c r="M37" s="82"/>
      <c r="N37" s="82"/>
      <c r="O37" s="82"/>
      <c r="P37" s="82"/>
      <c r="Q37" s="82"/>
    </row>
    <row r="38" spans="2:17" s="3" customFormat="1" ht="17.399999999999999" customHeight="1" x14ac:dyDescent="0.3">
      <c r="B38" s="82"/>
      <c r="C38" s="82"/>
      <c r="D38" s="82"/>
      <c r="E38" s="82"/>
      <c r="F38" s="82"/>
      <c r="G38" s="82"/>
      <c r="H38" s="82"/>
      <c r="I38" s="82"/>
      <c r="J38" s="82"/>
      <c r="K38" s="82"/>
      <c r="L38" s="82"/>
      <c r="M38" s="82"/>
      <c r="N38" s="82"/>
      <c r="O38" s="82"/>
      <c r="P38" s="82"/>
      <c r="Q38" s="82"/>
    </row>
    <row r="39" spans="2:17" s="3" customFormat="1" ht="17.399999999999999" customHeight="1" x14ac:dyDescent="0.3">
      <c r="B39" s="82"/>
      <c r="C39" s="82"/>
      <c r="D39" s="82"/>
      <c r="E39" s="82"/>
      <c r="F39" s="82"/>
      <c r="G39" s="82"/>
      <c r="H39" s="82"/>
      <c r="I39" s="82"/>
      <c r="J39" s="82"/>
      <c r="K39" s="82"/>
      <c r="L39" s="82"/>
      <c r="M39" s="82"/>
      <c r="N39" s="82"/>
      <c r="O39" s="82"/>
      <c r="P39" s="82"/>
      <c r="Q39" s="82"/>
    </row>
    <row r="40" spans="2:17" s="3" customFormat="1" ht="17.399999999999999" customHeight="1" x14ac:dyDescent="0.3">
      <c r="B40" s="82"/>
      <c r="C40" s="82"/>
      <c r="D40" s="82"/>
      <c r="E40" s="82"/>
      <c r="F40" s="82"/>
      <c r="G40" s="82"/>
      <c r="H40" s="82"/>
      <c r="I40" s="82"/>
      <c r="J40" s="82"/>
      <c r="K40" s="82"/>
      <c r="L40" s="82"/>
      <c r="M40" s="82"/>
      <c r="N40" s="82"/>
      <c r="O40" s="82"/>
      <c r="P40" s="82"/>
      <c r="Q40" s="82"/>
    </row>
    <row r="41" spans="2:17" s="3" customFormat="1" ht="17.399999999999999" customHeight="1" x14ac:dyDescent="0.3">
      <c r="B41" s="82"/>
      <c r="C41" s="82"/>
      <c r="D41" s="82"/>
      <c r="E41" s="82"/>
      <c r="F41" s="82"/>
      <c r="G41" s="82"/>
      <c r="H41" s="82"/>
      <c r="I41" s="82"/>
      <c r="J41" s="82"/>
      <c r="K41" s="82"/>
      <c r="L41" s="82"/>
      <c r="M41" s="82"/>
      <c r="N41" s="82"/>
      <c r="O41" s="82"/>
      <c r="P41" s="82"/>
      <c r="Q41" s="82"/>
    </row>
    <row r="42" spans="2:17" s="3" customFormat="1" ht="17.399999999999999" customHeight="1" x14ac:dyDescent="0.3">
      <c r="B42" s="82"/>
      <c r="C42" s="82"/>
      <c r="D42" s="82"/>
      <c r="E42" s="82"/>
      <c r="F42" s="82"/>
      <c r="G42" s="82"/>
      <c r="H42" s="82"/>
      <c r="I42" s="82"/>
      <c r="J42" s="82"/>
      <c r="K42" s="82"/>
      <c r="L42" s="82"/>
      <c r="M42" s="82"/>
      <c r="N42" s="82"/>
      <c r="O42" s="82"/>
      <c r="P42" s="82"/>
      <c r="Q42" s="82"/>
    </row>
    <row r="43" spans="2:17" s="3" customFormat="1" ht="15.6" x14ac:dyDescent="0.3">
      <c r="B43" s="32"/>
      <c r="C43" s="35"/>
      <c r="D43" s="32"/>
      <c r="E43" s="32"/>
      <c r="F43" s="32"/>
    </row>
    <row r="44" spans="2:17" s="3" customFormat="1" ht="15.6" x14ac:dyDescent="0.3">
      <c r="B44" s="32" t="s">
        <v>24</v>
      </c>
      <c r="C44" s="35"/>
      <c r="D44" s="32"/>
      <c r="E44" s="32"/>
      <c r="F44" s="32"/>
    </row>
    <row r="45" spans="2:17" s="3" customFormat="1" ht="15.6" x14ac:dyDescent="0.3">
      <c r="B45" s="32"/>
      <c r="C45" s="35"/>
      <c r="D45" s="32"/>
      <c r="E45" s="32"/>
      <c r="F45" s="32"/>
    </row>
    <row r="46" spans="2:17" s="3" customFormat="1" ht="15.6" x14ac:dyDescent="0.3">
      <c r="B46" s="32"/>
      <c r="C46" s="35"/>
      <c r="D46" s="32"/>
      <c r="E46" s="32"/>
      <c r="F46" s="32"/>
    </row>
    <row r="47" spans="2:17" s="3" customFormat="1" ht="15.6" x14ac:dyDescent="0.3">
      <c r="B47" s="32"/>
      <c r="C47" s="35"/>
      <c r="D47" s="32"/>
      <c r="E47" s="32"/>
      <c r="F47" s="32"/>
    </row>
    <row r="48" spans="2:17" s="3" customFormat="1" ht="15.6" x14ac:dyDescent="0.3">
      <c r="B48" s="32"/>
      <c r="C48" s="35"/>
      <c r="D48" s="32"/>
      <c r="E48" s="32"/>
      <c r="F48" s="32"/>
    </row>
    <row r="49" spans="2:13" s="3" customFormat="1" ht="15.6" x14ac:dyDescent="0.3">
      <c r="B49" s="32"/>
      <c r="C49" s="35"/>
      <c r="D49" s="32"/>
      <c r="E49" s="32"/>
      <c r="F49" s="32"/>
    </row>
    <row r="50" spans="2:13" s="3" customFormat="1" ht="15.6" x14ac:dyDescent="0.3">
      <c r="B50" s="32"/>
      <c r="C50" s="35"/>
      <c r="D50" s="32"/>
      <c r="E50" s="32"/>
      <c r="F50" s="32"/>
    </row>
    <row r="51" spans="2:13" s="3" customFormat="1" ht="15.6" x14ac:dyDescent="0.3">
      <c r="B51" s="32"/>
      <c r="C51" s="35"/>
      <c r="D51" s="32"/>
      <c r="E51" s="32"/>
      <c r="F51" s="32"/>
    </row>
    <row r="52" spans="2:13" s="3" customFormat="1" ht="15.6" x14ac:dyDescent="0.3">
      <c r="B52" s="32" t="s">
        <v>25</v>
      </c>
      <c r="C52" s="35"/>
      <c r="D52" s="32"/>
      <c r="E52" s="32"/>
      <c r="F52" s="32"/>
    </row>
    <row r="53" spans="2:13" s="3" customFormat="1" ht="15.6" x14ac:dyDescent="0.3">
      <c r="B53" s="32" t="s">
        <v>26</v>
      </c>
      <c r="C53" s="35"/>
      <c r="D53" s="32"/>
      <c r="E53" s="32"/>
      <c r="F53" s="32"/>
    </row>
    <row r="54" spans="2:13" s="3" customFormat="1" ht="15.6" x14ac:dyDescent="0.3">
      <c r="B54" s="32"/>
      <c r="C54" s="35"/>
      <c r="D54" s="32"/>
      <c r="E54" s="32"/>
      <c r="F54" s="32"/>
    </row>
    <row r="55" spans="2:13" s="3" customFormat="1" ht="15.6" x14ac:dyDescent="0.3">
      <c r="B55" s="90" t="s">
        <v>27</v>
      </c>
      <c r="C55" s="90"/>
      <c r="D55" s="90"/>
      <c r="E55" s="90"/>
      <c r="F55" s="90"/>
      <c r="G55" s="90"/>
      <c r="H55" s="90"/>
      <c r="I55" s="90"/>
      <c r="J55" s="90"/>
      <c r="K55" s="90"/>
      <c r="L55" s="90"/>
      <c r="M55"/>
    </row>
    <row r="56" spans="2:13" s="3" customFormat="1" ht="15.6" x14ac:dyDescent="0.3">
      <c r="B56" s="32" t="s">
        <v>28</v>
      </c>
      <c r="C56" s="35"/>
      <c r="D56" s="32"/>
      <c r="E56" s="32"/>
      <c r="F56" s="32"/>
    </row>
    <row r="57" spans="2:13" s="3" customFormat="1" ht="15.6" x14ac:dyDescent="0.3">
      <c r="B57" s="32" t="s">
        <v>29</v>
      </c>
      <c r="C57" s="35"/>
      <c r="D57" s="32"/>
      <c r="E57" s="32"/>
      <c r="F57" s="32"/>
    </row>
    <row r="58" spans="2:13" s="3" customFormat="1" ht="15.6" x14ac:dyDescent="0.3">
      <c r="B58" s="32"/>
      <c r="C58" s="35"/>
      <c r="D58" s="32"/>
      <c r="E58" s="32"/>
      <c r="F58" s="32"/>
    </row>
    <row r="59" spans="2:13" s="3" customFormat="1" ht="15.6" x14ac:dyDescent="0.3">
      <c r="B59" s="32"/>
      <c r="C59" s="35"/>
      <c r="D59" s="32"/>
      <c r="E59" s="32"/>
      <c r="F59" s="32"/>
    </row>
    <row r="60" spans="2:13" s="3" customFormat="1" ht="15.6" x14ac:dyDescent="0.3">
      <c r="B60" s="32"/>
      <c r="C60" s="35"/>
      <c r="D60" s="32"/>
      <c r="E60" s="32"/>
      <c r="F60" s="32"/>
    </row>
    <row r="61" spans="2:13" s="3" customFormat="1" ht="15.6" x14ac:dyDescent="0.3">
      <c r="B61" s="32"/>
      <c r="C61" s="35"/>
      <c r="D61" s="32"/>
      <c r="E61" s="32"/>
      <c r="F61" s="32"/>
    </row>
    <row r="62" spans="2:13" s="3" customFormat="1" ht="15.6" x14ac:dyDescent="0.3">
      <c r="B62" s="32"/>
      <c r="C62" s="35"/>
      <c r="D62" s="32"/>
      <c r="E62" s="32"/>
      <c r="F62" s="32"/>
    </row>
    <row r="63" spans="2:13" s="3" customFormat="1" ht="15.6" x14ac:dyDescent="0.3">
      <c r="B63" s="32"/>
      <c r="C63" s="35"/>
      <c r="D63" s="32"/>
      <c r="E63" s="32"/>
      <c r="F63" s="32"/>
    </row>
    <row r="64" spans="2:13" s="3" customFormat="1" ht="15.6" x14ac:dyDescent="0.3">
      <c r="B64" s="32"/>
      <c r="C64" s="35"/>
      <c r="D64" s="32"/>
      <c r="E64" s="32"/>
      <c r="F64" s="32"/>
    </row>
    <row r="65" spans="2:6" s="3" customFormat="1" ht="15.6" x14ac:dyDescent="0.3">
      <c r="B65" s="32"/>
      <c r="C65" s="35"/>
      <c r="D65" s="32"/>
      <c r="E65" s="32"/>
      <c r="F65" s="32"/>
    </row>
    <row r="66" spans="2:6" s="3" customFormat="1" ht="15.6" x14ac:dyDescent="0.3">
      <c r="B66" s="32"/>
      <c r="C66" s="35"/>
      <c r="D66" s="32"/>
      <c r="E66" s="32"/>
      <c r="F66" s="32"/>
    </row>
    <row r="67" spans="2:6" s="3" customFormat="1" ht="15.6" x14ac:dyDescent="0.3">
      <c r="B67" s="32"/>
      <c r="C67" s="35"/>
      <c r="D67" s="32"/>
      <c r="E67" s="32"/>
      <c r="F67" s="32"/>
    </row>
    <row r="68" spans="2:6" s="3" customFormat="1" ht="15.6" x14ac:dyDescent="0.3">
      <c r="B68" s="32"/>
      <c r="C68" s="35"/>
      <c r="D68" s="32"/>
      <c r="E68" s="32"/>
      <c r="F68" s="32"/>
    </row>
    <row r="69" spans="2:6" s="3" customFormat="1" ht="15.6" x14ac:dyDescent="0.3">
      <c r="B69" s="32" t="s">
        <v>30</v>
      </c>
      <c r="C69" s="35"/>
      <c r="D69" s="32"/>
      <c r="E69" s="32"/>
      <c r="F69" s="32"/>
    </row>
    <row r="70" spans="2:6" s="3" customFormat="1" ht="15.6" x14ac:dyDescent="0.3">
      <c r="B70" s="32"/>
      <c r="C70" s="35"/>
      <c r="D70" s="32"/>
      <c r="E70" s="32"/>
      <c r="F70" s="32"/>
    </row>
    <row r="71" spans="2:6" s="3" customFormat="1" ht="15.6" x14ac:dyDescent="0.3">
      <c r="B71" s="32"/>
      <c r="C71" s="35"/>
      <c r="D71" s="32"/>
      <c r="E71" s="32"/>
      <c r="F71" s="32"/>
    </row>
    <row r="72" spans="2:6" s="3" customFormat="1" ht="15.6" x14ac:dyDescent="0.3">
      <c r="B72" s="32"/>
      <c r="C72" s="35"/>
      <c r="D72" s="32"/>
      <c r="E72" s="32"/>
      <c r="F72" s="32"/>
    </row>
    <row r="73" spans="2:6" s="3" customFormat="1" ht="15.6" x14ac:dyDescent="0.3">
      <c r="B73" s="32"/>
      <c r="C73" s="35"/>
      <c r="D73" s="32"/>
      <c r="E73" s="32"/>
      <c r="F73" s="32"/>
    </row>
    <row r="74" spans="2:6" s="3" customFormat="1" ht="15.6" x14ac:dyDescent="0.3">
      <c r="B74" s="32"/>
      <c r="C74" s="35"/>
      <c r="D74" s="32"/>
      <c r="E74" s="32"/>
      <c r="F74" s="32"/>
    </row>
    <row r="75" spans="2:6" s="3" customFormat="1" ht="15.6" x14ac:dyDescent="0.3">
      <c r="B75" s="32"/>
      <c r="C75" s="35"/>
      <c r="D75" s="32"/>
      <c r="E75" s="32"/>
      <c r="F75" s="32"/>
    </row>
    <row r="76" spans="2:6" s="3" customFormat="1" ht="15.6" x14ac:dyDescent="0.3">
      <c r="B76" s="32"/>
      <c r="C76" s="35"/>
      <c r="D76" s="32"/>
      <c r="E76" s="32"/>
      <c r="F76" s="32"/>
    </row>
    <row r="77" spans="2:6" s="3" customFormat="1" ht="15.6" x14ac:dyDescent="0.3">
      <c r="B77" s="32"/>
      <c r="C77" s="35"/>
      <c r="D77" s="32"/>
      <c r="E77" s="32"/>
      <c r="F77" s="32"/>
    </row>
    <row r="78" spans="2:6" s="3" customFormat="1" ht="15.6" x14ac:dyDescent="0.3">
      <c r="B78" s="32"/>
      <c r="C78" s="35"/>
      <c r="D78" s="32"/>
      <c r="E78" s="32"/>
      <c r="F78" s="32"/>
    </row>
    <row r="79" spans="2:6" s="3" customFormat="1" ht="15.6" x14ac:dyDescent="0.3">
      <c r="B79" s="32"/>
      <c r="C79" s="35"/>
      <c r="D79" s="32"/>
      <c r="E79" s="32"/>
      <c r="F79" s="32"/>
    </row>
    <row r="80" spans="2:6" s="3" customFormat="1" ht="15.6" x14ac:dyDescent="0.3">
      <c r="B80" s="32"/>
      <c r="C80" s="35"/>
      <c r="D80" s="32"/>
      <c r="E80" s="32"/>
      <c r="F80" s="32"/>
    </row>
    <row r="81" spans="2:18" s="3" customFormat="1" ht="15.6" x14ac:dyDescent="0.3">
      <c r="B81" s="32"/>
      <c r="C81" s="35"/>
      <c r="D81" s="32"/>
      <c r="E81" s="32"/>
      <c r="F81" s="32"/>
    </row>
    <row r="82" spans="2:18" s="3" customFormat="1" ht="15.6" x14ac:dyDescent="0.3">
      <c r="B82" s="32"/>
      <c r="C82" s="35"/>
      <c r="D82" s="32"/>
      <c r="E82" s="32"/>
      <c r="F82" s="32"/>
    </row>
    <row r="83" spans="2:18" s="3" customFormat="1" ht="15.6" x14ac:dyDescent="0.3">
      <c r="B83" s="32"/>
      <c r="C83" s="35"/>
      <c r="D83" s="32"/>
      <c r="E83" s="32"/>
      <c r="F83" s="32"/>
    </row>
    <row r="84" spans="2:18" s="3" customFormat="1" ht="15.6" x14ac:dyDescent="0.3">
      <c r="B84" s="34" t="s">
        <v>31</v>
      </c>
      <c r="C84" s="35"/>
      <c r="D84" s="32"/>
      <c r="E84" s="32"/>
      <c r="F84" s="32"/>
    </row>
    <row r="85" spans="2:18" s="3" customFormat="1" ht="15.6" x14ac:dyDescent="0.3">
      <c r="B85" s="86" t="s">
        <v>32</v>
      </c>
      <c r="C85" s="86"/>
      <c r="D85" s="86"/>
      <c r="E85" s="86"/>
      <c r="F85" s="86"/>
      <c r="G85" s="86"/>
      <c r="H85" s="86"/>
      <c r="I85" s="86"/>
      <c r="J85" s="86"/>
      <c r="K85" s="86"/>
      <c r="L85" s="86"/>
      <c r="M85" s="86"/>
      <c r="N85" s="37"/>
      <c r="O85" s="37"/>
      <c r="P85" s="37"/>
      <c r="Q85" s="37"/>
    </row>
    <row r="86" spans="2:18" s="3" customFormat="1" ht="18" customHeight="1" x14ac:dyDescent="0.3">
      <c r="B86" s="3" t="s">
        <v>33</v>
      </c>
      <c r="C86" s="38"/>
      <c r="D86" s="38"/>
      <c r="E86" s="38"/>
      <c r="F86" s="38"/>
      <c r="G86" s="38"/>
      <c r="H86" s="38"/>
      <c r="I86" s="38"/>
      <c r="J86" s="38"/>
      <c r="K86" s="38"/>
      <c r="L86" s="38"/>
      <c r="M86" s="38"/>
      <c r="N86" s="38"/>
      <c r="O86" s="38"/>
      <c r="P86" s="38"/>
      <c r="Q86" s="38"/>
      <c r="R86" s="38"/>
    </row>
    <row r="87" spans="2:18" s="3" customFormat="1" ht="18" customHeight="1" x14ac:dyDescent="0.3">
      <c r="B87" s="3" t="s">
        <v>34</v>
      </c>
      <c r="C87" s="38"/>
      <c r="D87" s="38"/>
      <c r="E87" s="38"/>
      <c r="F87" s="38"/>
      <c r="G87" s="38"/>
      <c r="H87" s="38"/>
      <c r="I87" s="38"/>
      <c r="J87" s="38"/>
      <c r="K87" s="38"/>
      <c r="L87" s="38"/>
      <c r="M87" s="38"/>
      <c r="N87" s="38"/>
      <c r="O87" s="38"/>
      <c r="P87" s="38"/>
      <c r="Q87" s="38"/>
      <c r="R87" s="38"/>
    </row>
    <row r="88" spans="2:18" s="3" customFormat="1" ht="15.6" x14ac:dyDescent="0.3">
      <c r="B88" s="39"/>
      <c r="C88" s="38"/>
      <c r="D88" s="38"/>
      <c r="E88" s="38"/>
      <c r="F88" s="38"/>
      <c r="G88" s="38"/>
      <c r="H88" s="38"/>
      <c r="I88" s="38"/>
      <c r="J88" s="38"/>
      <c r="K88" s="38"/>
      <c r="L88" s="38"/>
      <c r="M88" s="38"/>
      <c r="N88" s="38"/>
      <c r="O88" s="38"/>
      <c r="P88" s="38"/>
      <c r="Q88" s="38"/>
      <c r="R88" s="38"/>
    </row>
    <row r="89" spans="2:18" s="3" customFormat="1" ht="13.95" customHeight="1" x14ac:dyDescent="0.3">
      <c r="B89" s="34" t="s">
        <v>35</v>
      </c>
      <c r="C89" s="38"/>
      <c r="D89" s="38"/>
      <c r="E89" s="38"/>
      <c r="F89" s="38"/>
      <c r="G89" s="38"/>
      <c r="H89" s="38"/>
      <c r="I89" s="38"/>
      <c r="J89" s="38"/>
      <c r="K89" s="38"/>
      <c r="L89" s="38"/>
      <c r="M89" s="38"/>
      <c r="N89" s="38"/>
      <c r="O89" s="38"/>
      <c r="P89" s="38"/>
      <c r="Q89" s="38"/>
      <c r="R89" s="38"/>
    </row>
    <row r="90" spans="2:18" s="3" customFormat="1" ht="15.6" x14ac:dyDescent="0.3">
      <c r="B90" s="32" t="s">
        <v>36</v>
      </c>
      <c r="C90" s="38"/>
      <c r="D90" s="38"/>
      <c r="E90" s="38"/>
      <c r="F90" s="38"/>
      <c r="G90" s="38"/>
      <c r="H90" s="38"/>
      <c r="I90" s="38"/>
      <c r="J90" s="38"/>
      <c r="K90" s="38"/>
      <c r="L90" s="38"/>
      <c r="M90" s="38"/>
      <c r="N90" s="38"/>
      <c r="O90" s="38"/>
      <c r="P90" s="38"/>
      <c r="Q90" s="38"/>
      <c r="R90" s="38"/>
    </row>
    <row r="91" spans="2:18" s="3" customFormat="1" ht="15.6" customHeight="1" x14ac:dyDescent="0.3">
      <c r="B91" s="32" t="s">
        <v>37</v>
      </c>
      <c r="C91" s="38"/>
      <c r="D91" s="38"/>
      <c r="E91" s="38"/>
      <c r="F91" s="38"/>
      <c r="G91" s="38"/>
      <c r="H91" s="38"/>
      <c r="I91" s="38"/>
      <c r="J91" s="38"/>
      <c r="K91" s="38"/>
      <c r="L91" s="38"/>
      <c r="M91" s="38"/>
      <c r="N91" s="38"/>
      <c r="O91" s="38"/>
      <c r="P91" s="38"/>
      <c r="Q91" s="38"/>
      <c r="R91" s="38"/>
    </row>
    <row r="92" spans="2:18" s="3" customFormat="1" ht="15.6" customHeight="1" x14ac:dyDescent="0.3">
      <c r="B92" s="32"/>
      <c r="C92" s="38"/>
      <c r="D92" s="38"/>
      <c r="E92" s="38"/>
      <c r="F92" s="38"/>
      <c r="G92" s="38"/>
      <c r="H92" s="38"/>
      <c r="I92" s="38"/>
      <c r="J92" s="38"/>
      <c r="K92" s="38"/>
      <c r="L92" s="38"/>
      <c r="M92" s="38"/>
      <c r="N92" s="38"/>
      <c r="O92" s="38"/>
      <c r="P92" s="38"/>
      <c r="Q92" s="38"/>
      <c r="R92" s="38"/>
    </row>
    <row r="93" spans="2:18" s="3" customFormat="1" ht="15.6" customHeight="1" x14ac:dyDescent="0.3">
      <c r="B93" s="32"/>
      <c r="C93" s="38"/>
      <c r="D93" s="38"/>
      <c r="E93" s="38"/>
      <c r="F93" s="38"/>
      <c r="G93" s="38"/>
      <c r="H93" s="38"/>
      <c r="I93" s="38"/>
      <c r="J93" s="38"/>
      <c r="K93" s="38"/>
      <c r="L93" s="38"/>
      <c r="M93" s="38"/>
      <c r="N93" s="38"/>
      <c r="O93" s="38"/>
      <c r="P93" s="38"/>
      <c r="Q93" s="38"/>
      <c r="R93" s="38"/>
    </row>
    <row r="94" spans="2:18" s="3" customFormat="1" ht="15.6" customHeight="1" x14ac:dyDescent="0.3">
      <c r="B94" s="32"/>
      <c r="C94" s="38"/>
      <c r="D94" s="38"/>
      <c r="E94" s="38"/>
      <c r="F94" s="38"/>
      <c r="G94" s="38"/>
      <c r="H94" s="38"/>
      <c r="I94" s="38"/>
      <c r="J94" s="38"/>
      <c r="K94" s="38"/>
      <c r="L94" s="38"/>
      <c r="M94" s="38"/>
      <c r="N94" s="38"/>
      <c r="O94" s="38"/>
      <c r="P94" s="38"/>
      <c r="Q94" s="38"/>
      <c r="R94" s="38"/>
    </row>
    <row r="95" spans="2:18" s="3" customFormat="1" ht="15.6" customHeight="1" x14ac:dyDescent="0.3">
      <c r="B95" s="32"/>
      <c r="C95" s="38"/>
      <c r="D95" s="38"/>
      <c r="E95" s="38"/>
      <c r="F95" s="38"/>
      <c r="G95" s="38"/>
      <c r="H95" s="38"/>
      <c r="I95" s="38"/>
      <c r="J95" s="38"/>
      <c r="K95" s="38"/>
      <c r="L95" s="38"/>
      <c r="M95" s="38"/>
      <c r="N95" s="38"/>
      <c r="O95" s="38"/>
      <c r="P95" s="38"/>
      <c r="Q95" s="38"/>
      <c r="R95" s="38"/>
    </row>
    <row r="96" spans="2:18" s="3" customFormat="1" ht="15.6" customHeight="1" x14ac:dyDescent="0.3">
      <c r="B96" s="32"/>
      <c r="C96" s="38"/>
      <c r="D96" s="38"/>
      <c r="E96" s="38"/>
      <c r="F96" s="38"/>
      <c r="G96" s="38"/>
      <c r="H96" s="38"/>
      <c r="I96" s="38"/>
      <c r="J96" s="38"/>
      <c r="K96" s="38"/>
      <c r="L96" s="38"/>
      <c r="M96" s="38"/>
      <c r="N96" s="38"/>
      <c r="O96" s="38"/>
      <c r="P96" s="38"/>
      <c r="Q96" s="38"/>
      <c r="R96" s="38"/>
    </row>
    <row r="97" spans="2:18" s="3" customFormat="1" ht="15.6" customHeight="1" x14ac:dyDescent="0.3">
      <c r="B97" s="32"/>
      <c r="C97" s="38"/>
      <c r="D97" s="38"/>
      <c r="E97" s="38"/>
      <c r="F97" s="38"/>
      <c r="G97" s="38"/>
      <c r="H97" s="38"/>
      <c r="I97" s="38"/>
      <c r="J97" s="38"/>
      <c r="K97" s="38"/>
      <c r="L97" s="38"/>
      <c r="M97" s="38"/>
      <c r="N97" s="38"/>
      <c r="O97" s="38"/>
      <c r="P97" s="38"/>
      <c r="Q97" s="38"/>
      <c r="R97" s="38"/>
    </row>
    <row r="98" spans="2:18" s="3" customFormat="1" ht="15.6" customHeight="1" x14ac:dyDescent="0.3">
      <c r="B98" s="32"/>
      <c r="C98" s="38"/>
      <c r="D98" s="38"/>
      <c r="E98" s="38"/>
      <c r="F98" s="38"/>
      <c r="G98" s="38"/>
      <c r="H98" s="38"/>
      <c r="I98" s="38"/>
      <c r="J98" s="38"/>
      <c r="K98" s="38"/>
      <c r="L98" s="38"/>
      <c r="M98" s="38"/>
      <c r="N98" s="38"/>
      <c r="O98" s="38"/>
      <c r="P98" s="38"/>
      <c r="Q98" s="38"/>
      <c r="R98" s="38"/>
    </row>
    <row r="99" spans="2:18" s="3" customFormat="1" ht="15.6" customHeight="1" x14ac:dyDescent="0.3">
      <c r="B99" s="32"/>
      <c r="C99" s="38"/>
      <c r="D99" s="38"/>
      <c r="E99" s="38"/>
      <c r="F99" s="38"/>
      <c r="G99" s="38"/>
      <c r="H99" s="38"/>
      <c r="I99" s="38"/>
      <c r="J99" s="38"/>
      <c r="K99" s="38"/>
      <c r="L99" s="38"/>
      <c r="M99" s="38"/>
      <c r="N99" s="38"/>
      <c r="O99" s="38"/>
      <c r="P99" s="38"/>
      <c r="Q99" s="38"/>
      <c r="R99" s="38"/>
    </row>
    <row r="100" spans="2:18" s="3" customFormat="1" ht="15.6" customHeight="1" x14ac:dyDescent="0.3">
      <c r="B100" s="32"/>
      <c r="C100" s="38"/>
      <c r="D100" s="38"/>
      <c r="E100" s="38"/>
      <c r="F100" s="38"/>
      <c r="G100" s="38"/>
      <c r="H100" s="38"/>
      <c r="I100" s="38"/>
      <c r="J100" s="38"/>
      <c r="K100" s="38"/>
      <c r="L100" s="38"/>
      <c r="M100" s="38"/>
      <c r="N100" s="38"/>
      <c r="O100" s="38"/>
      <c r="P100" s="38"/>
      <c r="Q100" s="38"/>
      <c r="R100" s="38"/>
    </row>
    <row r="101" spans="2:18" s="3" customFormat="1" ht="15.6" customHeight="1" x14ac:dyDescent="0.3">
      <c r="B101" s="32"/>
      <c r="C101" s="38"/>
      <c r="D101" s="38"/>
      <c r="E101" s="38"/>
      <c r="F101" s="38"/>
      <c r="G101" s="38"/>
      <c r="H101" s="38"/>
      <c r="I101" s="38"/>
      <c r="J101" s="38"/>
      <c r="K101" s="38"/>
      <c r="L101" s="38"/>
      <c r="M101" s="38"/>
      <c r="N101" s="38"/>
      <c r="O101" s="38"/>
      <c r="P101" s="38"/>
      <c r="Q101" s="38"/>
      <c r="R101" s="38"/>
    </row>
    <row r="102" spans="2:18" s="3" customFormat="1" ht="15.6" customHeight="1" x14ac:dyDescent="0.3">
      <c r="B102" s="32"/>
      <c r="C102" s="38"/>
      <c r="D102" s="38"/>
      <c r="E102" s="38"/>
      <c r="F102" s="38"/>
      <c r="G102" s="38"/>
      <c r="H102" s="38"/>
      <c r="I102" s="38"/>
      <c r="J102" s="38"/>
      <c r="K102" s="38"/>
      <c r="L102" s="38"/>
      <c r="M102" s="38"/>
      <c r="N102" s="38"/>
      <c r="O102" s="38"/>
      <c r="P102" s="38"/>
      <c r="Q102" s="38"/>
      <c r="R102" s="38"/>
    </row>
    <row r="103" spans="2:18" s="3" customFormat="1" ht="15.6" customHeight="1" x14ac:dyDescent="0.3">
      <c r="B103" s="32"/>
      <c r="C103" s="38"/>
      <c r="D103" s="38"/>
      <c r="E103" s="38"/>
      <c r="F103" s="38"/>
      <c r="G103" s="38"/>
      <c r="H103" s="38"/>
      <c r="I103" s="38"/>
      <c r="J103" s="38"/>
      <c r="K103" s="38"/>
      <c r="L103" s="38"/>
      <c r="M103" s="38"/>
      <c r="N103" s="38"/>
      <c r="O103" s="38"/>
      <c r="P103" s="38"/>
      <c r="Q103" s="38"/>
      <c r="R103" s="38"/>
    </row>
    <row r="104" spans="2:18" s="3" customFormat="1" ht="37.200000000000003" customHeight="1" x14ac:dyDescent="0.3">
      <c r="B104" s="86" t="s">
        <v>38</v>
      </c>
      <c r="C104" s="86"/>
      <c r="D104" s="86"/>
      <c r="E104" s="86"/>
      <c r="F104" s="86"/>
      <c r="G104" s="86"/>
      <c r="H104" s="86"/>
      <c r="I104" s="86"/>
      <c r="J104" s="86"/>
      <c r="K104" s="86"/>
      <c r="L104" s="86"/>
      <c r="M104" s="86"/>
      <c r="N104" s="86"/>
      <c r="O104" s="86"/>
      <c r="P104" s="86"/>
      <c r="Q104" s="86"/>
      <c r="R104" s="38"/>
    </row>
    <row r="105" spans="2:18" s="3" customFormat="1" ht="285.60000000000002" customHeight="1" x14ac:dyDescent="0.3">
      <c r="B105" s="86" t="s">
        <v>39</v>
      </c>
      <c r="C105" s="86"/>
      <c r="D105" s="86"/>
      <c r="E105" s="86"/>
      <c r="F105" s="86"/>
      <c r="G105" s="86"/>
      <c r="H105" s="86"/>
      <c r="I105" s="86"/>
      <c r="J105" s="86"/>
      <c r="K105" s="86"/>
      <c r="L105" s="86"/>
      <c r="M105" s="41"/>
      <c r="N105" s="41"/>
      <c r="O105" s="41"/>
      <c r="P105" s="41"/>
      <c r="Q105" s="41"/>
      <c r="R105" s="38"/>
    </row>
    <row r="106" spans="2:18" s="3" customFormat="1" ht="15.6" x14ac:dyDescent="0.3">
      <c r="B106" s="32"/>
      <c r="D106" s="32"/>
      <c r="E106" s="32"/>
      <c r="F106" s="32"/>
    </row>
    <row r="107" spans="2:18" ht="15.6" x14ac:dyDescent="0.3">
      <c r="B107" s="86" t="s">
        <v>40</v>
      </c>
      <c r="C107" s="86"/>
      <c r="D107" s="86"/>
      <c r="E107" s="86"/>
      <c r="F107" s="86"/>
      <c r="G107" s="86"/>
      <c r="H107" s="86"/>
      <c r="I107" s="86"/>
      <c r="J107" s="86"/>
      <c r="K107" s="86"/>
      <c r="L107" s="86"/>
      <c r="M107" s="86"/>
      <c r="N107" s="86"/>
      <c r="O107" s="86"/>
      <c r="P107" s="86"/>
      <c r="Q107" s="86"/>
    </row>
    <row r="108" spans="2:18" ht="15.6" x14ac:dyDescent="0.3">
      <c r="B108" s="82"/>
      <c r="C108" s="82"/>
      <c r="D108" s="82"/>
      <c r="E108" s="82"/>
      <c r="F108" s="82"/>
      <c r="G108" s="82"/>
      <c r="H108" s="82"/>
      <c r="I108" s="82"/>
      <c r="J108" s="82"/>
      <c r="K108" s="82"/>
      <c r="L108" s="82"/>
      <c r="M108" s="82"/>
      <c r="N108" s="82"/>
      <c r="O108" s="82"/>
      <c r="P108" s="82"/>
      <c r="Q108" s="82"/>
    </row>
    <row r="109" spans="2:18" ht="15.6" x14ac:dyDescent="0.3">
      <c r="B109" s="40" t="s">
        <v>41</v>
      </c>
      <c r="C109" s="82"/>
      <c r="D109" s="82"/>
      <c r="E109" s="82"/>
      <c r="F109" s="82"/>
      <c r="G109" s="82"/>
      <c r="H109" s="82"/>
      <c r="I109" s="82"/>
      <c r="J109" s="82"/>
      <c r="K109" s="82"/>
      <c r="L109" s="82"/>
      <c r="M109" s="82"/>
      <c r="N109" s="82"/>
      <c r="O109" s="82"/>
      <c r="P109" s="82"/>
      <c r="Q109" s="82"/>
    </row>
    <row r="110" spans="2:18" ht="37.200000000000003" customHeight="1" x14ac:dyDescent="0.3">
      <c r="B110" s="86" t="s">
        <v>42</v>
      </c>
      <c r="C110" s="86"/>
      <c r="D110" s="86"/>
      <c r="E110" s="86"/>
      <c r="F110" s="86"/>
      <c r="G110" s="86"/>
      <c r="H110" s="86"/>
      <c r="I110" s="86"/>
      <c r="J110" s="86"/>
      <c r="K110" s="86"/>
      <c r="L110" s="86"/>
      <c r="M110" s="86"/>
      <c r="N110" s="41"/>
      <c r="O110" s="41"/>
      <c r="P110" s="41"/>
      <c r="Q110" s="41"/>
    </row>
    <row r="111" spans="2:18" ht="15.6" customHeight="1" x14ac:dyDescent="0.3">
      <c r="B111" s="86" t="s">
        <v>43</v>
      </c>
      <c r="C111" s="86"/>
      <c r="D111" s="86"/>
      <c r="E111" s="86"/>
      <c r="F111" s="86"/>
      <c r="G111" s="86"/>
      <c r="H111" s="86"/>
      <c r="I111" s="86"/>
      <c r="J111" s="86"/>
      <c r="K111" s="86"/>
      <c r="L111" s="86"/>
      <c r="M111" s="86"/>
      <c r="N111" s="86"/>
      <c r="O111" s="86"/>
      <c r="P111" s="86"/>
      <c r="Q111" s="86"/>
    </row>
    <row r="112" spans="2:18" ht="15.6" customHeight="1" x14ac:dyDescent="0.3">
      <c r="B112" s="86"/>
      <c r="C112" s="86"/>
      <c r="D112" s="86"/>
      <c r="E112" s="86"/>
      <c r="F112" s="86"/>
      <c r="G112" s="86"/>
      <c r="H112" s="86"/>
      <c r="I112" s="86"/>
      <c r="J112" s="86"/>
      <c r="K112" s="86"/>
      <c r="L112" s="86"/>
      <c r="M112" s="86"/>
      <c r="N112" s="86"/>
      <c r="O112" s="86"/>
      <c r="P112" s="86"/>
      <c r="Q112" s="86"/>
    </row>
    <row r="113" spans="2:17" ht="15.6" x14ac:dyDescent="0.3">
      <c r="B113" s="86"/>
      <c r="C113" s="86"/>
      <c r="D113" s="86"/>
      <c r="E113" s="86"/>
      <c r="F113" s="86"/>
      <c r="G113" s="86"/>
      <c r="H113" s="86"/>
      <c r="I113" s="86"/>
      <c r="J113" s="86"/>
      <c r="K113" s="86"/>
      <c r="L113" s="86"/>
      <c r="M113" s="86"/>
      <c r="N113" s="86"/>
      <c r="O113" s="86"/>
      <c r="P113" s="86"/>
      <c r="Q113" s="86"/>
    </row>
    <row r="114" spans="2:17" ht="15.6" x14ac:dyDescent="0.3">
      <c r="B114" s="86"/>
      <c r="C114" s="86"/>
      <c r="D114" s="86"/>
      <c r="E114" s="86"/>
      <c r="F114" s="86"/>
      <c r="G114" s="86"/>
      <c r="H114" s="86"/>
      <c r="I114" s="86"/>
      <c r="J114" s="86"/>
      <c r="K114" s="86"/>
      <c r="L114" s="86"/>
      <c r="M114" s="86"/>
      <c r="N114" s="86"/>
      <c r="O114" s="86"/>
      <c r="P114" s="86"/>
      <c r="Q114" s="86"/>
    </row>
    <row r="121" spans="2:17" ht="15.6" x14ac:dyDescent="0.3">
      <c r="B121" s="36" t="s">
        <v>44</v>
      </c>
    </row>
    <row r="122" spans="2:17" ht="15.6" x14ac:dyDescent="0.3">
      <c r="B122" s="36"/>
    </row>
    <row r="123" spans="2:17" ht="15.6" x14ac:dyDescent="0.3">
      <c r="B123" s="36" t="s">
        <v>45</v>
      </c>
    </row>
    <row r="124" spans="2:17" ht="15.6" x14ac:dyDescent="0.3">
      <c r="B124" s="36"/>
    </row>
    <row r="125" spans="2:17" ht="15.6" x14ac:dyDescent="0.3">
      <c r="B125" s="36"/>
    </row>
    <row r="126" spans="2:17" ht="15.6" x14ac:dyDescent="0.3">
      <c r="B126" s="36"/>
    </row>
    <row r="127" spans="2:17" ht="15.6" x14ac:dyDescent="0.3">
      <c r="B127" s="36"/>
    </row>
    <row r="128" spans="2:17" ht="15.6" x14ac:dyDescent="0.3">
      <c r="B128" s="36"/>
    </row>
    <row r="129" spans="2:2" ht="15.6" x14ac:dyDescent="0.3">
      <c r="B129" s="36"/>
    </row>
    <row r="130" spans="2:2" ht="15.6" x14ac:dyDescent="0.3">
      <c r="B130" s="36"/>
    </row>
    <row r="131" spans="2:2" ht="15.6" x14ac:dyDescent="0.3">
      <c r="B131" s="36" t="s">
        <v>46</v>
      </c>
    </row>
    <row r="132" spans="2:2" ht="15.6" x14ac:dyDescent="0.3">
      <c r="B132" s="36"/>
    </row>
    <row r="133" spans="2:2" ht="15.6" x14ac:dyDescent="0.3">
      <c r="B133" s="36"/>
    </row>
    <row r="134" spans="2:2" ht="15.6" x14ac:dyDescent="0.3">
      <c r="B134" s="36"/>
    </row>
    <row r="135" spans="2:2" ht="15.6" x14ac:dyDescent="0.3">
      <c r="B135" s="36"/>
    </row>
    <row r="136" spans="2:2" ht="15.6" x14ac:dyDescent="0.3">
      <c r="B136" s="36"/>
    </row>
    <row r="137" spans="2:2" ht="15.6" x14ac:dyDescent="0.3">
      <c r="B137" s="36" t="s">
        <v>47</v>
      </c>
    </row>
    <row r="138" spans="2:2" ht="15.6" x14ac:dyDescent="0.3">
      <c r="B138" s="36"/>
    </row>
  </sheetData>
  <mergeCells count="15">
    <mergeCell ref="B107:Q107"/>
    <mergeCell ref="B24:L24"/>
    <mergeCell ref="B25:L25"/>
    <mergeCell ref="B28:L28"/>
    <mergeCell ref="B55:L55"/>
    <mergeCell ref="B20:R20"/>
    <mergeCell ref="B27:Q27"/>
    <mergeCell ref="B85:M85"/>
    <mergeCell ref="B104:Q104"/>
    <mergeCell ref="B105:L105"/>
    <mergeCell ref="B110:M110"/>
    <mergeCell ref="B111:Q111"/>
    <mergeCell ref="B112:Q112"/>
    <mergeCell ref="B113:Q113"/>
    <mergeCell ref="B114:Q11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00BAE-6195-4D09-A771-2B41D51A7DBA}">
  <sheetPr codeName="ShMatTachesComp">
    <tabColor rgb="FFFFC000"/>
  </sheetPr>
  <dimension ref="B1:AE861"/>
  <sheetViews>
    <sheetView showGridLines="0" tabSelected="1" workbookViewId="0">
      <selection activeCell="B708" sqref="B708"/>
    </sheetView>
  </sheetViews>
  <sheetFormatPr baseColWidth="10" defaultColWidth="14.33203125" defaultRowHeight="14.4" x14ac:dyDescent="0.3"/>
  <cols>
    <col min="1" max="1" width="3.109375" customWidth="1"/>
    <col min="2" max="2" width="58.33203125" customWidth="1"/>
    <col min="3" max="3" width="23.6640625" hidden="1" customWidth="1"/>
  </cols>
  <sheetData>
    <row r="1" spans="2:31" ht="19.95" customHeight="1" x14ac:dyDescent="0.3">
      <c r="C1" s="93" t="s">
        <v>0</v>
      </c>
      <c r="D1" s="93"/>
      <c r="E1" s="93"/>
      <c r="F1" s="93"/>
      <c r="G1" s="98" t="s">
        <v>1</v>
      </c>
      <c r="H1" s="98"/>
      <c r="I1" s="98"/>
      <c r="K1" s="93" t="s">
        <v>2</v>
      </c>
      <c r="L1" s="93"/>
      <c r="M1" s="93"/>
      <c r="N1" s="93"/>
      <c r="O1" s="93"/>
      <c r="P1" s="98" t="s">
        <v>3</v>
      </c>
      <c r="Q1" s="98"/>
      <c r="R1" s="98"/>
      <c r="S1" s="98"/>
      <c r="T1" s="98"/>
      <c r="X1" s="97" t="s">
        <v>4</v>
      </c>
      <c r="Y1" s="97"/>
      <c r="Z1" s="97"/>
      <c r="AA1" s="97"/>
      <c r="AB1" s="95">
        <v>44893</v>
      </c>
      <c r="AC1" s="95"/>
      <c r="AD1" s="95"/>
      <c r="AE1" s="95"/>
    </row>
    <row r="2" spans="2:31" ht="16.2" hidden="1" customHeight="1" x14ac:dyDescent="0.3">
      <c r="C2" s="10"/>
      <c r="D2" s="10"/>
      <c r="E2" s="10"/>
      <c r="F2" s="10"/>
      <c r="G2" s="10"/>
      <c r="H2" s="10"/>
      <c r="I2" s="10"/>
      <c r="K2" s="10"/>
      <c r="L2" s="10"/>
      <c r="M2" s="11"/>
      <c r="N2" s="11"/>
      <c r="P2" s="11"/>
      <c r="Q2" s="11"/>
      <c r="R2" s="11"/>
      <c r="S2" s="11"/>
      <c r="T2" s="11"/>
      <c r="X2" s="3"/>
      <c r="AB2" s="4"/>
    </row>
    <row r="3" spans="2:31" ht="19.95" customHeight="1" x14ac:dyDescent="0.3">
      <c r="C3" s="93" t="s">
        <v>5</v>
      </c>
      <c r="D3" s="93"/>
      <c r="E3" s="93"/>
      <c r="F3" s="93"/>
      <c r="G3" s="98" t="s">
        <v>6</v>
      </c>
      <c r="H3" s="98"/>
      <c r="I3" s="98"/>
      <c r="K3" s="93" t="s">
        <v>7</v>
      </c>
      <c r="L3" s="93"/>
      <c r="M3" s="93"/>
      <c r="N3" s="93"/>
      <c r="O3" s="93"/>
      <c r="P3" s="98" t="s">
        <v>8</v>
      </c>
      <c r="Q3" s="98"/>
      <c r="R3" s="98"/>
      <c r="S3" s="98"/>
      <c r="T3" s="98"/>
      <c r="X3" s="97" t="s">
        <v>9</v>
      </c>
      <c r="Y3" s="97"/>
      <c r="Z3" s="97"/>
      <c r="AA3" s="97"/>
      <c r="AB3" s="95"/>
      <c r="AC3" s="95"/>
      <c r="AD3" s="95"/>
      <c r="AE3" s="95"/>
    </row>
    <row r="4" spans="2:31" ht="14.4" hidden="1" customHeight="1" x14ac:dyDescent="0.3">
      <c r="X4" s="3"/>
      <c r="AB4" s="4"/>
    </row>
    <row r="5" spans="2:31" ht="19.95" customHeight="1" thickBot="1" x14ac:dyDescent="0.35">
      <c r="X5" s="96" t="s">
        <v>10</v>
      </c>
      <c r="Y5" s="96"/>
      <c r="Z5" s="96"/>
      <c r="AA5" s="96"/>
      <c r="AB5" s="96" t="s">
        <v>11</v>
      </c>
      <c r="AC5" s="96"/>
      <c r="AD5" s="96"/>
      <c r="AE5" s="96"/>
    </row>
    <row r="6" spans="2:31" ht="28.2" customHeight="1" thickTop="1" thickBot="1" x14ac:dyDescent="0.35">
      <c r="B6" s="7" t="s">
        <v>48</v>
      </c>
      <c r="C6" s="6"/>
      <c r="D6" s="6"/>
      <c r="E6" s="6"/>
      <c r="F6" s="6"/>
      <c r="G6" s="6"/>
      <c r="H6" s="6"/>
      <c r="I6" s="6"/>
      <c r="J6" s="6"/>
      <c r="K6" s="6"/>
      <c r="L6" s="6"/>
      <c r="M6" s="6"/>
      <c r="N6" s="6"/>
      <c r="O6" s="6"/>
      <c r="P6" s="6"/>
      <c r="Q6" s="6"/>
      <c r="R6" s="6"/>
      <c r="S6" s="6"/>
      <c r="T6" s="6"/>
      <c r="U6" s="6"/>
      <c r="V6" s="6"/>
      <c r="W6" s="6"/>
      <c r="X6" s="6"/>
      <c r="Y6" s="6"/>
      <c r="Z6" s="6"/>
      <c r="AA6" s="6"/>
      <c r="AB6" s="6"/>
      <c r="AC6" s="6"/>
      <c r="AD6" s="6"/>
      <c r="AE6" s="6"/>
    </row>
    <row r="7" spans="2:31" ht="10.199999999999999" customHeight="1" thickTop="1" x14ac:dyDescent="0.3"/>
    <row r="8" spans="2:31" ht="6" hidden="1" customHeight="1" thickTop="1" x14ac:dyDescent="0.3"/>
    <row r="9" spans="2:31" ht="1.95" customHeight="1" x14ac:dyDescent="0.3"/>
    <row r="10" spans="2:31" ht="16.95" customHeight="1" x14ac:dyDescent="0.3">
      <c r="D10" s="62" t="s">
        <v>49</v>
      </c>
      <c r="E10" s="91" t="s">
        <v>50</v>
      </c>
      <c r="F10" s="92"/>
    </row>
    <row r="11" spans="2:31" ht="9.6" customHeight="1" x14ac:dyDescent="0.3"/>
    <row r="12" spans="2:31" ht="25.2" customHeight="1" x14ac:dyDescent="0.3">
      <c r="B12" s="52"/>
      <c r="C12" s="94" t="s">
        <v>51</v>
      </c>
      <c r="D12" s="94"/>
      <c r="E12" s="94"/>
      <c r="F12" s="94"/>
      <c r="G12" s="94"/>
      <c r="H12" s="94"/>
      <c r="I12" s="94"/>
      <c r="J12" s="94"/>
      <c r="K12" s="94"/>
      <c r="L12" s="94"/>
      <c r="M12" s="94"/>
      <c r="N12" s="94"/>
      <c r="O12" s="94"/>
      <c r="P12" s="94"/>
      <c r="Q12" s="94"/>
      <c r="R12" s="94"/>
      <c r="S12" s="94"/>
      <c r="T12" s="94"/>
      <c r="U12" s="94"/>
    </row>
    <row r="13" spans="2:31" s="24" customFormat="1" ht="36" x14ac:dyDescent="0.25">
      <c r="B13" s="21" t="s">
        <v>52</v>
      </c>
      <c r="C13" s="22" t="s">
        <v>53</v>
      </c>
      <c r="D13" s="22" t="s">
        <v>54</v>
      </c>
      <c r="E13" s="22" t="s">
        <v>55</v>
      </c>
      <c r="F13" s="22" t="s">
        <v>56</v>
      </c>
      <c r="G13" s="22" t="s">
        <v>57</v>
      </c>
      <c r="H13" s="22" t="s">
        <v>58</v>
      </c>
      <c r="I13" s="22" t="s">
        <v>59</v>
      </c>
      <c r="J13" s="22" t="s">
        <v>60</v>
      </c>
      <c r="K13" s="48" t="s">
        <v>61</v>
      </c>
    </row>
    <row r="14" spans="2:31" ht="13.95" hidden="1" customHeight="1" x14ac:dyDescent="0.3">
      <c r="B14" s="12" t="s">
        <v>62</v>
      </c>
      <c r="C14" s="12" t="s">
        <v>63</v>
      </c>
      <c r="D14" s="74"/>
      <c r="E14" s="74"/>
      <c r="F14" s="74"/>
      <c r="G14" s="74"/>
      <c r="H14" s="74"/>
      <c r="I14" s="74"/>
      <c r="J14" s="74"/>
      <c r="K14" s="74"/>
      <c r="L14" s="57"/>
    </row>
    <row r="15" spans="2:31" ht="13.95" hidden="1" customHeight="1" x14ac:dyDescent="0.3">
      <c r="B15" s="12" t="s">
        <v>64</v>
      </c>
      <c r="C15" s="12" t="s">
        <v>63</v>
      </c>
      <c r="D15" s="74"/>
      <c r="E15" s="74"/>
      <c r="F15" s="74"/>
      <c r="G15" s="74"/>
      <c r="H15" s="74"/>
      <c r="I15" s="74"/>
      <c r="J15" s="74"/>
      <c r="K15" s="74"/>
      <c r="L15" s="57"/>
    </row>
    <row r="16" spans="2:31" ht="13.95" hidden="1" customHeight="1" x14ac:dyDescent="0.3">
      <c r="B16" s="12" t="s">
        <v>65</v>
      </c>
      <c r="C16" s="12" t="s">
        <v>63</v>
      </c>
      <c r="D16" s="74"/>
      <c r="E16" s="74"/>
      <c r="F16" s="74"/>
      <c r="G16" s="74"/>
      <c r="H16" s="74"/>
      <c r="I16" s="74"/>
      <c r="J16" s="74"/>
      <c r="K16" s="74"/>
      <c r="L16" s="57"/>
    </row>
    <row r="17" spans="2:12" ht="13.95" hidden="1" customHeight="1" x14ac:dyDescent="0.3">
      <c r="B17" s="12" t="s">
        <v>66</v>
      </c>
      <c r="C17" s="12" t="s">
        <v>63</v>
      </c>
      <c r="D17" s="74"/>
      <c r="E17" s="74"/>
      <c r="F17" s="74"/>
      <c r="G17" s="74"/>
      <c r="H17" s="74"/>
      <c r="I17" s="74"/>
      <c r="J17" s="74"/>
      <c r="K17" s="74"/>
      <c r="L17" s="57"/>
    </row>
    <row r="18" spans="2:12" ht="13.95" hidden="1" customHeight="1" x14ac:dyDescent="0.3">
      <c r="B18" s="12" t="s">
        <v>67</v>
      </c>
      <c r="C18" s="12" t="s">
        <v>63</v>
      </c>
      <c r="D18" s="74"/>
      <c r="E18" s="74"/>
      <c r="F18" s="74"/>
      <c r="G18" s="74"/>
      <c r="H18" s="74"/>
      <c r="I18" s="74"/>
      <c r="J18" s="74"/>
      <c r="K18" s="74"/>
      <c r="L18" s="57"/>
    </row>
    <row r="19" spans="2:12" ht="13.95" hidden="1" customHeight="1" x14ac:dyDescent="0.3">
      <c r="B19" s="12" t="s">
        <v>68</v>
      </c>
      <c r="C19" s="12" t="s">
        <v>63</v>
      </c>
      <c r="D19" s="74"/>
      <c r="E19" s="74"/>
      <c r="F19" s="74"/>
      <c r="G19" s="74"/>
      <c r="H19" s="74"/>
      <c r="I19" s="74"/>
      <c r="J19" s="74"/>
      <c r="K19" s="74"/>
      <c r="L19" s="57"/>
    </row>
    <row r="20" spans="2:12" ht="13.95" hidden="1" customHeight="1" x14ac:dyDescent="0.3">
      <c r="B20" s="12" t="s">
        <v>69</v>
      </c>
      <c r="C20" s="12" t="s">
        <v>63</v>
      </c>
      <c r="D20" s="74"/>
      <c r="E20" s="74"/>
      <c r="F20" s="74"/>
      <c r="G20" s="74"/>
      <c r="H20" s="74"/>
      <c r="I20" s="74"/>
      <c r="J20" s="74"/>
      <c r="K20" s="74"/>
      <c r="L20" s="57"/>
    </row>
    <row r="21" spans="2:12" ht="13.95" hidden="1" customHeight="1" x14ac:dyDescent="0.3">
      <c r="B21" s="12" t="s">
        <v>70</v>
      </c>
      <c r="C21" s="12" t="s">
        <v>63</v>
      </c>
      <c r="D21" s="74"/>
      <c r="E21" s="74"/>
      <c r="F21" s="74"/>
      <c r="G21" s="74"/>
      <c r="H21" s="74"/>
      <c r="I21" s="74"/>
      <c r="J21" s="74"/>
      <c r="K21" s="74"/>
      <c r="L21" s="57"/>
    </row>
    <row r="22" spans="2:12" ht="13.95" hidden="1" customHeight="1" x14ac:dyDescent="0.3">
      <c r="B22" s="12" t="s">
        <v>71</v>
      </c>
      <c r="C22" s="12" t="s">
        <v>63</v>
      </c>
      <c r="D22" s="74"/>
      <c r="E22" s="74"/>
      <c r="F22" s="74"/>
      <c r="G22" s="74"/>
      <c r="H22" s="74"/>
      <c r="I22" s="74"/>
      <c r="J22" s="74"/>
      <c r="K22" s="74"/>
      <c r="L22" s="57"/>
    </row>
    <row r="23" spans="2:12" ht="13.95" hidden="1" customHeight="1" x14ac:dyDescent="0.3">
      <c r="B23" s="12" t="s">
        <v>72</v>
      </c>
      <c r="C23" s="12" t="s">
        <v>63</v>
      </c>
      <c r="D23" s="74"/>
      <c r="E23" s="74"/>
      <c r="F23" s="74"/>
      <c r="G23" s="74"/>
      <c r="H23" s="74"/>
      <c r="I23" s="74"/>
      <c r="J23" s="74"/>
      <c r="K23" s="74"/>
      <c r="L23" s="57"/>
    </row>
    <row r="24" spans="2:12" ht="13.95" hidden="1" customHeight="1" x14ac:dyDescent="0.3">
      <c r="B24" s="12" t="s">
        <v>73</v>
      </c>
      <c r="C24" s="12" t="s">
        <v>63</v>
      </c>
      <c r="D24" s="74"/>
      <c r="E24" s="74"/>
      <c r="F24" s="74"/>
      <c r="G24" s="74"/>
      <c r="H24" s="74"/>
      <c r="I24" s="74"/>
      <c r="J24" s="74"/>
      <c r="K24" s="74"/>
      <c r="L24" s="57"/>
    </row>
    <row r="25" spans="2:12" ht="13.95" hidden="1" customHeight="1" x14ac:dyDescent="0.3">
      <c r="B25" s="12" t="s">
        <v>74</v>
      </c>
      <c r="C25" s="12" t="s">
        <v>63</v>
      </c>
      <c r="D25" s="74"/>
      <c r="E25" s="74"/>
      <c r="F25" s="74"/>
      <c r="G25" s="74"/>
      <c r="H25" s="74"/>
      <c r="I25" s="74"/>
      <c r="J25" s="74"/>
      <c r="K25" s="74"/>
      <c r="L25" s="57"/>
    </row>
    <row r="26" spans="2:12" ht="13.95" hidden="1" customHeight="1" x14ac:dyDescent="0.3">
      <c r="B26" s="12" t="s">
        <v>75</v>
      </c>
      <c r="C26" s="12" t="s">
        <v>63</v>
      </c>
      <c r="D26" s="74"/>
      <c r="E26" s="74"/>
      <c r="F26" s="74"/>
      <c r="G26" s="74"/>
      <c r="H26" s="74"/>
      <c r="I26" s="74"/>
      <c r="J26" s="74"/>
      <c r="K26" s="74"/>
      <c r="L26" s="57"/>
    </row>
    <row r="27" spans="2:12" ht="13.95" hidden="1" customHeight="1" x14ac:dyDescent="0.3">
      <c r="B27" s="12" t="s">
        <v>76</v>
      </c>
      <c r="C27" s="12" t="s">
        <v>63</v>
      </c>
      <c r="D27" s="74"/>
      <c r="E27" s="74"/>
      <c r="F27" s="74"/>
      <c r="G27" s="74"/>
      <c r="H27" s="74"/>
      <c r="I27" s="74"/>
      <c r="J27" s="74"/>
      <c r="K27" s="74"/>
      <c r="L27" s="57"/>
    </row>
    <row r="28" spans="2:12" ht="13.95" hidden="1" customHeight="1" x14ac:dyDescent="0.3">
      <c r="B28" s="12" t="s">
        <v>77</v>
      </c>
      <c r="C28" s="12" t="s">
        <v>63</v>
      </c>
      <c r="D28" s="74"/>
      <c r="E28" s="74"/>
      <c r="F28" s="74"/>
      <c r="G28" s="74"/>
      <c r="H28" s="74"/>
      <c r="I28" s="74"/>
      <c r="J28" s="74"/>
      <c r="K28" s="74"/>
      <c r="L28" s="57"/>
    </row>
    <row r="29" spans="2:12" ht="14.4" hidden="1" customHeight="1" x14ac:dyDescent="0.3">
      <c r="B29" s="12" t="s">
        <v>78</v>
      </c>
      <c r="C29" s="12" t="s">
        <v>63</v>
      </c>
      <c r="D29" s="74"/>
      <c r="E29" s="74"/>
      <c r="F29" s="74"/>
      <c r="G29" s="74"/>
      <c r="H29" s="74"/>
      <c r="I29" s="74"/>
      <c r="J29" s="74"/>
      <c r="K29" s="74"/>
      <c r="L29" s="57"/>
    </row>
    <row r="30" spans="2:12" ht="13.95" hidden="1" customHeight="1" x14ac:dyDescent="0.3">
      <c r="B30" s="12" t="s">
        <v>79</v>
      </c>
      <c r="C30" s="12" t="s">
        <v>63</v>
      </c>
      <c r="D30" s="74"/>
      <c r="E30" s="74"/>
      <c r="F30" s="74"/>
      <c r="G30" s="74"/>
      <c r="H30" s="74"/>
      <c r="I30" s="74"/>
      <c r="J30" s="74"/>
      <c r="K30" s="74"/>
      <c r="L30" s="57"/>
    </row>
    <row r="31" spans="2:12" ht="13.95" hidden="1" customHeight="1" x14ac:dyDescent="0.3">
      <c r="B31" s="12" t="s">
        <v>80</v>
      </c>
      <c r="C31" s="12" t="s">
        <v>63</v>
      </c>
      <c r="D31" s="74"/>
      <c r="E31" s="74"/>
      <c r="F31" s="74"/>
      <c r="G31" s="74"/>
      <c r="H31" s="74"/>
      <c r="I31" s="74"/>
      <c r="J31" s="74"/>
      <c r="K31" s="74"/>
      <c r="L31" s="57"/>
    </row>
    <row r="32" spans="2:12" ht="13.95" hidden="1" customHeight="1" x14ac:dyDescent="0.3">
      <c r="B32" s="12" t="s">
        <v>81</v>
      </c>
      <c r="C32" s="12" t="s">
        <v>63</v>
      </c>
      <c r="D32" s="74"/>
      <c r="E32" s="74"/>
      <c r="F32" s="74"/>
      <c r="G32" s="74"/>
      <c r="H32" s="74"/>
      <c r="I32" s="74"/>
      <c r="J32" s="74"/>
      <c r="K32" s="74"/>
      <c r="L32" s="57"/>
    </row>
    <row r="33" spans="2:12" ht="13.95" hidden="1" customHeight="1" x14ac:dyDescent="0.3">
      <c r="B33" s="12" t="s">
        <v>82</v>
      </c>
      <c r="C33" s="12" t="s">
        <v>63</v>
      </c>
      <c r="D33" s="74"/>
      <c r="E33" s="74"/>
      <c r="F33" s="74"/>
      <c r="G33" s="74"/>
      <c r="H33" s="74"/>
      <c r="I33" s="74"/>
      <c r="J33" s="74"/>
      <c r="K33" s="74"/>
      <c r="L33" s="57"/>
    </row>
    <row r="34" spans="2:12" ht="13.95" hidden="1" customHeight="1" x14ac:dyDescent="0.3">
      <c r="B34" s="12" t="s">
        <v>83</v>
      </c>
      <c r="C34" s="12" t="s">
        <v>63</v>
      </c>
      <c r="D34" s="74"/>
      <c r="E34" s="74"/>
      <c r="F34" s="74"/>
      <c r="G34" s="74"/>
      <c r="H34" s="74"/>
      <c r="I34" s="74"/>
      <c r="J34" s="74"/>
      <c r="K34" s="74"/>
      <c r="L34" s="57"/>
    </row>
    <row r="35" spans="2:12" ht="13.95" hidden="1" customHeight="1" x14ac:dyDescent="0.3">
      <c r="B35" s="12" t="s">
        <v>84</v>
      </c>
      <c r="C35" s="12" t="s">
        <v>63</v>
      </c>
      <c r="D35" s="74"/>
      <c r="E35" s="74"/>
      <c r="F35" s="74"/>
      <c r="G35" s="74"/>
      <c r="H35" s="74"/>
      <c r="I35" s="74"/>
      <c r="J35" s="74"/>
      <c r="K35" s="74"/>
      <c r="L35" s="57"/>
    </row>
    <row r="36" spans="2:12" ht="13.95" hidden="1" customHeight="1" x14ac:dyDescent="0.3">
      <c r="B36" s="12" t="s">
        <v>85</v>
      </c>
      <c r="C36" s="12" t="s">
        <v>63</v>
      </c>
      <c r="D36" s="74"/>
      <c r="E36" s="74"/>
      <c r="F36" s="74"/>
      <c r="G36" s="74"/>
      <c r="H36" s="74"/>
      <c r="I36" s="74"/>
      <c r="J36" s="74"/>
      <c r="K36" s="74"/>
      <c r="L36" s="57"/>
    </row>
    <row r="37" spans="2:12" ht="13.95" hidden="1" customHeight="1" x14ac:dyDescent="0.3">
      <c r="B37" s="12" t="s">
        <v>86</v>
      </c>
      <c r="C37" s="12" t="s">
        <v>63</v>
      </c>
      <c r="D37" s="74"/>
      <c r="E37" s="74"/>
      <c r="F37" s="74"/>
      <c r="G37" s="74"/>
      <c r="H37" s="74"/>
      <c r="I37" s="74"/>
      <c r="J37" s="74"/>
      <c r="K37" s="74"/>
      <c r="L37" s="57"/>
    </row>
    <row r="38" spans="2:12" ht="13.95" hidden="1" customHeight="1" x14ac:dyDescent="0.3">
      <c r="B38" s="12" t="s">
        <v>87</v>
      </c>
      <c r="C38" s="12" t="s">
        <v>63</v>
      </c>
      <c r="D38" s="74"/>
      <c r="E38" s="74"/>
      <c r="F38" s="74"/>
      <c r="G38" s="74"/>
      <c r="H38" s="74"/>
      <c r="I38" s="74"/>
      <c r="J38" s="74"/>
      <c r="K38" s="74"/>
      <c r="L38" s="57"/>
    </row>
    <row r="39" spans="2:12" ht="13.95" hidden="1" customHeight="1" x14ac:dyDescent="0.3">
      <c r="B39" s="12" t="s">
        <v>88</v>
      </c>
      <c r="C39" s="12" t="s">
        <v>63</v>
      </c>
      <c r="D39" s="74"/>
      <c r="E39" s="74"/>
      <c r="F39" s="74"/>
      <c r="G39" s="74"/>
      <c r="H39" s="74"/>
      <c r="I39" s="74"/>
      <c r="J39" s="74"/>
      <c r="K39" s="74"/>
      <c r="L39" s="57"/>
    </row>
    <row r="40" spans="2:12" ht="13.95" hidden="1" customHeight="1" x14ac:dyDescent="0.3">
      <c r="B40" s="12" t="s">
        <v>89</v>
      </c>
      <c r="C40" s="12" t="s">
        <v>63</v>
      </c>
      <c r="D40" s="74"/>
      <c r="E40" s="74"/>
      <c r="F40" s="74"/>
      <c r="G40" s="74"/>
      <c r="H40" s="74"/>
      <c r="I40" s="74"/>
      <c r="J40" s="74"/>
      <c r="K40" s="74"/>
      <c r="L40" s="57"/>
    </row>
    <row r="41" spans="2:12" ht="13.95" hidden="1" customHeight="1" x14ac:dyDescent="0.3">
      <c r="B41" s="12" t="s">
        <v>90</v>
      </c>
      <c r="C41" s="12" t="s">
        <v>63</v>
      </c>
      <c r="D41" s="74"/>
      <c r="E41" s="74"/>
      <c r="F41" s="74"/>
      <c r="G41" s="74"/>
      <c r="H41" s="74"/>
      <c r="I41" s="74"/>
      <c r="J41" s="74"/>
      <c r="K41" s="74"/>
      <c r="L41" s="57"/>
    </row>
    <row r="42" spans="2:12" ht="13.95" hidden="1" customHeight="1" x14ac:dyDescent="0.3">
      <c r="B42" s="12" t="s">
        <v>91</v>
      </c>
      <c r="C42" s="12" t="s">
        <v>63</v>
      </c>
      <c r="D42" s="74"/>
      <c r="E42" s="74"/>
      <c r="F42" s="74"/>
      <c r="G42" s="74"/>
      <c r="H42" s="74"/>
      <c r="I42" s="74"/>
      <c r="J42" s="74"/>
      <c r="K42" s="74"/>
      <c r="L42" s="57"/>
    </row>
    <row r="43" spans="2:12" ht="13.95" hidden="1" customHeight="1" x14ac:dyDescent="0.3">
      <c r="B43" s="12" t="s">
        <v>92</v>
      </c>
      <c r="C43" s="12" t="s">
        <v>63</v>
      </c>
      <c r="D43" s="74"/>
      <c r="E43" s="74"/>
      <c r="F43" s="74"/>
      <c r="G43" s="74"/>
      <c r="H43" s="74"/>
      <c r="I43" s="74"/>
      <c r="J43" s="74"/>
      <c r="K43" s="74"/>
      <c r="L43" s="57"/>
    </row>
    <row r="44" spans="2:12" ht="13.95" hidden="1" customHeight="1" x14ac:dyDescent="0.3">
      <c r="B44" s="12" t="s">
        <v>93</v>
      </c>
      <c r="C44" s="12" t="s">
        <v>63</v>
      </c>
      <c r="D44" s="74"/>
      <c r="E44" s="74"/>
      <c r="F44" s="74"/>
      <c r="G44" s="74"/>
      <c r="H44" s="74"/>
      <c r="I44" s="74"/>
      <c r="J44" s="74"/>
      <c r="K44" s="74"/>
      <c r="L44" s="57"/>
    </row>
    <row r="45" spans="2:12" ht="13.95" hidden="1" customHeight="1" x14ac:dyDescent="0.3">
      <c r="B45" s="12" t="s">
        <v>94</v>
      </c>
      <c r="C45" s="12" t="s">
        <v>63</v>
      </c>
      <c r="D45" s="74"/>
      <c r="E45" s="74"/>
      <c r="F45" s="74"/>
      <c r="G45" s="74"/>
      <c r="H45" s="74"/>
      <c r="I45" s="74"/>
      <c r="J45" s="74"/>
      <c r="K45" s="74"/>
      <c r="L45" s="57"/>
    </row>
    <row r="46" spans="2:12" ht="13.95" hidden="1" customHeight="1" x14ac:dyDescent="0.3">
      <c r="B46" s="12" t="s">
        <v>95</v>
      </c>
      <c r="C46" s="12" t="s">
        <v>63</v>
      </c>
      <c r="D46" s="74"/>
      <c r="E46" s="74"/>
      <c r="F46" s="74"/>
      <c r="G46" s="74"/>
      <c r="H46" s="74"/>
      <c r="I46" s="74"/>
      <c r="J46" s="74"/>
      <c r="K46" s="74"/>
      <c r="L46" s="57"/>
    </row>
    <row r="47" spans="2:12" ht="13.95" hidden="1" customHeight="1" x14ac:dyDescent="0.3">
      <c r="B47" s="12" t="s">
        <v>96</v>
      </c>
      <c r="C47" s="12" t="s">
        <v>63</v>
      </c>
      <c r="D47" s="74"/>
      <c r="E47" s="74"/>
      <c r="F47" s="74"/>
      <c r="G47" s="74"/>
      <c r="H47" s="74"/>
      <c r="I47" s="74"/>
      <c r="J47" s="74"/>
      <c r="K47" s="74"/>
      <c r="L47" s="57"/>
    </row>
    <row r="48" spans="2:12" ht="13.95" hidden="1" customHeight="1" x14ac:dyDescent="0.3">
      <c r="B48" s="12" t="s">
        <v>97</v>
      </c>
      <c r="C48" s="12" t="s">
        <v>63</v>
      </c>
      <c r="D48" s="74"/>
      <c r="E48" s="74"/>
      <c r="F48" s="74"/>
      <c r="G48" s="74"/>
      <c r="H48" s="74"/>
      <c r="I48" s="74"/>
      <c r="J48" s="74"/>
      <c r="K48" s="74"/>
      <c r="L48" s="57"/>
    </row>
    <row r="49" spans="2:12" ht="13.95" hidden="1" customHeight="1" x14ac:dyDescent="0.3">
      <c r="B49" s="12" t="s">
        <v>98</v>
      </c>
      <c r="C49" s="12" t="s">
        <v>63</v>
      </c>
      <c r="D49" s="74"/>
      <c r="E49" s="74"/>
      <c r="F49" s="74"/>
      <c r="G49" s="74"/>
      <c r="H49" s="74"/>
      <c r="I49" s="74"/>
      <c r="J49" s="74"/>
      <c r="K49" s="74"/>
      <c r="L49" s="57"/>
    </row>
    <row r="50" spans="2:12" ht="13.95" hidden="1" customHeight="1" x14ac:dyDescent="0.3">
      <c r="B50" s="12" t="s">
        <v>99</v>
      </c>
      <c r="C50" s="12" t="s">
        <v>63</v>
      </c>
      <c r="D50" s="74"/>
      <c r="E50" s="74"/>
      <c r="F50" s="74"/>
      <c r="G50" s="74"/>
      <c r="H50" s="74"/>
      <c r="I50" s="74"/>
      <c r="J50" s="74"/>
      <c r="K50" s="74"/>
      <c r="L50" s="57"/>
    </row>
    <row r="51" spans="2:12" ht="13.95" hidden="1" customHeight="1" x14ac:dyDescent="0.3">
      <c r="B51" s="12" t="s">
        <v>100</v>
      </c>
      <c r="C51" s="12" t="s">
        <v>63</v>
      </c>
      <c r="D51" s="74"/>
      <c r="E51" s="74"/>
      <c r="F51" s="74"/>
      <c r="G51" s="74"/>
      <c r="H51" s="74"/>
      <c r="I51" s="74"/>
      <c r="J51" s="74"/>
      <c r="K51" s="74"/>
      <c r="L51" s="57"/>
    </row>
    <row r="52" spans="2:12" ht="13.95" hidden="1" customHeight="1" x14ac:dyDescent="0.3">
      <c r="B52" s="12" t="s">
        <v>101</v>
      </c>
      <c r="C52" s="12" t="s">
        <v>63</v>
      </c>
      <c r="D52" s="74"/>
      <c r="E52" s="74"/>
      <c r="F52" s="74"/>
      <c r="G52" s="74"/>
      <c r="H52" s="74"/>
      <c r="I52" s="74"/>
      <c r="J52" s="74"/>
      <c r="K52" s="74"/>
      <c r="L52" s="57"/>
    </row>
    <row r="53" spans="2:12" ht="13.95" hidden="1" customHeight="1" x14ac:dyDescent="0.3">
      <c r="B53" s="12" t="s">
        <v>102</v>
      </c>
      <c r="C53" s="12" t="s">
        <v>63</v>
      </c>
      <c r="D53" s="74"/>
      <c r="E53" s="74"/>
      <c r="F53" s="74"/>
      <c r="G53" s="74"/>
      <c r="H53" s="74"/>
      <c r="I53" s="74"/>
      <c r="J53" s="74"/>
      <c r="K53" s="74"/>
      <c r="L53" s="57"/>
    </row>
    <row r="54" spans="2:12" ht="13.95" hidden="1" customHeight="1" x14ac:dyDescent="0.3">
      <c r="B54" s="12" t="s">
        <v>103</v>
      </c>
      <c r="C54" s="12" t="s">
        <v>63</v>
      </c>
      <c r="D54" s="74"/>
      <c r="E54" s="74"/>
      <c r="F54" s="74"/>
      <c r="G54" s="74"/>
      <c r="H54" s="74"/>
      <c r="I54" s="74"/>
      <c r="J54" s="74"/>
      <c r="K54" s="74"/>
      <c r="L54" s="57"/>
    </row>
    <row r="55" spans="2:12" ht="13.95" hidden="1" customHeight="1" x14ac:dyDescent="0.3">
      <c r="B55" s="12" t="s">
        <v>104</v>
      </c>
      <c r="C55" s="12" t="s">
        <v>63</v>
      </c>
      <c r="D55" s="74"/>
      <c r="E55" s="74"/>
      <c r="F55" s="74"/>
      <c r="G55" s="74"/>
      <c r="H55" s="74"/>
      <c r="I55" s="74"/>
      <c r="J55" s="74"/>
      <c r="K55" s="74"/>
      <c r="L55" s="57"/>
    </row>
    <row r="56" spans="2:12" ht="13.95" hidden="1" customHeight="1" x14ac:dyDescent="0.3">
      <c r="B56" s="12" t="s">
        <v>105</v>
      </c>
      <c r="C56" s="12" t="s">
        <v>63</v>
      </c>
      <c r="D56" s="74"/>
      <c r="E56" s="74"/>
      <c r="F56" s="74"/>
      <c r="G56" s="74"/>
      <c r="H56" s="74"/>
      <c r="I56" s="74"/>
      <c r="J56" s="74"/>
      <c r="K56" s="74"/>
      <c r="L56" s="57"/>
    </row>
    <row r="57" spans="2:12" ht="13.95" hidden="1" customHeight="1" x14ac:dyDescent="0.3">
      <c r="B57" s="12" t="s">
        <v>106</v>
      </c>
      <c r="C57" s="12" t="s">
        <v>63</v>
      </c>
      <c r="D57" s="74"/>
      <c r="E57" s="74"/>
      <c r="F57" s="74"/>
      <c r="G57" s="74"/>
      <c r="H57" s="74"/>
      <c r="I57" s="74"/>
      <c r="J57" s="74"/>
      <c r="K57" s="74"/>
      <c r="L57" s="57"/>
    </row>
    <row r="58" spans="2:12" ht="13.95" hidden="1" customHeight="1" x14ac:dyDescent="0.3">
      <c r="B58" s="12" t="s">
        <v>107</v>
      </c>
      <c r="C58" s="12" t="s">
        <v>63</v>
      </c>
      <c r="D58" s="74"/>
      <c r="E58" s="74"/>
      <c r="F58" s="74"/>
      <c r="G58" s="74"/>
      <c r="H58" s="74"/>
      <c r="I58" s="74"/>
      <c r="J58" s="74"/>
      <c r="K58" s="74"/>
      <c r="L58" s="57"/>
    </row>
    <row r="59" spans="2:12" ht="13.95" hidden="1" customHeight="1" x14ac:dyDescent="0.3">
      <c r="B59" s="12" t="s">
        <v>108</v>
      </c>
      <c r="C59" s="12" t="s">
        <v>63</v>
      </c>
      <c r="D59" s="74"/>
      <c r="E59" s="74"/>
      <c r="F59" s="74"/>
      <c r="G59" s="74"/>
      <c r="H59" s="74"/>
      <c r="I59" s="74"/>
      <c r="J59" s="74"/>
      <c r="K59" s="74"/>
      <c r="L59" s="57"/>
    </row>
    <row r="60" spans="2:12" ht="13.95" hidden="1" customHeight="1" x14ac:dyDescent="0.3">
      <c r="B60" s="12" t="s">
        <v>109</v>
      </c>
      <c r="C60" s="12" t="s">
        <v>63</v>
      </c>
      <c r="D60" s="74"/>
      <c r="E60" s="74"/>
      <c r="F60" s="74"/>
      <c r="G60" s="74"/>
      <c r="H60" s="74"/>
      <c r="I60" s="74"/>
      <c r="J60" s="74"/>
      <c r="K60" s="74"/>
      <c r="L60" s="57"/>
    </row>
    <row r="61" spans="2:12" ht="13.95" hidden="1" customHeight="1" x14ac:dyDescent="0.3">
      <c r="B61" s="12" t="s">
        <v>110</v>
      </c>
      <c r="C61" s="12" t="s">
        <v>63</v>
      </c>
      <c r="D61" s="74"/>
      <c r="E61" s="74"/>
      <c r="F61" s="74"/>
      <c r="G61" s="74"/>
      <c r="H61" s="74"/>
      <c r="I61" s="74"/>
      <c r="J61" s="74"/>
      <c r="K61" s="74"/>
      <c r="L61" s="57"/>
    </row>
    <row r="62" spans="2:12" ht="13.95" hidden="1" customHeight="1" x14ac:dyDescent="0.3">
      <c r="B62" s="12" t="s">
        <v>111</v>
      </c>
      <c r="C62" s="12" t="s">
        <v>63</v>
      </c>
      <c r="D62" s="74"/>
      <c r="E62" s="74"/>
      <c r="F62" s="74"/>
      <c r="G62" s="74"/>
      <c r="H62" s="74"/>
      <c r="I62" s="74"/>
      <c r="J62" s="74"/>
      <c r="K62" s="74"/>
      <c r="L62" s="57"/>
    </row>
    <row r="63" spans="2:12" ht="13.95" hidden="1" customHeight="1" x14ac:dyDescent="0.3">
      <c r="B63" s="12" t="s">
        <v>112</v>
      </c>
      <c r="C63" s="12" t="s">
        <v>63</v>
      </c>
      <c r="D63" s="74"/>
      <c r="E63" s="74"/>
      <c r="F63" s="74"/>
      <c r="G63" s="74"/>
      <c r="H63" s="74"/>
      <c r="I63" s="74"/>
      <c r="J63" s="74"/>
      <c r="K63" s="74"/>
      <c r="L63" s="57"/>
    </row>
    <row r="64" spans="2:12" ht="13.95" hidden="1" customHeight="1" x14ac:dyDescent="0.3">
      <c r="B64" s="12" t="s">
        <v>113</v>
      </c>
      <c r="C64" s="12" t="s">
        <v>63</v>
      </c>
      <c r="D64" s="74"/>
      <c r="E64" s="74"/>
      <c r="F64" s="74"/>
      <c r="G64" s="74"/>
      <c r="H64" s="74"/>
      <c r="I64" s="74"/>
      <c r="J64" s="74"/>
      <c r="K64" s="74"/>
      <c r="L64" s="57"/>
    </row>
    <row r="65" spans="2:12" ht="13.95" hidden="1" customHeight="1" x14ac:dyDescent="0.3">
      <c r="B65" s="12" t="s">
        <v>114</v>
      </c>
      <c r="C65" s="12" t="s">
        <v>63</v>
      </c>
      <c r="D65" s="74"/>
      <c r="E65" s="74"/>
      <c r="F65" s="74"/>
      <c r="G65" s="74"/>
      <c r="H65" s="74"/>
      <c r="I65" s="74"/>
      <c r="J65" s="74"/>
      <c r="K65" s="74"/>
      <c r="L65" s="57"/>
    </row>
    <row r="66" spans="2:12" ht="13.95" hidden="1" customHeight="1" x14ac:dyDescent="0.3">
      <c r="B66" s="12" t="s">
        <v>115</v>
      </c>
      <c r="C66" s="12" t="s">
        <v>63</v>
      </c>
      <c r="D66" s="74"/>
      <c r="E66" s="74"/>
      <c r="F66" s="74"/>
      <c r="G66" s="74"/>
      <c r="H66" s="74"/>
      <c r="I66" s="74"/>
      <c r="J66" s="74"/>
      <c r="K66" s="74"/>
      <c r="L66" s="57"/>
    </row>
    <row r="67" spans="2:12" ht="13.95" hidden="1" customHeight="1" x14ac:dyDescent="0.3">
      <c r="B67" s="12" t="s">
        <v>62</v>
      </c>
      <c r="C67" s="12" t="s">
        <v>116</v>
      </c>
      <c r="D67" s="74"/>
      <c r="E67" s="74"/>
      <c r="F67" s="74"/>
      <c r="G67" s="74"/>
      <c r="H67" s="74"/>
      <c r="I67" s="74"/>
      <c r="J67" s="74"/>
      <c r="K67" s="74"/>
      <c r="L67" s="57"/>
    </row>
    <row r="68" spans="2:12" ht="13.95" hidden="1" customHeight="1" x14ac:dyDescent="0.3">
      <c r="B68" s="12" t="s">
        <v>64</v>
      </c>
      <c r="C68" s="12" t="s">
        <v>116</v>
      </c>
      <c r="D68" s="74"/>
      <c r="E68" s="74"/>
      <c r="F68" s="74"/>
      <c r="G68" s="74"/>
      <c r="H68" s="74"/>
      <c r="I68" s="74"/>
      <c r="J68" s="74"/>
      <c r="K68" s="74"/>
      <c r="L68" s="57"/>
    </row>
    <row r="69" spans="2:12" ht="13.95" hidden="1" customHeight="1" x14ac:dyDescent="0.3">
      <c r="B69" s="12" t="s">
        <v>65</v>
      </c>
      <c r="C69" s="12" t="s">
        <v>116</v>
      </c>
      <c r="D69" s="74"/>
      <c r="E69" s="74"/>
      <c r="F69" s="74"/>
      <c r="G69" s="74"/>
      <c r="H69" s="74"/>
      <c r="I69" s="74"/>
      <c r="J69" s="74"/>
      <c r="K69" s="74"/>
      <c r="L69" s="57"/>
    </row>
    <row r="70" spans="2:12" ht="13.95" hidden="1" customHeight="1" x14ac:dyDescent="0.3">
      <c r="B70" s="12" t="s">
        <v>66</v>
      </c>
      <c r="C70" s="12" t="s">
        <v>116</v>
      </c>
      <c r="D70" s="74"/>
      <c r="E70" s="74"/>
      <c r="F70" s="74"/>
      <c r="G70" s="74"/>
      <c r="H70" s="74"/>
      <c r="I70" s="74"/>
      <c r="J70" s="74"/>
      <c r="K70" s="74"/>
      <c r="L70" s="57"/>
    </row>
    <row r="71" spans="2:12" ht="13.95" hidden="1" customHeight="1" x14ac:dyDescent="0.3">
      <c r="B71" s="12" t="s">
        <v>67</v>
      </c>
      <c r="C71" s="12" t="s">
        <v>116</v>
      </c>
      <c r="D71" s="74"/>
      <c r="E71" s="74"/>
      <c r="F71" s="74"/>
      <c r="G71" s="74"/>
      <c r="H71" s="74"/>
      <c r="I71" s="74"/>
      <c r="J71" s="74"/>
      <c r="K71" s="74"/>
      <c r="L71" s="57"/>
    </row>
    <row r="72" spans="2:12" ht="13.95" hidden="1" customHeight="1" x14ac:dyDescent="0.3">
      <c r="B72" s="12" t="s">
        <v>68</v>
      </c>
      <c r="C72" s="12" t="s">
        <v>116</v>
      </c>
      <c r="D72" s="74"/>
      <c r="E72" s="74"/>
      <c r="F72" s="74"/>
      <c r="G72" s="74"/>
      <c r="H72" s="74"/>
      <c r="I72" s="74"/>
      <c r="J72" s="74"/>
      <c r="K72" s="74"/>
      <c r="L72" s="57"/>
    </row>
    <row r="73" spans="2:12" ht="13.95" hidden="1" customHeight="1" x14ac:dyDescent="0.3">
      <c r="B73" s="12" t="s">
        <v>69</v>
      </c>
      <c r="C73" s="12" t="s">
        <v>116</v>
      </c>
      <c r="D73" s="74"/>
      <c r="E73" s="74"/>
      <c r="F73" s="74"/>
      <c r="G73" s="74"/>
      <c r="H73" s="74"/>
      <c r="I73" s="74"/>
      <c r="J73" s="74"/>
      <c r="K73" s="74"/>
      <c r="L73" s="57"/>
    </row>
    <row r="74" spans="2:12" ht="13.95" hidden="1" customHeight="1" x14ac:dyDescent="0.3">
      <c r="B74" s="12" t="s">
        <v>70</v>
      </c>
      <c r="C74" s="12" t="s">
        <v>116</v>
      </c>
      <c r="D74" s="74"/>
      <c r="E74" s="74"/>
      <c r="F74" s="74"/>
      <c r="G74" s="74"/>
      <c r="H74" s="74"/>
      <c r="I74" s="74"/>
      <c r="J74" s="74"/>
      <c r="K74" s="74"/>
      <c r="L74" s="57"/>
    </row>
    <row r="75" spans="2:12" ht="13.95" hidden="1" customHeight="1" x14ac:dyDescent="0.3">
      <c r="B75" s="12" t="s">
        <v>71</v>
      </c>
      <c r="C75" s="12" t="s">
        <v>116</v>
      </c>
      <c r="D75" s="74"/>
      <c r="E75" s="74"/>
      <c r="F75" s="74"/>
      <c r="G75" s="74"/>
      <c r="H75" s="74"/>
      <c r="I75" s="74"/>
      <c r="J75" s="74"/>
      <c r="K75" s="74"/>
      <c r="L75" s="57"/>
    </row>
    <row r="76" spans="2:12" ht="13.95" hidden="1" customHeight="1" x14ac:dyDescent="0.3">
      <c r="B76" s="12" t="s">
        <v>72</v>
      </c>
      <c r="C76" s="12" t="s">
        <v>116</v>
      </c>
      <c r="D76" s="74"/>
      <c r="E76" s="74"/>
      <c r="F76" s="74"/>
      <c r="G76" s="74"/>
      <c r="H76" s="74"/>
      <c r="I76" s="74"/>
      <c r="J76" s="74"/>
      <c r="K76" s="74"/>
      <c r="L76" s="57"/>
    </row>
    <row r="77" spans="2:12" ht="13.95" hidden="1" customHeight="1" x14ac:dyDescent="0.3">
      <c r="B77" s="12" t="s">
        <v>73</v>
      </c>
      <c r="C77" s="12" t="s">
        <v>116</v>
      </c>
      <c r="D77" s="74"/>
      <c r="E77" s="74"/>
      <c r="F77" s="74"/>
      <c r="G77" s="74"/>
      <c r="H77" s="74"/>
      <c r="I77" s="74"/>
      <c r="J77" s="74"/>
      <c r="K77" s="74"/>
      <c r="L77" s="57"/>
    </row>
    <row r="78" spans="2:12" ht="13.95" hidden="1" customHeight="1" x14ac:dyDescent="0.3">
      <c r="B78" s="12" t="s">
        <v>74</v>
      </c>
      <c r="C78" s="12" t="s">
        <v>116</v>
      </c>
      <c r="D78" s="74"/>
      <c r="E78" s="74"/>
      <c r="F78" s="74"/>
      <c r="G78" s="74"/>
      <c r="H78" s="74"/>
      <c r="I78" s="74"/>
      <c r="J78" s="74"/>
      <c r="K78" s="74"/>
      <c r="L78" s="57"/>
    </row>
    <row r="79" spans="2:12" ht="13.95" hidden="1" customHeight="1" x14ac:dyDescent="0.3">
      <c r="B79" s="12" t="s">
        <v>75</v>
      </c>
      <c r="C79" s="12" t="s">
        <v>116</v>
      </c>
      <c r="D79" s="74"/>
      <c r="E79" s="74"/>
      <c r="F79" s="74"/>
      <c r="G79" s="74"/>
      <c r="H79" s="74"/>
      <c r="I79" s="74"/>
      <c r="J79" s="74"/>
      <c r="K79" s="74"/>
      <c r="L79" s="57"/>
    </row>
    <row r="80" spans="2:12" ht="13.95" hidden="1" customHeight="1" x14ac:dyDescent="0.3">
      <c r="B80" s="12" t="s">
        <v>76</v>
      </c>
      <c r="C80" s="12" t="s">
        <v>116</v>
      </c>
      <c r="D80" s="74"/>
      <c r="E80" s="74"/>
      <c r="F80" s="74"/>
      <c r="G80" s="74"/>
      <c r="H80" s="74"/>
      <c r="I80" s="74"/>
      <c r="J80" s="74"/>
      <c r="K80" s="74"/>
      <c r="L80" s="57"/>
    </row>
    <row r="81" spans="2:12" ht="13.95" hidden="1" customHeight="1" x14ac:dyDescent="0.3">
      <c r="B81" s="12" t="s">
        <v>77</v>
      </c>
      <c r="C81" s="12" t="s">
        <v>116</v>
      </c>
      <c r="D81" s="74"/>
      <c r="E81" s="74"/>
      <c r="F81" s="74"/>
      <c r="G81" s="74"/>
      <c r="H81" s="74"/>
      <c r="I81" s="74"/>
      <c r="J81" s="74"/>
      <c r="K81" s="74"/>
      <c r="L81" s="57"/>
    </row>
    <row r="82" spans="2:12" ht="13.95" hidden="1" customHeight="1" x14ac:dyDescent="0.3">
      <c r="B82" s="12" t="s">
        <v>78</v>
      </c>
      <c r="C82" s="12" t="s">
        <v>116</v>
      </c>
      <c r="D82" s="74"/>
      <c r="E82" s="74"/>
      <c r="F82" s="74"/>
      <c r="G82" s="74"/>
      <c r="H82" s="74"/>
      <c r="I82" s="74"/>
      <c r="J82" s="74"/>
      <c r="K82" s="74"/>
      <c r="L82" s="57"/>
    </row>
    <row r="83" spans="2:12" ht="13.95" hidden="1" customHeight="1" x14ac:dyDescent="0.3">
      <c r="B83" s="12" t="s">
        <v>79</v>
      </c>
      <c r="C83" s="12" t="s">
        <v>116</v>
      </c>
      <c r="D83" s="74"/>
      <c r="E83" s="74"/>
      <c r="F83" s="74"/>
      <c r="G83" s="74"/>
      <c r="H83" s="74"/>
      <c r="I83" s="74"/>
      <c r="J83" s="74"/>
      <c r="K83" s="74"/>
      <c r="L83" s="57"/>
    </row>
    <row r="84" spans="2:12" ht="13.95" hidden="1" customHeight="1" x14ac:dyDescent="0.3">
      <c r="B84" s="12" t="s">
        <v>80</v>
      </c>
      <c r="C84" s="12" t="s">
        <v>116</v>
      </c>
      <c r="D84" s="74"/>
      <c r="E84" s="74"/>
      <c r="F84" s="74"/>
      <c r="G84" s="74"/>
      <c r="H84" s="74"/>
      <c r="I84" s="74"/>
      <c r="J84" s="74"/>
      <c r="K84" s="74"/>
      <c r="L84" s="57"/>
    </row>
    <row r="85" spans="2:12" ht="13.95" hidden="1" customHeight="1" x14ac:dyDescent="0.3">
      <c r="B85" s="12" t="s">
        <v>81</v>
      </c>
      <c r="C85" s="12" t="s">
        <v>116</v>
      </c>
      <c r="D85" s="74"/>
      <c r="E85" s="74"/>
      <c r="F85" s="74"/>
      <c r="G85" s="74"/>
      <c r="H85" s="74"/>
      <c r="I85" s="74"/>
      <c r="J85" s="74"/>
      <c r="K85" s="74"/>
      <c r="L85" s="57"/>
    </row>
    <row r="86" spans="2:12" ht="13.95" hidden="1" customHeight="1" x14ac:dyDescent="0.3">
      <c r="B86" s="12" t="s">
        <v>82</v>
      </c>
      <c r="C86" s="12" t="s">
        <v>116</v>
      </c>
      <c r="D86" s="74"/>
      <c r="E86" s="74"/>
      <c r="F86" s="74"/>
      <c r="G86" s="74"/>
      <c r="H86" s="74"/>
      <c r="I86" s="74"/>
      <c r="J86" s="74"/>
      <c r="K86" s="74"/>
      <c r="L86" s="57"/>
    </row>
    <row r="87" spans="2:12" ht="13.95" hidden="1" customHeight="1" x14ac:dyDescent="0.3">
      <c r="B87" s="12" t="s">
        <v>83</v>
      </c>
      <c r="C87" s="12" t="s">
        <v>116</v>
      </c>
      <c r="D87" s="74"/>
      <c r="E87" s="74"/>
      <c r="F87" s="74"/>
      <c r="G87" s="74"/>
      <c r="H87" s="74"/>
      <c r="I87" s="74"/>
      <c r="J87" s="74"/>
      <c r="K87" s="74"/>
      <c r="L87" s="57"/>
    </row>
    <row r="88" spans="2:12" ht="13.95" hidden="1" customHeight="1" x14ac:dyDescent="0.3">
      <c r="B88" s="12" t="s">
        <v>84</v>
      </c>
      <c r="C88" s="12" t="s">
        <v>116</v>
      </c>
      <c r="D88" s="74"/>
      <c r="E88" s="74"/>
      <c r="F88" s="74"/>
      <c r="G88" s="74"/>
      <c r="H88" s="74"/>
      <c r="I88" s="74"/>
      <c r="J88" s="74"/>
      <c r="K88" s="74"/>
      <c r="L88" s="57"/>
    </row>
    <row r="89" spans="2:12" ht="13.95" hidden="1" customHeight="1" x14ac:dyDescent="0.3">
      <c r="B89" s="12" t="s">
        <v>85</v>
      </c>
      <c r="C89" s="12" t="s">
        <v>116</v>
      </c>
      <c r="D89" s="74"/>
      <c r="E89" s="74"/>
      <c r="F89" s="74"/>
      <c r="G89" s="74"/>
      <c r="H89" s="74"/>
      <c r="I89" s="74"/>
      <c r="J89" s="74"/>
      <c r="K89" s="74"/>
      <c r="L89" s="57"/>
    </row>
    <row r="90" spans="2:12" ht="13.95" hidden="1" customHeight="1" x14ac:dyDescent="0.3">
      <c r="B90" s="12" t="s">
        <v>86</v>
      </c>
      <c r="C90" s="12" t="s">
        <v>116</v>
      </c>
      <c r="D90" s="74"/>
      <c r="E90" s="74"/>
      <c r="F90" s="74"/>
      <c r="G90" s="74"/>
      <c r="H90" s="74"/>
      <c r="I90" s="74"/>
      <c r="J90" s="74"/>
      <c r="K90" s="74"/>
      <c r="L90" s="57"/>
    </row>
    <row r="91" spans="2:12" ht="13.95" hidden="1" customHeight="1" x14ac:dyDescent="0.3">
      <c r="B91" s="12" t="s">
        <v>87</v>
      </c>
      <c r="C91" s="12" t="s">
        <v>116</v>
      </c>
      <c r="D91" s="74"/>
      <c r="E91" s="74"/>
      <c r="F91" s="74"/>
      <c r="G91" s="74"/>
      <c r="H91" s="74"/>
      <c r="I91" s="74"/>
      <c r="J91" s="74"/>
      <c r="K91" s="74"/>
      <c r="L91" s="57"/>
    </row>
    <row r="92" spans="2:12" ht="13.95" hidden="1" customHeight="1" x14ac:dyDescent="0.3">
      <c r="B92" s="12" t="s">
        <v>88</v>
      </c>
      <c r="C92" s="12" t="s">
        <v>116</v>
      </c>
      <c r="D92" s="74"/>
      <c r="E92" s="74"/>
      <c r="F92" s="74"/>
      <c r="G92" s="74"/>
      <c r="H92" s="74"/>
      <c r="I92" s="74"/>
      <c r="J92" s="74"/>
      <c r="K92" s="74"/>
      <c r="L92" s="57"/>
    </row>
    <row r="93" spans="2:12" ht="13.95" hidden="1" customHeight="1" x14ac:dyDescent="0.3">
      <c r="B93" s="12" t="s">
        <v>89</v>
      </c>
      <c r="C93" s="12" t="s">
        <v>116</v>
      </c>
      <c r="D93" s="74"/>
      <c r="E93" s="74"/>
      <c r="F93" s="74"/>
      <c r="G93" s="74"/>
      <c r="H93" s="74"/>
      <c r="I93" s="74"/>
      <c r="J93" s="74"/>
      <c r="K93" s="74"/>
      <c r="L93" s="57"/>
    </row>
    <row r="94" spans="2:12" ht="13.95" hidden="1" customHeight="1" x14ac:dyDescent="0.3">
      <c r="B94" s="12" t="s">
        <v>90</v>
      </c>
      <c r="C94" s="12" t="s">
        <v>116</v>
      </c>
      <c r="D94" s="74"/>
      <c r="E94" s="74"/>
      <c r="F94" s="74"/>
      <c r="G94" s="74"/>
      <c r="H94" s="74"/>
      <c r="I94" s="74"/>
      <c r="J94" s="74"/>
      <c r="K94" s="74"/>
      <c r="L94" s="57"/>
    </row>
    <row r="95" spans="2:12" ht="13.95" hidden="1" customHeight="1" x14ac:dyDescent="0.3">
      <c r="B95" s="12" t="s">
        <v>91</v>
      </c>
      <c r="C95" s="12" t="s">
        <v>116</v>
      </c>
      <c r="D95" s="74"/>
      <c r="E95" s="74"/>
      <c r="F95" s="74"/>
      <c r="G95" s="74"/>
      <c r="H95" s="74"/>
      <c r="I95" s="74"/>
      <c r="J95" s="74"/>
      <c r="K95" s="74"/>
      <c r="L95" s="57"/>
    </row>
    <row r="96" spans="2:12" ht="13.95" hidden="1" customHeight="1" x14ac:dyDescent="0.3">
      <c r="B96" s="12" t="s">
        <v>92</v>
      </c>
      <c r="C96" s="12" t="s">
        <v>116</v>
      </c>
      <c r="D96" s="74"/>
      <c r="E96" s="74"/>
      <c r="F96" s="74"/>
      <c r="G96" s="74"/>
      <c r="H96" s="74"/>
      <c r="I96" s="74"/>
      <c r="J96" s="74"/>
      <c r="K96" s="74"/>
      <c r="L96" s="57"/>
    </row>
    <row r="97" spans="2:12" ht="13.95" hidden="1" customHeight="1" x14ac:dyDescent="0.3">
      <c r="B97" s="12" t="s">
        <v>93</v>
      </c>
      <c r="C97" s="12" t="s">
        <v>116</v>
      </c>
      <c r="D97" s="74"/>
      <c r="E97" s="74"/>
      <c r="F97" s="74"/>
      <c r="G97" s="74"/>
      <c r="H97" s="74"/>
      <c r="I97" s="74"/>
      <c r="J97" s="74"/>
      <c r="K97" s="74"/>
      <c r="L97" s="57"/>
    </row>
    <row r="98" spans="2:12" ht="13.95" hidden="1" customHeight="1" x14ac:dyDescent="0.3">
      <c r="B98" s="12" t="s">
        <v>94</v>
      </c>
      <c r="C98" s="12" t="s">
        <v>116</v>
      </c>
      <c r="D98" s="74"/>
      <c r="E98" s="74"/>
      <c r="F98" s="74"/>
      <c r="G98" s="74"/>
      <c r="H98" s="74"/>
      <c r="I98" s="74"/>
      <c r="J98" s="74"/>
      <c r="K98" s="74"/>
      <c r="L98" s="57"/>
    </row>
    <row r="99" spans="2:12" ht="13.95" hidden="1" customHeight="1" x14ac:dyDescent="0.3">
      <c r="B99" s="12" t="s">
        <v>95</v>
      </c>
      <c r="C99" s="12" t="s">
        <v>116</v>
      </c>
      <c r="D99" s="74"/>
      <c r="E99" s="74"/>
      <c r="F99" s="74"/>
      <c r="G99" s="74"/>
      <c r="H99" s="74"/>
      <c r="I99" s="74"/>
      <c r="J99" s="74"/>
      <c r="K99" s="74"/>
      <c r="L99" s="57"/>
    </row>
    <row r="100" spans="2:12" ht="13.95" hidden="1" customHeight="1" x14ac:dyDescent="0.3">
      <c r="B100" s="12" t="s">
        <v>96</v>
      </c>
      <c r="C100" s="12" t="s">
        <v>116</v>
      </c>
      <c r="D100" s="74"/>
      <c r="E100" s="74"/>
      <c r="F100" s="74"/>
      <c r="G100" s="74"/>
      <c r="H100" s="74"/>
      <c r="I100" s="74"/>
      <c r="J100" s="74"/>
      <c r="K100" s="74"/>
      <c r="L100" s="57"/>
    </row>
    <row r="101" spans="2:12" ht="13.95" hidden="1" customHeight="1" x14ac:dyDescent="0.3">
      <c r="B101" s="12" t="s">
        <v>97</v>
      </c>
      <c r="C101" s="12" t="s">
        <v>116</v>
      </c>
      <c r="D101" s="74"/>
      <c r="E101" s="74"/>
      <c r="F101" s="74"/>
      <c r="G101" s="74"/>
      <c r="H101" s="74"/>
      <c r="I101" s="74"/>
      <c r="J101" s="74"/>
      <c r="K101" s="74"/>
      <c r="L101" s="57"/>
    </row>
    <row r="102" spans="2:12" ht="13.95" hidden="1" customHeight="1" x14ac:dyDescent="0.3">
      <c r="B102" s="12" t="s">
        <v>98</v>
      </c>
      <c r="C102" s="12" t="s">
        <v>116</v>
      </c>
      <c r="D102" s="74"/>
      <c r="E102" s="74"/>
      <c r="F102" s="74"/>
      <c r="G102" s="74"/>
      <c r="H102" s="74"/>
      <c r="I102" s="74"/>
      <c r="J102" s="74"/>
      <c r="K102" s="74"/>
      <c r="L102" s="57"/>
    </row>
    <row r="103" spans="2:12" ht="13.95" hidden="1" customHeight="1" x14ac:dyDescent="0.3">
      <c r="B103" s="12" t="s">
        <v>99</v>
      </c>
      <c r="C103" s="12" t="s">
        <v>116</v>
      </c>
      <c r="D103" s="74"/>
      <c r="E103" s="74"/>
      <c r="F103" s="74"/>
      <c r="G103" s="74"/>
      <c r="H103" s="74"/>
      <c r="I103" s="74"/>
      <c r="J103" s="74"/>
      <c r="K103" s="74"/>
      <c r="L103" s="57"/>
    </row>
    <row r="104" spans="2:12" ht="13.95" hidden="1" customHeight="1" x14ac:dyDescent="0.3">
      <c r="B104" s="12" t="s">
        <v>100</v>
      </c>
      <c r="C104" s="12" t="s">
        <v>116</v>
      </c>
      <c r="D104" s="74"/>
      <c r="E104" s="74"/>
      <c r="F104" s="74"/>
      <c r="G104" s="74"/>
      <c r="H104" s="74"/>
      <c r="I104" s="74"/>
      <c r="J104" s="74"/>
      <c r="K104" s="74"/>
      <c r="L104" s="57"/>
    </row>
    <row r="105" spans="2:12" ht="13.95" hidden="1" customHeight="1" x14ac:dyDescent="0.3">
      <c r="B105" s="12" t="s">
        <v>101</v>
      </c>
      <c r="C105" s="12" t="s">
        <v>116</v>
      </c>
      <c r="D105" s="74"/>
      <c r="E105" s="74"/>
      <c r="F105" s="74"/>
      <c r="G105" s="74"/>
      <c r="H105" s="74"/>
      <c r="I105" s="74"/>
      <c r="J105" s="74"/>
      <c r="K105" s="74"/>
      <c r="L105" s="57"/>
    </row>
    <row r="106" spans="2:12" ht="13.95" hidden="1" customHeight="1" x14ac:dyDescent="0.3">
      <c r="B106" s="12" t="s">
        <v>102</v>
      </c>
      <c r="C106" s="12" t="s">
        <v>116</v>
      </c>
      <c r="D106" s="74"/>
      <c r="E106" s="74"/>
      <c r="F106" s="74"/>
      <c r="G106" s="74"/>
      <c r="H106" s="74"/>
      <c r="I106" s="74"/>
      <c r="J106" s="74"/>
      <c r="K106" s="74"/>
      <c r="L106" s="57"/>
    </row>
    <row r="107" spans="2:12" ht="13.95" hidden="1" customHeight="1" x14ac:dyDescent="0.3">
      <c r="B107" s="12" t="s">
        <v>103</v>
      </c>
      <c r="C107" s="12" t="s">
        <v>116</v>
      </c>
      <c r="D107" s="74"/>
      <c r="E107" s="74"/>
      <c r="F107" s="74"/>
      <c r="G107" s="74"/>
      <c r="H107" s="74"/>
      <c r="I107" s="74"/>
      <c r="J107" s="74"/>
      <c r="K107" s="74"/>
      <c r="L107" s="57"/>
    </row>
    <row r="108" spans="2:12" ht="13.95" hidden="1" customHeight="1" x14ac:dyDescent="0.3">
      <c r="B108" s="12" t="s">
        <v>104</v>
      </c>
      <c r="C108" s="12" t="s">
        <v>116</v>
      </c>
      <c r="D108" s="74"/>
      <c r="E108" s="74"/>
      <c r="F108" s="74"/>
      <c r="G108" s="74"/>
      <c r="H108" s="74"/>
      <c r="I108" s="74"/>
      <c r="J108" s="74"/>
      <c r="K108" s="74"/>
      <c r="L108" s="57"/>
    </row>
    <row r="109" spans="2:12" ht="13.95" hidden="1" customHeight="1" x14ac:dyDescent="0.3">
      <c r="B109" s="12" t="s">
        <v>105</v>
      </c>
      <c r="C109" s="12" t="s">
        <v>116</v>
      </c>
      <c r="D109" s="74"/>
      <c r="E109" s="74"/>
      <c r="F109" s="74"/>
      <c r="G109" s="74"/>
      <c r="H109" s="74"/>
      <c r="I109" s="74"/>
      <c r="J109" s="74"/>
      <c r="K109" s="74"/>
      <c r="L109" s="57"/>
    </row>
    <row r="110" spans="2:12" ht="13.95" hidden="1" customHeight="1" x14ac:dyDescent="0.3">
      <c r="B110" s="12" t="s">
        <v>106</v>
      </c>
      <c r="C110" s="12" t="s">
        <v>116</v>
      </c>
      <c r="D110" s="74"/>
      <c r="E110" s="74"/>
      <c r="F110" s="74"/>
      <c r="G110" s="74"/>
      <c r="H110" s="74"/>
      <c r="I110" s="74"/>
      <c r="J110" s="74"/>
      <c r="K110" s="74"/>
      <c r="L110" s="57"/>
    </row>
    <row r="111" spans="2:12" ht="13.95" hidden="1" customHeight="1" x14ac:dyDescent="0.3">
      <c r="B111" s="12" t="s">
        <v>107</v>
      </c>
      <c r="C111" s="12" t="s">
        <v>116</v>
      </c>
      <c r="D111" s="74"/>
      <c r="E111" s="74"/>
      <c r="F111" s="74"/>
      <c r="G111" s="74"/>
      <c r="H111" s="74"/>
      <c r="I111" s="74"/>
      <c r="J111" s="74"/>
      <c r="K111" s="74"/>
      <c r="L111" s="57"/>
    </row>
    <row r="112" spans="2:12" ht="13.95" hidden="1" customHeight="1" x14ac:dyDescent="0.3">
      <c r="B112" s="12" t="s">
        <v>108</v>
      </c>
      <c r="C112" s="12" t="s">
        <v>116</v>
      </c>
      <c r="D112" s="74"/>
      <c r="E112" s="74"/>
      <c r="F112" s="74"/>
      <c r="G112" s="74"/>
      <c r="H112" s="74"/>
      <c r="I112" s="74"/>
      <c r="J112" s="74"/>
      <c r="K112" s="74"/>
      <c r="L112" s="57"/>
    </row>
    <row r="113" spans="2:12" ht="13.95" hidden="1" customHeight="1" x14ac:dyDescent="0.3">
      <c r="B113" s="12" t="s">
        <v>109</v>
      </c>
      <c r="C113" s="12" t="s">
        <v>116</v>
      </c>
      <c r="D113" s="74"/>
      <c r="E113" s="74"/>
      <c r="F113" s="74"/>
      <c r="G113" s="74"/>
      <c r="H113" s="74"/>
      <c r="I113" s="74"/>
      <c r="J113" s="74"/>
      <c r="K113" s="74"/>
      <c r="L113" s="57"/>
    </row>
    <row r="114" spans="2:12" ht="13.95" hidden="1" customHeight="1" x14ac:dyDescent="0.3">
      <c r="B114" s="12" t="s">
        <v>110</v>
      </c>
      <c r="C114" s="12" t="s">
        <v>116</v>
      </c>
      <c r="D114" s="74"/>
      <c r="E114" s="74"/>
      <c r="F114" s="74"/>
      <c r="G114" s="74"/>
      <c r="H114" s="74"/>
      <c r="I114" s="74"/>
      <c r="J114" s="74"/>
      <c r="K114" s="74"/>
      <c r="L114" s="57"/>
    </row>
    <row r="115" spans="2:12" ht="13.95" hidden="1" customHeight="1" x14ac:dyDescent="0.3">
      <c r="B115" s="12" t="s">
        <v>111</v>
      </c>
      <c r="C115" s="12" t="s">
        <v>116</v>
      </c>
      <c r="D115" s="74"/>
      <c r="E115" s="74"/>
      <c r="F115" s="74"/>
      <c r="G115" s="74"/>
      <c r="H115" s="74"/>
      <c r="I115" s="74"/>
      <c r="J115" s="74"/>
      <c r="K115" s="74"/>
      <c r="L115" s="57"/>
    </row>
    <row r="116" spans="2:12" ht="13.95" hidden="1" customHeight="1" x14ac:dyDescent="0.3">
      <c r="B116" s="12" t="s">
        <v>112</v>
      </c>
      <c r="C116" s="12" t="s">
        <v>116</v>
      </c>
      <c r="D116" s="74"/>
      <c r="E116" s="74"/>
      <c r="F116" s="74"/>
      <c r="G116" s="74"/>
      <c r="H116" s="74"/>
      <c r="I116" s="74"/>
      <c r="J116" s="74"/>
      <c r="K116" s="74"/>
      <c r="L116" s="57"/>
    </row>
    <row r="117" spans="2:12" ht="13.95" hidden="1" customHeight="1" x14ac:dyDescent="0.3">
      <c r="B117" s="12" t="s">
        <v>113</v>
      </c>
      <c r="C117" s="12" t="s">
        <v>116</v>
      </c>
      <c r="D117" s="74"/>
      <c r="E117" s="74"/>
      <c r="F117" s="74"/>
      <c r="G117" s="74"/>
      <c r="H117" s="74"/>
      <c r="I117" s="74"/>
      <c r="J117" s="74"/>
      <c r="K117" s="74"/>
      <c r="L117" s="57"/>
    </row>
    <row r="118" spans="2:12" ht="13.95" hidden="1" customHeight="1" x14ac:dyDescent="0.3">
      <c r="B118" s="12" t="s">
        <v>114</v>
      </c>
      <c r="C118" s="12" t="s">
        <v>116</v>
      </c>
      <c r="D118" s="74"/>
      <c r="E118" s="74"/>
      <c r="F118" s="74"/>
      <c r="G118" s="74"/>
      <c r="H118" s="74"/>
      <c r="I118" s="74"/>
      <c r="J118" s="74"/>
      <c r="K118" s="74"/>
      <c r="L118" s="57"/>
    </row>
    <row r="119" spans="2:12" ht="13.95" hidden="1" customHeight="1" x14ac:dyDescent="0.3">
      <c r="B119" s="12" t="s">
        <v>115</v>
      </c>
      <c r="C119" s="12" t="s">
        <v>116</v>
      </c>
      <c r="D119" s="74"/>
      <c r="E119" s="74"/>
      <c r="F119" s="74"/>
      <c r="G119" s="74"/>
      <c r="H119" s="74"/>
      <c r="I119" s="74"/>
      <c r="J119" s="74"/>
      <c r="K119" s="74"/>
      <c r="L119" s="57"/>
    </row>
    <row r="120" spans="2:12" ht="13.95" hidden="1" customHeight="1" x14ac:dyDescent="0.3">
      <c r="B120" s="12" t="s">
        <v>62</v>
      </c>
      <c r="C120" s="12" t="s">
        <v>117</v>
      </c>
      <c r="D120" s="74"/>
      <c r="E120" s="74"/>
      <c r="F120" s="74"/>
      <c r="G120" s="74"/>
      <c r="H120" s="74"/>
      <c r="I120" s="74"/>
      <c r="J120" s="74"/>
      <c r="K120" s="74"/>
      <c r="L120" s="57"/>
    </row>
    <row r="121" spans="2:12" ht="13.95" hidden="1" customHeight="1" x14ac:dyDescent="0.3">
      <c r="B121" s="12" t="s">
        <v>64</v>
      </c>
      <c r="C121" s="12" t="s">
        <v>117</v>
      </c>
      <c r="D121" s="74"/>
      <c r="E121" s="74"/>
      <c r="F121" s="74"/>
      <c r="G121" s="74"/>
      <c r="H121" s="74"/>
      <c r="I121" s="74"/>
      <c r="J121" s="74"/>
      <c r="K121" s="74"/>
      <c r="L121" s="57"/>
    </row>
    <row r="122" spans="2:12" ht="13.95" hidden="1" customHeight="1" x14ac:dyDescent="0.3">
      <c r="B122" s="12" t="s">
        <v>65</v>
      </c>
      <c r="C122" s="12" t="s">
        <v>117</v>
      </c>
      <c r="D122" s="74"/>
      <c r="E122" s="74"/>
      <c r="F122" s="74"/>
      <c r="G122" s="74"/>
      <c r="H122" s="74"/>
      <c r="I122" s="74"/>
      <c r="J122" s="74"/>
      <c r="K122" s="74"/>
      <c r="L122" s="57"/>
    </row>
    <row r="123" spans="2:12" ht="13.95" hidden="1" customHeight="1" x14ac:dyDescent="0.3">
      <c r="B123" s="12" t="s">
        <v>66</v>
      </c>
      <c r="C123" s="12" t="s">
        <v>117</v>
      </c>
      <c r="D123" s="74"/>
      <c r="E123" s="74"/>
      <c r="F123" s="74"/>
      <c r="G123" s="74"/>
      <c r="H123" s="74"/>
      <c r="I123" s="74"/>
      <c r="J123" s="74"/>
      <c r="K123" s="74"/>
      <c r="L123" s="57"/>
    </row>
    <row r="124" spans="2:12" ht="13.95" hidden="1" customHeight="1" x14ac:dyDescent="0.3">
      <c r="B124" s="12" t="s">
        <v>67</v>
      </c>
      <c r="C124" s="12" t="s">
        <v>117</v>
      </c>
      <c r="D124" s="74"/>
      <c r="E124" s="74"/>
      <c r="F124" s="74"/>
      <c r="G124" s="74"/>
      <c r="H124" s="74"/>
      <c r="I124" s="74"/>
      <c r="J124" s="74"/>
      <c r="K124" s="74"/>
      <c r="L124" s="57"/>
    </row>
    <row r="125" spans="2:12" ht="13.95" hidden="1" customHeight="1" x14ac:dyDescent="0.3">
      <c r="B125" s="12" t="s">
        <v>68</v>
      </c>
      <c r="C125" s="12" t="s">
        <v>117</v>
      </c>
      <c r="D125" s="74"/>
      <c r="E125" s="74"/>
      <c r="F125" s="74"/>
      <c r="G125" s="74"/>
      <c r="H125" s="74"/>
      <c r="I125" s="74"/>
      <c r="J125" s="74"/>
      <c r="K125" s="74"/>
      <c r="L125" s="57"/>
    </row>
    <row r="126" spans="2:12" ht="13.95" hidden="1" customHeight="1" x14ac:dyDescent="0.3">
      <c r="B126" s="12" t="s">
        <v>69</v>
      </c>
      <c r="C126" s="12" t="s">
        <v>117</v>
      </c>
      <c r="D126" s="74"/>
      <c r="E126" s="74"/>
      <c r="F126" s="74"/>
      <c r="G126" s="74"/>
      <c r="H126" s="74"/>
      <c r="I126" s="74"/>
      <c r="J126" s="74"/>
      <c r="K126" s="74"/>
      <c r="L126" s="57"/>
    </row>
    <row r="127" spans="2:12" ht="13.95" hidden="1" customHeight="1" x14ac:dyDescent="0.3">
      <c r="B127" s="12" t="s">
        <v>70</v>
      </c>
      <c r="C127" s="12" t="s">
        <v>117</v>
      </c>
      <c r="D127" s="74"/>
      <c r="E127" s="74"/>
      <c r="F127" s="74"/>
      <c r="G127" s="74"/>
      <c r="H127" s="74"/>
      <c r="I127" s="74"/>
      <c r="J127" s="74"/>
      <c r="K127" s="74"/>
      <c r="L127" s="57"/>
    </row>
    <row r="128" spans="2:12" ht="13.95" hidden="1" customHeight="1" x14ac:dyDescent="0.3">
      <c r="B128" s="12" t="s">
        <v>71</v>
      </c>
      <c r="C128" s="12" t="s">
        <v>117</v>
      </c>
      <c r="D128" s="74"/>
      <c r="E128" s="74"/>
      <c r="F128" s="74"/>
      <c r="G128" s="74"/>
      <c r="H128" s="74"/>
      <c r="I128" s="74"/>
      <c r="J128" s="74"/>
      <c r="K128" s="74"/>
      <c r="L128" s="57"/>
    </row>
    <row r="129" spans="2:12" ht="13.95" hidden="1" customHeight="1" x14ac:dyDescent="0.3">
      <c r="B129" s="12" t="s">
        <v>72</v>
      </c>
      <c r="C129" s="12" t="s">
        <v>117</v>
      </c>
      <c r="D129" s="74"/>
      <c r="E129" s="74"/>
      <c r="F129" s="74"/>
      <c r="G129" s="74"/>
      <c r="H129" s="74"/>
      <c r="I129" s="74"/>
      <c r="J129" s="74"/>
      <c r="K129" s="74"/>
      <c r="L129" s="57"/>
    </row>
    <row r="130" spans="2:12" ht="13.95" hidden="1" customHeight="1" x14ac:dyDescent="0.3">
      <c r="B130" s="12" t="s">
        <v>73</v>
      </c>
      <c r="C130" s="12" t="s">
        <v>117</v>
      </c>
      <c r="D130" s="74"/>
      <c r="E130" s="74"/>
      <c r="F130" s="74"/>
      <c r="G130" s="74"/>
      <c r="H130" s="74"/>
      <c r="I130" s="74"/>
      <c r="J130" s="74"/>
      <c r="K130" s="74"/>
      <c r="L130" s="57"/>
    </row>
    <row r="131" spans="2:12" ht="13.95" hidden="1" customHeight="1" x14ac:dyDescent="0.3">
      <c r="B131" s="12" t="s">
        <v>74</v>
      </c>
      <c r="C131" s="12" t="s">
        <v>117</v>
      </c>
      <c r="D131" s="74"/>
      <c r="E131" s="74"/>
      <c r="F131" s="74"/>
      <c r="G131" s="74"/>
      <c r="H131" s="74"/>
      <c r="I131" s="74"/>
      <c r="J131" s="74"/>
      <c r="K131" s="74"/>
      <c r="L131" s="57"/>
    </row>
    <row r="132" spans="2:12" ht="13.95" hidden="1" customHeight="1" x14ac:dyDescent="0.3">
      <c r="B132" s="12" t="s">
        <v>75</v>
      </c>
      <c r="C132" s="12" t="s">
        <v>117</v>
      </c>
      <c r="D132" s="74"/>
      <c r="E132" s="74"/>
      <c r="F132" s="74"/>
      <c r="G132" s="74"/>
      <c r="H132" s="74"/>
      <c r="I132" s="74"/>
      <c r="J132" s="74"/>
      <c r="K132" s="74"/>
      <c r="L132" s="57"/>
    </row>
    <row r="133" spans="2:12" ht="13.95" hidden="1" customHeight="1" x14ac:dyDescent="0.3">
      <c r="B133" s="12" t="s">
        <v>76</v>
      </c>
      <c r="C133" s="12" t="s">
        <v>117</v>
      </c>
      <c r="D133" s="74"/>
      <c r="E133" s="74"/>
      <c r="F133" s="74"/>
      <c r="G133" s="74"/>
      <c r="H133" s="74"/>
      <c r="I133" s="74"/>
      <c r="J133" s="74"/>
      <c r="K133" s="74"/>
      <c r="L133" s="57"/>
    </row>
    <row r="134" spans="2:12" ht="13.95" hidden="1" customHeight="1" x14ac:dyDescent="0.3">
      <c r="B134" s="12" t="s">
        <v>77</v>
      </c>
      <c r="C134" s="12" t="s">
        <v>117</v>
      </c>
      <c r="D134" s="74"/>
      <c r="E134" s="74"/>
      <c r="F134" s="74"/>
      <c r="G134" s="74"/>
      <c r="H134" s="74"/>
      <c r="I134" s="74"/>
      <c r="J134" s="74"/>
      <c r="K134" s="74"/>
      <c r="L134" s="57"/>
    </row>
    <row r="135" spans="2:12" ht="13.95" hidden="1" customHeight="1" x14ac:dyDescent="0.3">
      <c r="B135" s="12" t="s">
        <v>78</v>
      </c>
      <c r="C135" s="12" t="s">
        <v>117</v>
      </c>
      <c r="D135" s="74"/>
      <c r="E135" s="74"/>
      <c r="F135" s="74"/>
      <c r="G135" s="74"/>
      <c r="H135" s="74"/>
      <c r="I135" s="74"/>
      <c r="J135" s="74"/>
      <c r="K135" s="74"/>
      <c r="L135" s="57"/>
    </row>
    <row r="136" spans="2:12" ht="13.95" hidden="1" customHeight="1" x14ac:dyDescent="0.3">
      <c r="B136" s="12" t="s">
        <v>79</v>
      </c>
      <c r="C136" s="12" t="s">
        <v>117</v>
      </c>
      <c r="D136" s="74"/>
      <c r="E136" s="74"/>
      <c r="F136" s="74"/>
      <c r="G136" s="74"/>
      <c r="H136" s="74"/>
      <c r="I136" s="74"/>
      <c r="J136" s="74"/>
      <c r="K136" s="74"/>
      <c r="L136" s="57"/>
    </row>
    <row r="137" spans="2:12" ht="13.95" hidden="1" customHeight="1" x14ac:dyDescent="0.3">
      <c r="B137" s="12" t="s">
        <v>80</v>
      </c>
      <c r="C137" s="12" t="s">
        <v>117</v>
      </c>
      <c r="D137" s="74"/>
      <c r="E137" s="74"/>
      <c r="F137" s="74"/>
      <c r="G137" s="74"/>
      <c r="H137" s="74"/>
      <c r="I137" s="74"/>
      <c r="J137" s="74"/>
      <c r="K137" s="74"/>
      <c r="L137" s="57"/>
    </row>
    <row r="138" spans="2:12" ht="13.95" hidden="1" customHeight="1" x14ac:dyDescent="0.3">
      <c r="B138" s="12" t="s">
        <v>81</v>
      </c>
      <c r="C138" s="12" t="s">
        <v>117</v>
      </c>
      <c r="D138" s="74"/>
      <c r="E138" s="74"/>
      <c r="F138" s="74"/>
      <c r="G138" s="74"/>
      <c r="H138" s="74"/>
      <c r="I138" s="74"/>
      <c r="J138" s="74"/>
      <c r="K138" s="74"/>
      <c r="L138" s="57"/>
    </row>
    <row r="139" spans="2:12" ht="13.95" hidden="1" customHeight="1" x14ac:dyDescent="0.3">
      <c r="B139" s="12" t="s">
        <v>82</v>
      </c>
      <c r="C139" s="12" t="s">
        <v>117</v>
      </c>
      <c r="D139" s="74"/>
      <c r="E139" s="74"/>
      <c r="F139" s="74"/>
      <c r="G139" s="74"/>
      <c r="H139" s="74"/>
      <c r="I139" s="74"/>
      <c r="J139" s="74"/>
      <c r="K139" s="74"/>
      <c r="L139" s="57"/>
    </row>
    <row r="140" spans="2:12" ht="13.95" hidden="1" customHeight="1" x14ac:dyDescent="0.3">
      <c r="B140" s="12" t="s">
        <v>83</v>
      </c>
      <c r="C140" s="12" t="s">
        <v>117</v>
      </c>
      <c r="D140" s="74"/>
      <c r="E140" s="74"/>
      <c r="F140" s="74"/>
      <c r="G140" s="74"/>
      <c r="H140" s="74"/>
      <c r="I140" s="74"/>
      <c r="J140" s="74"/>
      <c r="K140" s="74"/>
      <c r="L140" s="57"/>
    </row>
    <row r="141" spans="2:12" ht="13.95" hidden="1" customHeight="1" x14ac:dyDescent="0.3">
      <c r="B141" s="12" t="s">
        <v>84</v>
      </c>
      <c r="C141" s="12" t="s">
        <v>117</v>
      </c>
      <c r="D141" s="74"/>
      <c r="E141" s="74"/>
      <c r="F141" s="74"/>
      <c r="G141" s="74"/>
      <c r="H141" s="74"/>
      <c r="I141" s="74"/>
      <c r="J141" s="74"/>
      <c r="K141" s="74"/>
      <c r="L141" s="57"/>
    </row>
    <row r="142" spans="2:12" ht="13.95" hidden="1" customHeight="1" x14ac:dyDescent="0.3">
      <c r="B142" s="12" t="s">
        <v>85</v>
      </c>
      <c r="C142" s="12" t="s">
        <v>117</v>
      </c>
      <c r="D142" s="74"/>
      <c r="E142" s="74"/>
      <c r="F142" s="74"/>
      <c r="G142" s="74"/>
      <c r="H142" s="74"/>
      <c r="I142" s="74"/>
      <c r="J142" s="74"/>
      <c r="K142" s="74"/>
      <c r="L142" s="57"/>
    </row>
    <row r="143" spans="2:12" ht="13.95" hidden="1" customHeight="1" x14ac:dyDescent="0.3">
      <c r="B143" s="12" t="s">
        <v>86</v>
      </c>
      <c r="C143" s="12" t="s">
        <v>117</v>
      </c>
      <c r="D143" s="74"/>
      <c r="E143" s="74"/>
      <c r="F143" s="74"/>
      <c r="G143" s="74"/>
      <c r="H143" s="74"/>
      <c r="I143" s="74"/>
      <c r="J143" s="74"/>
      <c r="K143" s="74"/>
      <c r="L143" s="57"/>
    </row>
    <row r="144" spans="2:12" ht="13.95" hidden="1" customHeight="1" x14ac:dyDescent="0.3">
      <c r="B144" s="12" t="s">
        <v>87</v>
      </c>
      <c r="C144" s="12" t="s">
        <v>117</v>
      </c>
      <c r="D144" s="74"/>
      <c r="E144" s="74"/>
      <c r="F144" s="74"/>
      <c r="G144" s="74"/>
      <c r="H144" s="74"/>
      <c r="I144" s="74"/>
      <c r="J144" s="74"/>
      <c r="K144" s="74"/>
      <c r="L144" s="57"/>
    </row>
    <row r="145" spans="2:12" ht="13.95" hidden="1" customHeight="1" x14ac:dyDescent="0.3">
      <c r="B145" s="12" t="s">
        <v>88</v>
      </c>
      <c r="C145" s="12" t="s">
        <v>117</v>
      </c>
      <c r="D145" s="74"/>
      <c r="E145" s="74"/>
      <c r="F145" s="74"/>
      <c r="G145" s="74"/>
      <c r="H145" s="74"/>
      <c r="I145" s="74"/>
      <c r="J145" s="74"/>
      <c r="K145" s="74"/>
      <c r="L145" s="57"/>
    </row>
    <row r="146" spans="2:12" ht="13.95" hidden="1" customHeight="1" x14ac:dyDescent="0.3">
      <c r="B146" s="12" t="s">
        <v>89</v>
      </c>
      <c r="C146" s="12" t="s">
        <v>117</v>
      </c>
      <c r="D146" s="74"/>
      <c r="E146" s="74"/>
      <c r="F146" s="74"/>
      <c r="G146" s="74"/>
      <c r="H146" s="74"/>
      <c r="I146" s="74"/>
      <c r="J146" s="74"/>
      <c r="K146" s="74"/>
      <c r="L146" s="57"/>
    </row>
    <row r="147" spans="2:12" ht="13.95" hidden="1" customHeight="1" x14ac:dyDescent="0.3">
      <c r="B147" s="12" t="s">
        <v>90</v>
      </c>
      <c r="C147" s="12" t="s">
        <v>117</v>
      </c>
      <c r="D147" s="74"/>
      <c r="E147" s="74"/>
      <c r="F147" s="74"/>
      <c r="G147" s="74"/>
      <c r="H147" s="74"/>
      <c r="I147" s="74"/>
      <c r="J147" s="74"/>
      <c r="K147" s="74"/>
      <c r="L147" s="57"/>
    </row>
    <row r="148" spans="2:12" ht="13.95" hidden="1" customHeight="1" x14ac:dyDescent="0.3">
      <c r="B148" s="12" t="s">
        <v>91</v>
      </c>
      <c r="C148" s="12" t="s">
        <v>117</v>
      </c>
      <c r="D148" s="74"/>
      <c r="E148" s="74"/>
      <c r="F148" s="74"/>
      <c r="G148" s="74"/>
      <c r="H148" s="74"/>
      <c r="I148" s="74"/>
      <c r="J148" s="74"/>
      <c r="K148" s="74"/>
      <c r="L148" s="57"/>
    </row>
    <row r="149" spans="2:12" ht="13.95" hidden="1" customHeight="1" x14ac:dyDescent="0.3">
      <c r="B149" s="12" t="s">
        <v>92</v>
      </c>
      <c r="C149" s="12" t="s">
        <v>117</v>
      </c>
      <c r="D149" s="74"/>
      <c r="E149" s="74"/>
      <c r="F149" s="74"/>
      <c r="G149" s="74"/>
      <c r="H149" s="74"/>
      <c r="I149" s="74"/>
      <c r="J149" s="74"/>
      <c r="K149" s="74"/>
      <c r="L149" s="57"/>
    </row>
    <row r="150" spans="2:12" ht="13.95" hidden="1" customHeight="1" x14ac:dyDescent="0.3">
      <c r="B150" s="12" t="s">
        <v>93</v>
      </c>
      <c r="C150" s="12" t="s">
        <v>117</v>
      </c>
      <c r="D150" s="74"/>
      <c r="E150" s="74"/>
      <c r="F150" s="74"/>
      <c r="G150" s="74"/>
      <c r="H150" s="74"/>
      <c r="I150" s="74"/>
      <c r="J150" s="74"/>
      <c r="K150" s="74"/>
      <c r="L150" s="57"/>
    </row>
    <row r="151" spans="2:12" ht="13.95" hidden="1" customHeight="1" x14ac:dyDescent="0.3">
      <c r="B151" s="12" t="s">
        <v>94</v>
      </c>
      <c r="C151" s="12" t="s">
        <v>117</v>
      </c>
      <c r="D151" s="74"/>
      <c r="E151" s="74"/>
      <c r="F151" s="74"/>
      <c r="G151" s="74"/>
      <c r="H151" s="74"/>
      <c r="I151" s="74"/>
      <c r="J151" s="74"/>
      <c r="K151" s="74"/>
      <c r="L151" s="57"/>
    </row>
    <row r="152" spans="2:12" ht="13.95" hidden="1" customHeight="1" x14ac:dyDescent="0.3">
      <c r="B152" s="12" t="s">
        <v>95</v>
      </c>
      <c r="C152" s="12" t="s">
        <v>117</v>
      </c>
      <c r="D152" s="74"/>
      <c r="E152" s="74"/>
      <c r="F152" s="74"/>
      <c r="G152" s="74"/>
      <c r="H152" s="74"/>
      <c r="I152" s="74"/>
      <c r="J152" s="74"/>
      <c r="K152" s="74"/>
      <c r="L152" s="57"/>
    </row>
    <row r="153" spans="2:12" ht="13.95" hidden="1" customHeight="1" x14ac:dyDescent="0.3">
      <c r="B153" s="12" t="s">
        <v>96</v>
      </c>
      <c r="C153" s="12" t="s">
        <v>117</v>
      </c>
      <c r="D153" s="74"/>
      <c r="E153" s="74"/>
      <c r="F153" s="74"/>
      <c r="G153" s="74"/>
      <c r="H153" s="74"/>
      <c r="I153" s="74"/>
      <c r="J153" s="74"/>
      <c r="K153" s="74"/>
      <c r="L153" s="57"/>
    </row>
    <row r="154" spans="2:12" ht="13.95" hidden="1" customHeight="1" x14ac:dyDescent="0.3">
      <c r="B154" s="12" t="s">
        <v>97</v>
      </c>
      <c r="C154" s="12" t="s">
        <v>117</v>
      </c>
      <c r="D154" s="74"/>
      <c r="E154" s="74"/>
      <c r="F154" s="74"/>
      <c r="G154" s="74"/>
      <c r="H154" s="74"/>
      <c r="I154" s="74"/>
      <c r="J154" s="74"/>
      <c r="K154" s="74"/>
      <c r="L154" s="57"/>
    </row>
    <row r="155" spans="2:12" ht="13.95" hidden="1" customHeight="1" x14ac:dyDescent="0.3">
      <c r="B155" s="12" t="s">
        <v>98</v>
      </c>
      <c r="C155" s="12" t="s">
        <v>117</v>
      </c>
      <c r="D155" s="74"/>
      <c r="E155" s="74"/>
      <c r="F155" s="74"/>
      <c r="G155" s="74"/>
      <c r="H155" s="74"/>
      <c r="I155" s="74"/>
      <c r="J155" s="74"/>
      <c r="K155" s="74"/>
      <c r="L155" s="57"/>
    </row>
    <row r="156" spans="2:12" ht="13.95" hidden="1" customHeight="1" x14ac:dyDescent="0.3">
      <c r="B156" s="12" t="s">
        <v>99</v>
      </c>
      <c r="C156" s="12" t="s">
        <v>117</v>
      </c>
      <c r="D156" s="74"/>
      <c r="E156" s="74"/>
      <c r="F156" s="74"/>
      <c r="G156" s="74"/>
      <c r="H156" s="74"/>
      <c r="I156" s="74"/>
      <c r="J156" s="74"/>
      <c r="K156" s="74"/>
      <c r="L156" s="57"/>
    </row>
    <row r="157" spans="2:12" ht="13.95" hidden="1" customHeight="1" x14ac:dyDescent="0.3">
      <c r="B157" s="12" t="s">
        <v>100</v>
      </c>
      <c r="C157" s="12" t="s">
        <v>117</v>
      </c>
      <c r="D157" s="74"/>
      <c r="E157" s="74"/>
      <c r="F157" s="74"/>
      <c r="G157" s="74"/>
      <c r="H157" s="74"/>
      <c r="I157" s="74"/>
      <c r="J157" s="74"/>
      <c r="K157" s="74"/>
      <c r="L157" s="57"/>
    </row>
    <row r="158" spans="2:12" ht="13.95" hidden="1" customHeight="1" x14ac:dyDescent="0.3">
      <c r="B158" s="12" t="s">
        <v>101</v>
      </c>
      <c r="C158" s="12" t="s">
        <v>117</v>
      </c>
      <c r="D158" s="74"/>
      <c r="E158" s="74"/>
      <c r="F158" s="74"/>
      <c r="G158" s="74"/>
      <c r="H158" s="74"/>
      <c r="I158" s="74"/>
      <c r="J158" s="74"/>
      <c r="K158" s="74"/>
      <c r="L158" s="57"/>
    </row>
    <row r="159" spans="2:12" ht="13.95" hidden="1" customHeight="1" x14ac:dyDescent="0.3">
      <c r="B159" s="12" t="s">
        <v>102</v>
      </c>
      <c r="C159" s="12" t="s">
        <v>117</v>
      </c>
      <c r="D159" s="74"/>
      <c r="E159" s="74"/>
      <c r="F159" s="74"/>
      <c r="G159" s="74"/>
      <c r="H159" s="74"/>
      <c r="I159" s="74"/>
      <c r="J159" s="74"/>
      <c r="K159" s="74"/>
      <c r="L159" s="57"/>
    </row>
    <row r="160" spans="2:12" ht="13.95" hidden="1" customHeight="1" x14ac:dyDescent="0.3">
      <c r="B160" s="12" t="s">
        <v>103</v>
      </c>
      <c r="C160" s="12" t="s">
        <v>117</v>
      </c>
      <c r="D160" s="74"/>
      <c r="E160" s="74"/>
      <c r="F160" s="74"/>
      <c r="G160" s="74"/>
      <c r="H160" s="74"/>
      <c r="I160" s="74"/>
      <c r="J160" s="74"/>
      <c r="K160" s="74"/>
      <c r="L160" s="57"/>
    </row>
    <row r="161" spans="2:12" ht="13.95" hidden="1" customHeight="1" x14ac:dyDescent="0.3">
      <c r="B161" s="12" t="s">
        <v>104</v>
      </c>
      <c r="C161" s="12" t="s">
        <v>117</v>
      </c>
      <c r="D161" s="74"/>
      <c r="E161" s="74"/>
      <c r="F161" s="74"/>
      <c r="G161" s="74"/>
      <c r="H161" s="74"/>
      <c r="I161" s="74"/>
      <c r="J161" s="74"/>
      <c r="K161" s="74"/>
      <c r="L161" s="57"/>
    </row>
    <row r="162" spans="2:12" ht="13.95" hidden="1" customHeight="1" x14ac:dyDescent="0.3">
      <c r="B162" s="12" t="s">
        <v>105</v>
      </c>
      <c r="C162" s="12" t="s">
        <v>117</v>
      </c>
      <c r="D162" s="74"/>
      <c r="E162" s="74"/>
      <c r="F162" s="74"/>
      <c r="G162" s="74"/>
      <c r="H162" s="74"/>
      <c r="I162" s="74"/>
      <c r="J162" s="74"/>
      <c r="K162" s="74"/>
      <c r="L162" s="57"/>
    </row>
    <row r="163" spans="2:12" ht="13.95" hidden="1" customHeight="1" x14ac:dyDescent="0.3">
      <c r="B163" s="12" t="s">
        <v>106</v>
      </c>
      <c r="C163" s="12" t="s">
        <v>117</v>
      </c>
      <c r="D163" s="74"/>
      <c r="E163" s="74"/>
      <c r="F163" s="74"/>
      <c r="G163" s="74"/>
      <c r="H163" s="74"/>
      <c r="I163" s="74"/>
      <c r="J163" s="74"/>
      <c r="K163" s="74"/>
      <c r="L163" s="57"/>
    </row>
    <row r="164" spans="2:12" ht="13.95" hidden="1" customHeight="1" x14ac:dyDescent="0.3">
      <c r="B164" s="12" t="s">
        <v>107</v>
      </c>
      <c r="C164" s="12" t="s">
        <v>117</v>
      </c>
      <c r="D164" s="74"/>
      <c r="E164" s="74"/>
      <c r="F164" s="74"/>
      <c r="G164" s="74"/>
      <c r="H164" s="74"/>
      <c r="I164" s="74"/>
      <c r="J164" s="74"/>
      <c r="K164" s="74"/>
      <c r="L164" s="57"/>
    </row>
    <row r="165" spans="2:12" ht="13.95" hidden="1" customHeight="1" x14ac:dyDescent="0.3">
      <c r="B165" s="12" t="s">
        <v>108</v>
      </c>
      <c r="C165" s="12" t="s">
        <v>117</v>
      </c>
      <c r="D165" s="74"/>
      <c r="E165" s="74"/>
      <c r="F165" s="74"/>
      <c r="G165" s="74"/>
      <c r="H165" s="74"/>
      <c r="I165" s="74"/>
      <c r="J165" s="74"/>
      <c r="K165" s="74"/>
      <c r="L165" s="57"/>
    </row>
    <row r="166" spans="2:12" ht="13.95" hidden="1" customHeight="1" x14ac:dyDescent="0.3">
      <c r="B166" s="12" t="s">
        <v>109</v>
      </c>
      <c r="C166" s="12" t="s">
        <v>117</v>
      </c>
      <c r="D166" s="74"/>
      <c r="E166" s="74"/>
      <c r="F166" s="74"/>
      <c r="G166" s="74"/>
      <c r="H166" s="74"/>
      <c r="I166" s="74"/>
      <c r="J166" s="74"/>
      <c r="K166" s="74"/>
      <c r="L166" s="57"/>
    </row>
    <row r="167" spans="2:12" ht="13.95" hidden="1" customHeight="1" x14ac:dyDescent="0.3">
      <c r="B167" s="12" t="s">
        <v>110</v>
      </c>
      <c r="C167" s="12" t="s">
        <v>117</v>
      </c>
      <c r="D167" s="74"/>
      <c r="E167" s="74"/>
      <c r="F167" s="74"/>
      <c r="G167" s="74"/>
      <c r="H167" s="74"/>
      <c r="I167" s="74"/>
      <c r="J167" s="74"/>
      <c r="K167" s="74"/>
      <c r="L167" s="57"/>
    </row>
    <row r="168" spans="2:12" ht="13.95" hidden="1" customHeight="1" x14ac:dyDescent="0.3">
      <c r="B168" s="12" t="s">
        <v>111</v>
      </c>
      <c r="C168" s="12" t="s">
        <v>117</v>
      </c>
      <c r="D168" s="74"/>
      <c r="E168" s="74"/>
      <c r="F168" s="74"/>
      <c r="G168" s="74"/>
      <c r="H168" s="74"/>
      <c r="I168" s="74"/>
      <c r="J168" s="74"/>
      <c r="K168" s="74"/>
      <c r="L168" s="57"/>
    </row>
    <row r="169" spans="2:12" ht="13.95" hidden="1" customHeight="1" x14ac:dyDescent="0.3">
      <c r="B169" s="12" t="s">
        <v>112</v>
      </c>
      <c r="C169" s="12" t="s">
        <v>117</v>
      </c>
      <c r="D169" s="74"/>
      <c r="E169" s="74"/>
      <c r="F169" s="74"/>
      <c r="G169" s="74"/>
      <c r="H169" s="74"/>
      <c r="I169" s="74"/>
      <c r="J169" s="74"/>
      <c r="K169" s="74"/>
      <c r="L169" s="57"/>
    </row>
    <row r="170" spans="2:12" ht="13.95" hidden="1" customHeight="1" x14ac:dyDescent="0.3">
      <c r="B170" s="12" t="s">
        <v>113</v>
      </c>
      <c r="C170" s="12" t="s">
        <v>117</v>
      </c>
      <c r="D170" s="74"/>
      <c r="E170" s="74"/>
      <c r="F170" s="74"/>
      <c r="G170" s="74"/>
      <c r="H170" s="74"/>
      <c r="I170" s="74"/>
      <c r="J170" s="74"/>
      <c r="K170" s="74"/>
      <c r="L170" s="57"/>
    </row>
    <row r="171" spans="2:12" ht="13.95" hidden="1" customHeight="1" x14ac:dyDescent="0.3">
      <c r="B171" s="12" t="s">
        <v>114</v>
      </c>
      <c r="C171" s="12" t="s">
        <v>117</v>
      </c>
      <c r="D171" s="74"/>
      <c r="E171" s="74"/>
      <c r="F171" s="74"/>
      <c r="G171" s="74"/>
      <c r="H171" s="74"/>
      <c r="I171" s="74"/>
      <c r="J171" s="74"/>
      <c r="K171" s="74"/>
      <c r="L171" s="57"/>
    </row>
    <row r="172" spans="2:12" ht="13.95" hidden="1" customHeight="1" x14ac:dyDescent="0.3">
      <c r="B172" s="12" t="s">
        <v>115</v>
      </c>
      <c r="C172" s="12" t="s">
        <v>117</v>
      </c>
      <c r="D172" s="74"/>
      <c r="E172" s="74"/>
      <c r="F172" s="74"/>
      <c r="G172" s="74"/>
      <c r="H172" s="74"/>
      <c r="I172" s="74"/>
      <c r="J172" s="74"/>
      <c r="K172" s="74"/>
      <c r="L172" s="57"/>
    </row>
    <row r="173" spans="2:12" ht="13.95" hidden="1" customHeight="1" x14ac:dyDescent="0.3">
      <c r="B173" s="12" t="s">
        <v>62</v>
      </c>
      <c r="C173" s="12" t="s">
        <v>118</v>
      </c>
      <c r="D173" s="74"/>
      <c r="E173" s="74"/>
      <c r="F173" s="74"/>
      <c r="G173" s="74"/>
      <c r="H173" s="74"/>
      <c r="I173" s="74"/>
      <c r="J173" s="74"/>
      <c r="K173" s="74"/>
      <c r="L173" s="57"/>
    </row>
    <row r="174" spans="2:12" ht="13.95" hidden="1" customHeight="1" x14ac:dyDescent="0.3">
      <c r="B174" s="12" t="s">
        <v>64</v>
      </c>
      <c r="C174" s="12" t="s">
        <v>118</v>
      </c>
      <c r="D174" s="74"/>
      <c r="E174" s="74"/>
      <c r="F174" s="74"/>
      <c r="G174" s="74"/>
      <c r="H174" s="74"/>
      <c r="I174" s="74"/>
      <c r="J174" s="74"/>
      <c r="K174" s="74"/>
      <c r="L174" s="57"/>
    </row>
    <row r="175" spans="2:12" ht="13.95" hidden="1" customHeight="1" x14ac:dyDescent="0.3">
      <c r="B175" s="12" t="s">
        <v>65</v>
      </c>
      <c r="C175" s="12" t="s">
        <v>118</v>
      </c>
      <c r="D175" s="74"/>
      <c r="E175" s="74"/>
      <c r="F175" s="74"/>
      <c r="G175" s="74"/>
      <c r="H175" s="74"/>
      <c r="I175" s="74"/>
      <c r="J175" s="74"/>
      <c r="K175" s="74"/>
      <c r="L175" s="57"/>
    </row>
    <row r="176" spans="2:12" ht="13.95" hidden="1" customHeight="1" x14ac:dyDescent="0.3">
      <c r="B176" s="12" t="s">
        <v>66</v>
      </c>
      <c r="C176" s="12" t="s">
        <v>118</v>
      </c>
      <c r="D176" s="74"/>
      <c r="E176" s="74"/>
      <c r="F176" s="74"/>
      <c r="G176" s="74"/>
      <c r="H176" s="74"/>
      <c r="I176" s="74"/>
      <c r="J176" s="74"/>
      <c r="K176" s="74"/>
      <c r="L176" s="57"/>
    </row>
    <row r="177" spans="2:12" ht="13.95" hidden="1" customHeight="1" x14ac:dyDescent="0.3">
      <c r="B177" s="12" t="s">
        <v>67</v>
      </c>
      <c r="C177" s="12" t="s">
        <v>118</v>
      </c>
      <c r="D177" s="74"/>
      <c r="E177" s="74"/>
      <c r="F177" s="74"/>
      <c r="G177" s="74"/>
      <c r="H177" s="74"/>
      <c r="I177" s="74"/>
      <c r="J177" s="74"/>
      <c r="K177" s="74"/>
      <c r="L177" s="57"/>
    </row>
    <row r="178" spans="2:12" ht="13.95" hidden="1" customHeight="1" x14ac:dyDescent="0.3">
      <c r="B178" s="12" t="s">
        <v>68</v>
      </c>
      <c r="C178" s="12" t="s">
        <v>118</v>
      </c>
      <c r="D178" s="74"/>
      <c r="E178" s="74"/>
      <c r="F178" s="74"/>
      <c r="G178" s="74"/>
      <c r="H178" s="74"/>
      <c r="I178" s="74"/>
      <c r="J178" s="74"/>
      <c r="K178" s="74"/>
      <c r="L178" s="57"/>
    </row>
    <row r="179" spans="2:12" ht="13.95" hidden="1" customHeight="1" x14ac:dyDescent="0.3">
      <c r="B179" s="12" t="s">
        <v>69</v>
      </c>
      <c r="C179" s="12" t="s">
        <v>118</v>
      </c>
      <c r="D179" s="74"/>
      <c r="E179" s="74"/>
      <c r="F179" s="74"/>
      <c r="G179" s="74"/>
      <c r="H179" s="74"/>
      <c r="I179" s="74"/>
      <c r="J179" s="74"/>
      <c r="K179" s="74"/>
      <c r="L179" s="57"/>
    </row>
    <row r="180" spans="2:12" ht="13.95" hidden="1" customHeight="1" x14ac:dyDescent="0.3">
      <c r="B180" s="12" t="s">
        <v>70</v>
      </c>
      <c r="C180" s="12" t="s">
        <v>118</v>
      </c>
      <c r="D180" s="74"/>
      <c r="E180" s="74"/>
      <c r="F180" s="74"/>
      <c r="G180" s="74"/>
      <c r="H180" s="74"/>
      <c r="I180" s="74"/>
      <c r="J180" s="74"/>
      <c r="K180" s="74"/>
      <c r="L180" s="57"/>
    </row>
    <row r="181" spans="2:12" ht="13.95" hidden="1" customHeight="1" x14ac:dyDescent="0.3">
      <c r="B181" s="12" t="s">
        <v>71</v>
      </c>
      <c r="C181" s="12" t="s">
        <v>118</v>
      </c>
      <c r="D181" s="74"/>
      <c r="E181" s="74"/>
      <c r="F181" s="74"/>
      <c r="G181" s="74"/>
      <c r="H181" s="74"/>
      <c r="I181" s="74"/>
      <c r="J181" s="74"/>
      <c r="K181" s="74"/>
      <c r="L181" s="57"/>
    </row>
    <row r="182" spans="2:12" ht="13.95" hidden="1" customHeight="1" x14ac:dyDescent="0.3">
      <c r="B182" s="12" t="s">
        <v>72</v>
      </c>
      <c r="C182" s="12" t="s">
        <v>118</v>
      </c>
      <c r="D182" s="74"/>
      <c r="E182" s="74"/>
      <c r="F182" s="74"/>
      <c r="G182" s="74"/>
      <c r="H182" s="74"/>
      <c r="I182" s="74"/>
      <c r="J182" s="74"/>
      <c r="K182" s="74"/>
      <c r="L182" s="57"/>
    </row>
    <row r="183" spans="2:12" ht="13.95" hidden="1" customHeight="1" x14ac:dyDescent="0.3">
      <c r="B183" s="12" t="s">
        <v>73</v>
      </c>
      <c r="C183" s="12" t="s">
        <v>118</v>
      </c>
      <c r="D183" s="74"/>
      <c r="E183" s="74"/>
      <c r="F183" s="74"/>
      <c r="G183" s="74"/>
      <c r="H183" s="74"/>
      <c r="I183" s="74"/>
      <c r="J183" s="74"/>
      <c r="K183" s="74"/>
      <c r="L183" s="57"/>
    </row>
    <row r="184" spans="2:12" ht="13.95" hidden="1" customHeight="1" x14ac:dyDescent="0.3">
      <c r="B184" s="12" t="s">
        <v>74</v>
      </c>
      <c r="C184" s="12" t="s">
        <v>118</v>
      </c>
      <c r="D184" s="74"/>
      <c r="E184" s="74"/>
      <c r="F184" s="74"/>
      <c r="G184" s="74"/>
      <c r="H184" s="74"/>
      <c r="I184" s="74"/>
      <c r="J184" s="74"/>
      <c r="K184" s="74"/>
      <c r="L184" s="57"/>
    </row>
    <row r="185" spans="2:12" ht="13.95" hidden="1" customHeight="1" x14ac:dyDescent="0.3">
      <c r="B185" s="12" t="s">
        <v>75</v>
      </c>
      <c r="C185" s="12" t="s">
        <v>118</v>
      </c>
      <c r="D185" s="74"/>
      <c r="E185" s="74"/>
      <c r="F185" s="74"/>
      <c r="G185" s="74"/>
      <c r="H185" s="74"/>
      <c r="I185" s="74"/>
      <c r="J185" s="74"/>
      <c r="K185" s="74"/>
      <c r="L185" s="57"/>
    </row>
    <row r="186" spans="2:12" ht="13.95" hidden="1" customHeight="1" x14ac:dyDescent="0.3">
      <c r="B186" s="12" t="s">
        <v>76</v>
      </c>
      <c r="C186" s="12" t="s">
        <v>118</v>
      </c>
      <c r="D186" s="74"/>
      <c r="E186" s="74"/>
      <c r="F186" s="74"/>
      <c r="G186" s="74"/>
      <c r="H186" s="74"/>
      <c r="I186" s="74"/>
      <c r="J186" s="74"/>
      <c r="K186" s="74"/>
      <c r="L186" s="57"/>
    </row>
    <row r="187" spans="2:12" ht="13.95" hidden="1" customHeight="1" x14ac:dyDescent="0.3">
      <c r="B187" s="12" t="s">
        <v>77</v>
      </c>
      <c r="C187" s="12" t="s">
        <v>118</v>
      </c>
      <c r="D187" s="74"/>
      <c r="E187" s="74"/>
      <c r="F187" s="74"/>
      <c r="G187" s="74"/>
      <c r="H187" s="74"/>
      <c r="I187" s="74"/>
      <c r="J187" s="74"/>
      <c r="K187" s="74"/>
      <c r="L187" s="57"/>
    </row>
    <row r="188" spans="2:12" ht="13.95" hidden="1" customHeight="1" x14ac:dyDescent="0.3">
      <c r="B188" s="12" t="s">
        <v>78</v>
      </c>
      <c r="C188" s="12" t="s">
        <v>118</v>
      </c>
      <c r="D188" s="74"/>
      <c r="E188" s="74"/>
      <c r="F188" s="74"/>
      <c r="G188" s="74"/>
      <c r="H188" s="74"/>
      <c r="I188" s="74"/>
      <c r="J188" s="74"/>
      <c r="K188" s="74"/>
      <c r="L188" s="57"/>
    </row>
    <row r="189" spans="2:12" ht="13.95" hidden="1" customHeight="1" x14ac:dyDescent="0.3">
      <c r="B189" s="12" t="s">
        <v>79</v>
      </c>
      <c r="C189" s="12" t="s">
        <v>118</v>
      </c>
      <c r="D189" s="74"/>
      <c r="E189" s="74"/>
      <c r="F189" s="74"/>
      <c r="G189" s="74"/>
      <c r="H189" s="74"/>
      <c r="I189" s="74"/>
      <c r="J189" s="74"/>
      <c r="K189" s="74"/>
      <c r="L189" s="57"/>
    </row>
    <row r="190" spans="2:12" ht="13.95" hidden="1" customHeight="1" x14ac:dyDescent="0.3">
      <c r="B190" s="12" t="s">
        <v>80</v>
      </c>
      <c r="C190" s="12" t="s">
        <v>118</v>
      </c>
      <c r="D190" s="74"/>
      <c r="E190" s="74"/>
      <c r="F190" s="74"/>
      <c r="G190" s="74"/>
      <c r="H190" s="74"/>
      <c r="I190" s="74"/>
      <c r="J190" s="74"/>
      <c r="K190" s="74"/>
      <c r="L190" s="57"/>
    </row>
    <row r="191" spans="2:12" ht="13.95" hidden="1" customHeight="1" x14ac:dyDescent="0.3">
      <c r="B191" s="12" t="s">
        <v>81</v>
      </c>
      <c r="C191" s="12" t="s">
        <v>118</v>
      </c>
      <c r="D191" s="74"/>
      <c r="E191" s="74"/>
      <c r="F191" s="74"/>
      <c r="G191" s="74"/>
      <c r="H191" s="74"/>
      <c r="I191" s="74"/>
      <c r="J191" s="74"/>
      <c r="K191" s="74"/>
      <c r="L191" s="57"/>
    </row>
    <row r="192" spans="2:12" ht="13.95" hidden="1" customHeight="1" x14ac:dyDescent="0.3">
      <c r="B192" s="12" t="s">
        <v>82</v>
      </c>
      <c r="C192" s="12" t="s">
        <v>118</v>
      </c>
      <c r="D192" s="74"/>
      <c r="E192" s="74"/>
      <c r="F192" s="74"/>
      <c r="G192" s="74"/>
      <c r="H192" s="74"/>
      <c r="I192" s="74"/>
      <c r="J192" s="74"/>
      <c r="K192" s="74"/>
      <c r="L192" s="57"/>
    </row>
    <row r="193" spans="2:12" ht="13.95" hidden="1" customHeight="1" x14ac:dyDescent="0.3">
      <c r="B193" s="12" t="s">
        <v>83</v>
      </c>
      <c r="C193" s="12" t="s">
        <v>118</v>
      </c>
      <c r="D193" s="74"/>
      <c r="E193" s="74"/>
      <c r="F193" s="74"/>
      <c r="G193" s="74"/>
      <c r="H193" s="74"/>
      <c r="I193" s="74"/>
      <c r="J193" s="74"/>
      <c r="K193" s="74"/>
      <c r="L193" s="57"/>
    </row>
    <row r="194" spans="2:12" ht="13.95" hidden="1" customHeight="1" x14ac:dyDescent="0.3">
      <c r="B194" s="12" t="s">
        <v>84</v>
      </c>
      <c r="C194" s="12" t="s">
        <v>118</v>
      </c>
      <c r="D194" s="74"/>
      <c r="E194" s="74"/>
      <c r="F194" s="74"/>
      <c r="G194" s="74"/>
      <c r="H194" s="74"/>
      <c r="I194" s="74"/>
      <c r="J194" s="74"/>
      <c r="K194" s="74"/>
      <c r="L194" s="57"/>
    </row>
    <row r="195" spans="2:12" ht="13.95" hidden="1" customHeight="1" x14ac:dyDescent="0.3">
      <c r="B195" s="12" t="s">
        <v>85</v>
      </c>
      <c r="C195" s="12" t="s">
        <v>118</v>
      </c>
      <c r="D195" s="74"/>
      <c r="E195" s="74"/>
      <c r="F195" s="74"/>
      <c r="G195" s="74"/>
      <c r="H195" s="74"/>
      <c r="I195" s="74"/>
      <c r="J195" s="74"/>
      <c r="K195" s="74"/>
      <c r="L195" s="57"/>
    </row>
    <row r="196" spans="2:12" ht="13.95" hidden="1" customHeight="1" x14ac:dyDescent="0.3">
      <c r="B196" s="12" t="s">
        <v>86</v>
      </c>
      <c r="C196" s="12" t="s">
        <v>118</v>
      </c>
      <c r="D196" s="74"/>
      <c r="E196" s="74"/>
      <c r="F196" s="74"/>
      <c r="G196" s="74"/>
      <c r="H196" s="74"/>
      <c r="I196" s="74"/>
      <c r="J196" s="74"/>
      <c r="K196" s="74"/>
      <c r="L196" s="57"/>
    </row>
    <row r="197" spans="2:12" ht="13.95" hidden="1" customHeight="1" x14ac:dyDescent="0.3">
      <c r="B197" s="12" t="s">
        <v>87</v>
      </c>
      <c r="C197" s="12" t="s">
        <v>118</v>
      </c>
      <c r="D197" s="74"/>
      <c r="E197" s="74"/>
      <c r="F197" s="74"/>
      <c r="G197" s="74"/>
      <c r="H197" s="74"/>
      <c r="I197" s="74"/>
      <c r="J197" s="74"/>
      <c r="K197" s="74"/>
      <c r="L197" s="57"/>
    </row>
    <row r="198" spans="2:12" ht="13.95" hidden="1" customHeight="1" x14ac:dyDescent="0.3">
      <c r="B198" s="12" t="s">
        <v>88</v>
      </c>
      <c r="C198" s="12" t="s">
        <v>118</v>
      </c>
      <c r="D198" s="74"/>
      <c r="E198" s="74"/>
      <c r="F198" s="74"/>
      <c r="G198" s="74"/>
      <c r="H198" s="74"/>
      <c r="I198" s="74"/>
      <c r="J198" s="74"/>
      <c r="K198" s="74"/>
      <c r="L198" s="57"/>
    </row>
    <row r="199" spans="2:12" ht="13.95" hidden="1" customHeight="1" x14ac:dyDescent="0.3">
      <c r="B199" s="12" t="s">
        <v>89</v>
      </c>
      <c r="C199" s="12" t="s">
        <v>118</v>
      </c>
      <c r="D199" s="74"/>
      <c r="E199" s="74"/>
      <c r="F199" s="74"/>
      <c r="G199" s="74"/>
      <c r="H199" s="74"/>
      <c r="I199" s="74"/>
      <c r="J199" s="74"/>
      <c r="K199" s="74"/>
      <c r="L199" s="57"/>
    </row>
    <row r="200" spans="2:12" ht="13.95" hidden="1" customHeight="1" x14ac:dyDescent="0.3">
      <c r="B200" s="12" t="s">
        <v>90</v>
      </c>
      <c r="C200" s="12" t="s">
        <v>118</v>
      </c>
      <c r="D200" s="74"/>
      <c r="E200" s="74"/>
      <c r="F200" s="74"/>
      <c r="G200" s="74"/>
      <c r="H200" s="74"/>
      <c r="I200" s="74"/>
      <c r="J200" s="74"/>
      <c r="K200" s="74"/>
      <c r="L200" s="57"/>
    </row>
    <row r="201" spans="2:12" ht="13.95" hidden="1" customHeight="1" x14ac:dyDescent="0.3">
      <c r="B201" s="12" t="s">
        <v>91</v>
      </c>
      <c r="C201" s="12" t="s">
        <v>118</v>
      </c>
      <c r="D201" s="74"/>
      <c r="E201" s="74"/>
      <c r="F201" s="74"/>
      <c r="G201" s="74"/>
      <c r="H201" s="74"/>
      <c r="I201" s="74"/>
      <c r="J201" s="74"/>
      <c r="K201" s="74"/>
      <c r="L201" s="57"/>
    </row>
    <row r="202" spans="2:12" ht="13.95" hidden="1" customHeight="1" x14ac:dyDescent="0.3">
      <c r="B202" s="12" t="s">
        <v>92</v>
      </c>
      <c r="C202" s="12" t="s">
        <v>118</v>
      </c>
      <c r="D202" s="74"/>
      <c r="E202" s="74"/>
      <c r="F202" s="74"/>
      <c r="G202" s="74"/>
      <c r="H202" s="74"/>
      <c r="I202" s="74"/>
      <c r="J202" s="74"/>
      <c r="K202" s="74"/>
      <c r="L202" s="57"/>
    </row>
    <row r="203" spans="2:12" ht="13.95" hidden="1" customHeight="1" x14ac:dyDescent="0.3">
      <c r="B203" s="12" t="s">
        <v>93</v>
      </c>
      <c r="C203" s="12" t="s">
        <v>118</v>
      </c>
      <c r="D203" s="74"/>
      <c r="E203" s="74"/>
      <c r="F203" s="74"/>
      <c r="G203" s="74"/>
      <c r="H203" s="74"/>
      <c r="I203" s="74"/>
      <c r="J203" s="74"/>
      <c r="K203" s="74"/>
      <c r="L203" s="57"/>
    </row>
    <row r="204" spans="2:12" ht="13.95" hidden="1" customHeight="1" x14ac:dyDescent="0.3">
      <c r="B204" s="12" t="s">
        <v>94</v>
      </c>
      <c r="C204" s="12" t="s">
        <v>118</v>
      </c>
      <c r="D204" s="74"/>
      <c r="E204" s="74"/>
      <c r="F204" s="74"/>
      <c r="G204" s="74"/>
      <c r="H204" s="74"/>
      <c r="I204" s="74"/>
      <c r="J204" s="74"/>
      <c r="K204" s="74"/>
      <c r="L204" s="57"/>
    </row>
    <row r="205" spans="2:12" ht="13.95" hidden="1" customHeight="1" x14ac:dyDescent="0.3">
      <c r="B205" s="12" t="s">
        <v>95</v>
      </c>
      <c r="C205" s="12" t="s">
        <v>118</v>
      </c>
      <c r="D205" s="74"/>
      <c r="E205" s="74"/>
      <c r="F205" s="74"/>
      <c r="G205" s="74"/>
      <c r="H205" s="74"/>
      <c r="I205" s="74"/>
      <c r="J205" s="74"/>
      <c r="K205" s="74"/>
      <c r="L205" s="57"/>
    </row>
    <row r="206" spans="2:12" ht="13.95" hidden="1" customHeight="1" x14ac:dyDescent="0.3">
      <c r="B206" s="12" t="s">
        <v>96</v>
      </c>
      <c r="C206" s="12" t="s">
        <v>118</v>
      </c>
      <c r="D206" s="74"/>
      <c r="E206" s="74"/>
      <c r="F206" s="74"/>
      <c r="G206" s="74"/>
      <c r="H206" s="74"/>
      <c r="I206" s="74"/>
      <c r="J206" s="74"/>
      <c r="K206" s="74"/>
      <c r="L206" s="57"/>
    </row>
    <row r="207" spans="2:12" ht="13.95" hidden="1" customHeight="1" x14ac:dyDescent="0.3">
      <c r="B207" s="12" t="s">
        <v>97</v>
      </c>
      <c r="C207" s="12" t="s">
        <v>118</v>
      </c>
      <c r="D207" s="74"/>
      <c r="E207" s="74"/>
      <c r="F207" s="74"/>
      <c r="G207" s="74"/>
      <c r="H207" s="74"/>
      <c r="I207" s="74"/>
      <c r="J207" s="74"/>
      <c r="K207" s="74"/>
      <c r="L207" s="57"/>
    </row>
    <row r="208" spans="2:12" ht="13.95" hidden="1" customHeight="1" x14ac:dyDescent="0.3">
      <c r="B208" s="12" t="s">
        <v>98</v>
      </c>
      <c r="C208" s="12" t="s">
        <v>118</v>
      </c>
      <c r="D208" s="74"/>
      <c r="E208" s="74"/>
      <c r="F208" s="74"/>
      <c r="G208" s="74"/>
      <c r="H208" s="74"/>
      <c r="I208" s="74"/>
      <c r="J208" s="74"/>
      <c r="K208" s="74"/>
      <c r="L208" s="57"/>
    </row>
    <row r="209" spans="2:12" ht="13.95" hidden="1" customHeight="1" x14ac:dyDescent="0.3">
      <c r="B209" s="12" t="s">
        <v>99</v>
      </c>
      <c r="C209" s="12" t="s">
        <v>118</v>
      </c>
      <c r="D209" s="74"/>
      <c r="E209" s="74"/>
      <c r="F209" s="74"/>
      <c r="G209" s="74"/>
      <c r="H209" s="74"/>
      <c r="I209" s="74"/>
      <c r="J209" s="74"/>
      <c r="K209" s="74"/>
      <c r="L209" s="57"/>
    </row>
    <row r="210" spans="2:12" ht="13.95" hidden="1" customHeight="1" x14ac:dyDescent="0.3">
      <c r="B210" s="12" t="s">
        <v>100</v>
      </c>
      <c r="C210" s="12" t="s">
        <v>118</v>
      </c>
      <c r="D210" s="74"/>
      <c r="E210" s="74"/>
      <c r="F210" s="74"/>
      <c r="G210" s="74"/>
      <c r="H210" s="74"/>
      <c r="I210" s="74"/>
      <c r="J210" s="74"/>
      <c r="K210" s="74"/>
      <c r="L210" s="57"/>
    </row>
    <row r="211" spans="2:12" ht="13.95" hidden="1" customHeight="1" x14ac:dyDescent="0.3">
      <c r="B211" s="12" t="s">
        <v>101</v>
      </c>
      <c r="C211" s="12" t="s">
        <v>118</v>
      </c>
      <c r="D211" s="74"/>
      <c r="E211" s="74"/>
      <c r="F211" s="74"/>
      <c r="G211" s="74"/>
      <c r="H211" s="74"/>
      <c r="I211" s="74"/>
      <c r="J211" s="74"/>
      <c r="K211" s="74"/>
      <c r="L211" s="57"/>
    </row>
    <row r="212" spans="2:12" ht="13.95" hidden="1" customHeight="1" x14ac:dyDescent="0.3">
      <c r="B212" s="12" t="s">
        <v>102</v>
      </c>
      <c r="C212" s="12" t="s">
        <v>118</v>
      </c>
      <c r="D212" s="74"/>
      <c r="E212" s="74"/>
      <c r="F212" s="74"/>
      <c r="G212" s="74"/>
      <c r="H212" s="74"/>
      <c r="I212" s="74"/>
      <c r="J212" s="74"/>
      <c r="K212" s="74"/>
      <c r="L212" s="57"/>
    </row>
    <row r="213" spans="2:12" ht="13.95" hidden="1" customHeight="1" x14ac:dyDescent="0.3">
      <c r="B213" s="12" t="s">
        <v>103</v>
      </c>
      <c r="C213" s="12" t="s">
        <v>118</v>
      </c>
      <c r="D213" s="74"/>
      <c r="E213" s="74"/>
      <c r="F213" s="74"/>
      <c r="G213" s="74"/>
      <c r="H213" s="74"/>
      <c r="I213" s="74"/>
      <c r="J213" s="74"/>
      <c r="K213" s="74"/>
      <c r="L213" s="57"/>
    </row>
    <row r="214" spans="2:12" ht="13.95" hidden="1" customHeight="1" x14ac:dyDescent="0.3">
      <c r="B214" s="12" t="s">
        <v>104</v>
      </c>
      <c r="C214" s="12" t="s">
        <v>118</v>
      </c>
      <c r="D214" s="74"/>
      <c r="E214" s="74"/>
      <c r="F214" s="74"/>
      <c r="G214" s="74"/>
      <c r="H214" s="74"/>
      <c r="I214" s="74"/>
      <c r="J214" s="74"/>
      <c r="K214" s="74"/>
      <c r="L214" s="57"/>
    </row>
    <row r="215" spans="2:12" ht="13.95" hidden="1" customHeight="1" x14ac:dyDescent="0.3">
      <c r="B215" s="12" t="s">
        <v>105</v>
      </c>
      <c r="C215" s="12" t="s">
        <v>118</v>
      </c>
      <c r="D215" s="74"/>
      <c r="E215" s="74"/>
      <c r="F215" s="74"/>
      <c r="G215" s="74"/>
      <c r="H215" s="74"/>
      <c r="I215" s="74"/>
      <c r="J215" s="74"/>
      <c r="K215" s="74"/>
      <c r="L215" s="57"/>
    </row>
    <row r="216" spans="2:12" ht="13.95" hidden="1" customHeight="1" x14ac:dyDescent="0.3">
      <c r="B216" s="12" t="s">
        <v>106</v>
      </c>
      <c r="C216" s="12" t="s">
        <v>118</v>
      </c>
      <c r="D216" s="74"/>
      <c r="E216" s="74"/>
      <c r="F216" s="74"/>
      <c r="G216" s="74"/>
      <c r="H216" s="74"/>
      <c r="I216" s="74"/>
      <c r="J216" s="74"/>
      <c r="K216" s="74"/>
      <c r="L216" s="57"/>
    </row>
    <row r="217" spans="2:12" ht="13.95" hidden="1" customHeight="1" x14ac:dyDescent="0.3">
      <c r="B217" s="12" t="s">
        <v>107</v>
      </c>
      <c r="C217" s="12" t="s">
        <v>118</v>
      </c>
      <c r="D217" s="74"/>
      <c r="E217" s="74"/>
      <c r="F217" s="74"/>
      <c r="G217" s="74"/>
      <c r="H217" s="74"/>
      <c r="I217" s="74"/>
      <c r="J217" s="74"/>
      <c r="K217" s="74"/>
      <c r="L217" s="57"/>
    </row>
    <row r="218" spans="2:12" ht="13.95" hidden="1" customHeight="1" x14ac:dyDescent="0.3">
      <c r="B218" s="12" t="s">
        <v>108</v>
      </c>
      <c r="C218" s="12" t="s">
        <v>118</v>
      </c>
      <c r="D218" s="74"/>
      <c r="E218" s="74"/>
      <c r="F218" s="74"/>
      <c r="G218" s="74"/>
      <c r="H218" s="74"/>
      <c r="I218" s="74"/>
      <c r="J218" s="74"/>
      <c r="K218" s="74"/>
      <c r="L218" s="57"/>
    </row>
    <row r="219" spans="2:12" ht="13.95" hidden="1" customHeight="1" x14ac:dyDescent="0.3">
      <c r="B219" s="12" t="s">
        <v>109</v>
      </c>
      <c r="C219" s="12" t="s">
        <v>118</v>
      </c>
      <c r="D219" s="74"/>
      <c r="E219" s="74"/>
      <c r="F219" s="74"/>
      <c r="G219" s="74"/>
      <c r="H219" s="74"/>
      <c r="I219" s="74"/>
      <c r="J219" s="74"/>
      <c r="K219" s="74"/>
      <c r="L219" s="57"/>
    </row>
    <row r="220" spans="2:12" ht="13.95" hidden="1" customHeight="1" x14ac:dyDescent="0.3">
      <c r="B220" s="12" t="s">
        <v>110</v>
      </c>
      <c r="C220" s="12" t="s">
        <v>118</v>
      </c>
      <c r="D220" s="74"/>
      <c r="E220" s="74"/>
      <c r="F220" s="74"/>
      <c r="G220" s="74"/>
      <c r="H220" s="74"/>
      <c r="I220" s="74"/>
      <c r="J220" s="74"/>
      <c r="K220" s="74"/>
      <c r="L220" s="57"/>
    </row>
    <row r="221" spans="2:12" ht="13.95" hidden="1" customHeight="1" x14ac:dyDescent="0.3">
      <c r="B221" s="12" t="s">
        <v>111</v>
      </c>
      <c r="C221" s="12" t="s">
        <v>118</v>
      </c>
      <c r="D221" s="74"/>
      <c r="E221" s="74"/>
      <c r="F221" s="74"/>
      <c r="G221" s="74"/>
      <c r="H221" s="74"/>
      <c r="I221" s="74"/>
      <c r="J221" s="74"/>
      <c r="K221" s="74"/>
      <c r="L221" s="57"/>
    </row>
    <row r="222" spans="2:12" ht="13.95" hidden="1" customHeight="1" x14ac:dyDescent="0.3">
      <c r="B222" s="12" t="s">
        <v>112</v>
      </c>
      <c r="C222" s="12" t="s">
        <v>118</v>
      </c>
      <c r="D222" s="74"/>
      <c r="E222" s="74"/>
      <c r="F222" s="74"/>
      <c r="G222" s="74"/>
      <c r="H222" s="74"/>
      <c r="I222" s="74"/>
      <c r="J222" s="74"/>
      <c r="K222" s="74"/>
      <c r="L222" s="57"/>
    </row>
    <row r="223" spans="2:12" ht="13.95" hidden="1" customHeight="1" x14ac:dyDescent="0.3">
      <c r="B223" s="12" t="s">
        <v>113</v>
      </c>
      <c r="C223" s="12" t="s">
        <v>118</v>
      </c>
      <c r="D223" s="74"/>
      <c r="E223" s="74"/>
      <c r="F223" s="74"/>
      <c r="G223" s="74"/>
      <c r="H223" s="74"/>
      <c r="I223" s="74"/>
      <c r="J223" s="74"/>
      <c r="K223" s="74"/>
      <c r="L223" s="57"/>
    </row>
    <row r="224" spans="2:12" ht="13.95" hidden="1" customHeight="1" x14ac:dyDescent="0.3">
      <c r="B224" s="12" t="s">
        <v>114</v>
      </c>
      <c r="C224" s="12" t="s">
        <v>118</v>
      </c>
      <c r="D224" s="74"/>
      <c r="E224" s="74"/>
      <c r="F224" s="74"/>
      <c r="G224" s="74"/>
      <c r="H224" s="74"/>
      <c r="I224" s="74"/>
      <c r="J224" s="74"/>
      <c r="K224" s="74"/>
      <c r="L224" s="57"/>
    </row>
    <row r="225" spans="2:12" ht="13.95" hidden="1" customHeight="1" x14ac:dyDescent="0.3">
      <c r="B225" s="12" t="s">
        <v>115</v>
      </c>
      <c r="C225" s="12" t="s">
        <v>118</v>
      </c>
      <c r="D225" s="74"/>
      <c r="E225" s="74"/>
      <c r="F225" s="74"/>
      <c r="G225" s="74"/>
      <c r="H225" s="74"/>
      <c r="I225" s="74"/>
      <c r="J225" s="74"/>
      <c r="K225" s="74"/>
      <c r="L225" s="57"/>
    </row>
    <row r="226" spans="2:12" ht="13.95" hidden="1" customHeight="1" x14ac:dyDescent="0.3">
      <c r="B226" s="12" t="s">
        <v>62</v>
      </c>
      <c r="C226" s="12" t="s">
        <v>119</v>
      </c>
      <c r="D226" s="74"/>
      <c r="E226" s="74"/>
      <c r="F226" s="74"/>
      <c r="G226" s="74"/>
      <c r="H226" s="74"/>
      <c r="I226" s="74"/>
      <c r="J226" s="74"/>
      <c r="K226" s="74"/>
      <c r="L226" s="57"/>
    </row>
    <row r="227" spans="2:12" ht="13.95" hidden="1" customHeight="1" x14ac:dyDescent="0.3">
      <c r="B227" s="12" t="s">
        <v>64</v>
      </c>
      <c r="C227" s="12" t="s">
        <v>119</v>
      </c>
      <c r="D227" s="74"/>
      <c r="E227" s="74"/>
      <c r="F227" s="74"/>
      <c r="G227" s="74"/>
      <c r="H227" s="74"/>
      <c r="I227" s="74"/>
      <c r="J227" s="74"/>
      <c r="K227" s="74"/>
      <c r="L227" s="57"/>
    </row>
    <row r="228" spans="2:12" ht="13.95" hidden="1" customHeight="1" x14ac:dyDescent="0.3">
      <c r="B228" s="12" t="s">
        <v>65</v>
      </c>
      <c r="C228" s="12" t="s">
        <v>119</v>
      </c>
      <c r="D228" s="74"/>
      <c r="E228" s="74"/>
      <c r="F228" s="74"/>
      <c r="G228" s="74"/>
      <c r="H228" s="74"/>
      <c r="I228" s="74"/>
      <c r="J228" s="74"/>
      <c r="K228" s="74"/>
      <c r="L228" s="57"/>
    </row>
    <row r="229" spans="2:12" ht="13.95" hidden="1" customHeight="1" x14ac:dyDescent="0.3">
      <c r="B229" s="12" t="s">
        <v>66</v>
      </c>
      <c r="C229" s="12" t="s">
        <v>119</v>
      </c>
      <c r="D229" s="74"/>
      <c r="E229" s="74"/>
      <c r="F229" s="74"/>
      <c r="G229" s="74"/>
      <c r="H229" s="74"/>
      <c r="I229" s="74"/>
      <c r="J229" s="74"/>
      <c r="K229" s="74"/>
      <c r="L229" s="57"/>
    </row>
    <row r="230" spans="2:12" ht="13.95" hidden="1" customHeight="1" x14ac:dyDescent="0.3">
      <c r="B230" s="12" t="s">
        <v>67</v>
      </c>
      <c r="C230" s="12" t="s">
        <v>119</v>
      </c>
      <c r="D230" s="74"/>
      <c r="E230" s="74"/>
      <c r="F230" s="74"/>
      <c r="G230" s="74"/>
      <c r="H230" s="74"/>
      <c r="I230" s="74"/>
      <c r="J230" s="74"/>
      <c r="K230" s="74"/>
      <c r="L230" s="57"/>
    </row>
    <row r="231" spans="2:12" ht="13.95" hidden="1" customHeight="1" x14ac:dyDescent="0.3">
      <c r="B231" s="12" t="s">
        <v>68</v>
      </c>
      <c r="C231" s="12" t="s">
        <v>119</v>
      </c>
      <c r="D231" s="74"/>
      <c r="E231" s="74"/>
      <c r="F231" s="74"/>
      <c r="G231" s="74"/>
      <c r="H231" s="74"/>
      <c r="I231" s="74"/>
      <c r="J231" s="74"/>
      <c r="K231" s="74"/>
      <c r="L231" s="57"/>
    </row>
    <row r="232" spans="2:12" ht="13.95" hidden="1" customHeight="1" x14ac:dyDescent="0.3">
      <c r="B232" s="12" t="s">
        <v>69</v>
      </c>
      <c r="C232" s="12" t="s">
        <v>119</v>
      </c>
      <c r="D232" s="74"/>
      <c r="E232" s="74"/>
      <c r="F232" s="74"/>
      <c r="G232" s="74"/>
      <c r="H232" s="74"/>
      <c r="I232" s="74"/>
      <c r="J232" s="74"/>
      <c r="K232" s="74"/>
      <c r="L232" s="57"/>
    </row>
    <row r="233" spans="2:12" ht="13.95" hidden="1" customHeight="1" x14ac:dyDescent="0.3">
      <c r="B233" s="12" t="s">
        <v>70</v>
      </c>
      <c r="C233" s="12" t="s">
        <v>119</v>
      </c>
      <c r="D233" s="74"/>
      <c r="E233" s="74"/>
      <c r="F233" s="74"/>
      <c r="G233" s="74"/>
      <c r="H233" s="74"/>
      <c r="I233" s="74"/>
      <c r="J233" s="74"/>
      <c r="K233" s="74"/>
      <c r="L233" s="57"/>
    </row>
    <row r="234" spans="2:12" ht="13.95" hidden="1" customHeight="1" x14ac:dyDescent="0.3">
      <c r="B234" s="12" t="s">
        <v>71</v>
      </c>
      <c r="C234" s="12" t="s">
        <v>119</v>
      </c>
      <c r="D234" s="74"/>
      <c r="E234" s="74"/>
      <c r="F234" s="74"/>
      <c r="G234" s="74"/>
      <c r="H234" s="74"/>
      <c r="I234" s="74"/>
      <c r="J234" s="74"/>
      <c r="K234" s="74"/>
      <c r="L234" s="57"/>
    </row>
    <row r="235" spans="2:12" ht="13.95" hidden="1" customHeight="1" x14ac:dyDescent="0.3">
      <c r="B235" s="12" t="s">
        <v>72</v>
      </c>
      <c r="C235" s="12" t="s">
        <v>119</v>
      </c>
      <c r="D235" s="74"/>
      <c r="E235" s="74"/>
      <c r="F235" s="74"/>
      <c r="G235" s="74"/>
      <c r="H235" s="74"/>
      <c r="I235" s="74"/>
      <c r="J235" s="74"/>
      <c r="K235" s="74"/>
      <c r="L235" s="57"/>
    </row>
    <row r="236" spans="2:12" ht="13.95" hidden="1" customHeight="1" x14ac:dyDescent="0.3">
      <c r="B236" s="12" t="s">
        <v>73</v>
      </c>
      <c r="C236" s="12" t="s">
        <v>119</v>
      </c>
      <c r="D236" s="74"/>
      <c r="E236" s="74"/>
      <c r="F236" s="74"/>
      <c r="G236" s="74"/>
      <c r="H236" s="74"/>
      <c r="I236" s="74"/>
      <c r="J236" s="74"/>
      <c r="K236" s="74"/>
      <c r="L236" s="57"/>
    </row>
    <row r="237" spans="2:12" ht="13.95" hidden="1" customHeight="1" x14ac:dyDescent="0.3">
      <c r="B237" s="12" t="s">
        <v>74</v>
      </c>
      <c r="C237" s="12" t="s">
        <v>119</v>
      </c>
      <c r="D237" s="74"/>
      <c r="E237" s="74"/>
      <c r="F237" s="74"/>
      <c r="G237" s="74"/>
      <c r="H237" s="74"/>
      <c r="I237" s="74"/>
      <c r="J237" s="74"/>
      <c r="K237" s="74"/>
      <c r="L237" s="57"/>
    </row>
    <row r="238" spans="2:12" ht="13.95" hidden="1" customHeight="1" x14ac:dyDescent="0.3">
      <c r="B238" s="12" t="s">
        <v>75</v>
      </c>
      <c r="C238" s="12" t="s">
        <v>119</v>
      </c>
      <c r="D238" s="74"/>
      <c r="E238" s="74"/>
      <c r="F238" s="74"/>
      <c r="G238" s="74"/>
      <c r="H238" s="74"/>
      <c r="I238" s="74"/>
      <c r="J238" s="74"/>
      <c r="K238" s="74"/>
      <c r="L238" s="57"/>
    </row>
    <row r="239" spans="2:12" ht="13.95" hidden="1" customHeight="1" x14ac:dyDescent="0.3">
      <c r="B239" s="12" t="s">
        <v>76</v>
      </c>
      <c r="C239" s="12" t="s">
        <v>119</v>
      </c>
      <c r="D239" s="74"/>
      <c r="E239" s="74"/>
      <c r="F239" s="74"/>
      <c r="G239" s="74"/>
      <c r="H239" s="74"/>
      <c r="I239" s="74"/>
      <c r="J239" s="74"/>
      <c r="K239" s="74"/>
      <c r="L239" s="57"/>
    </row>
    <row r="240" spans="2:12" ht="13.95" hidden="1" customHeight="1" x14ac:dyDescent="0.3">
      <c r="B240" s="12" t="s">
        <v>77</v>
      </c>
      <c r="C240" s="12" t="s">
        <v>119</v>
      </c>
      <c r="D240" s="74"/>
      <c r="E240" s="74"/>
      <c r="F240" s="74"/>
      <c r="G240" s="74"/>
      <c r="H240" s="74"/>
      <c r="I240" s="74"/>
      <c r="J240" s="74"/>
      <c r="K240" s="74"/>
      <c r="L240" s="57"/>
    </row>
    <row r="241" spans="2:12" ht="13.95" hidden="1" customHeight="1" x14ac:dyDescent="0.3">
      <c r="B241" s="12" t="s">
        <v>78</v>
      </c>
      <c r="C241" s="12" t="s">
        <v>119</v>
      </c>
      <c r="D241" s="74"/>
      <c r="E241" s="74"/>
      <c r="F241" s="74"/>
      <c r="G241" s="74"/>
      <c r="H241" s="74"/>
      <c r="I241" s="74"/>
      <c r="J241" s="74"/>
      <c r="K241" s="74"/>
      <c r="L241" s="57"/>
    </row>
    <row r="242" spans="2:12" ht="13.95" hidden="1" customHeight="1" x14ac:dyDescent="0.3">
      <c r="B242" s="12" t="s">
        <v>79</v>
      </c>
      <c r="C242" s="12" t="s">
        <v>119</v>
      </c>
      <c r="D242" s="74"/>
      <c r="E242" s="74"/>
      <c r="F242" s="74"/>
      <c r="G242" s="74"/>
      <c r="H242" s="74"/>
      <c r="I242" s="74"/>
      <c r="J242" s="74"/>
      <c r="K242" s="74"/>
      <c r="L242" s="57"/>
    </row>
    <row r="243" spans="2:12" ht="13.95" hidden="1" customHeight="1" x14ac:dyDescent="0.3">
      <c r="B243" s="12" t="s">
        <v>80</v>
      </c>
      <c r="C243" s="12" t="s">
        <v>119</v>
      </c>
      <c r="D243" s="74"/>
      <c r="E243" s="74"/>
      <c r="F243" s="74"/>
      <c r="G243" s="74"/>
      <c r="H243" s="74"/>
      <c r="I243" s="74"/>
      <c r="J243" s="74"/>
      <c r="K243" s="74"/>
      <c r="L243" s="57"/>
    </row>
    <row r="244" spans="2:12" ht="13.95" hidden="1" customHeight="1" x14ac:dyDescent="0.3">
      <c r="B244" s="12" t="s">
        <v>81</v>
      </c>
      <c r="C244" s="12" t="s">
        <v>119</v>
      </c>
      <c r="D244" s="74"/>
      <c r="E244" s="74"/>
      <c r="F244" s="74"/>
      <c r="G244" s="74"/>
      <c r="H244" s="74"/>
      <c r="I244" s="74"/>
      <c r="J244" s="74"/>
      <c r="K244" s="74"/>
      <c r="L244" s="57"/>
    </row>
    <row r="245" spans="2:12" ht="13.95" hidden="1" customHeight="1" x14ac:dyDescent="0.3">
      <c r="B245" s="12" t="s">
        <v>82</v>
      </c>
      <c r="C245" s="12" t="s">
        <v>119</v>
      </c>
      <c r="D245" s="74"/>
      <c r="E245" s="74"/>
      <c r="F245" s="74"/>
      <c r="G245" s="74"/>
      <c r="H245" s="74"/>
      <c r="I245" s="74"/>
      <c r="J245" s="74"/>
      <c r="K245" s="74"/>
      <c r="L245" s="57"/>
    </row>
    <row r="246" spans="2:12" ht="13.95" hidden="1" customHeight="1" x14ac:dyDescent="0.3">
      <c r="B246" s="12" t="s">
        <v>83</v>
      </c>
      <c r="C246" s="12" t="s">
        <v>119</v>
      </c>
      <c r="D246" s="74"/>
      <c r="E246" s="74"/>
      <c r="F246" s="74"/>
      <c r="G246" s="74"/>
      <c r="H246" s="74"/>
      <c r="I246" s="74"/>
      <c r="J246" s="74"/>
      <c r="K246" s="74"/>
      <c r="L246" s="57"/>
    </row>
    <row r="247" spans="2:12" ht="13.95" hidden="1" customHeight="1" x14ac:dyDescent="0.3">
      <c r="B247" s="12" t="s">
        <v>84</v>
      </c>
      <c r="C247" s="12" t="s">
        <v>119</v>
      </c>
      <c r="D247" s="74"/>
      <c r="E247" s="74"/>
      <c r="F247" s="74"/>
      <c r="G247" s="74"/>
      <c r="H247" s="74"/>
      <c r="I247" s="74"/>
      <c r="J247" s="74"/>
      <c r="K247" s="74"/>
      <c r="L247" s="57"/>
    </row>
    <row r="248" spans="2:12" ht="13.95" hidden="1" customHeight="1" x14ac:dyDescent="0.3">
      <c r="B248" s="12" t="s">
        <v>85</v>
      </c>
      <c r="C248" s="12" t="s">
        <v>119</v>
      </c>
      <c r="D248" s="74"/>
      <c r="E248" s="74"/>
      <c r="F248" s="74"/>
      <c r="G248" s="74"/>
      <c r="H248" s="74"/>
      <c r="I248" s="74"/>
      <c r="J248" s="74"/>
      <c r="K248" s="74"/>
      <c r="L248" s="57"/>
    </row>
    <row r="249" spans="2:12" ht="13.95" hidden="1" customHeight="1" x14ac:dyDescent="0.3">
      <c r="B249" s="12" t="s">
        <v>86</v>
      </c>
      <c r="C249" s="12" t="s">
        <v>119</v>
      </c>
      <c r="D249" s="74"/>
      <c r="E249" s="74"/>
      <c r="F249" s="74"/>
      <c r="G249" s="74"/>
      <c r="H249" s="74"/>
      <c r="I249" s="74"/>
      <c r="J249" s="74"/>
      <c r="K249" s="74"/>
      <c r="L249" s="57"/>
    </row>
    <row r="250" spans="2:12" ht="13.95" hidden="1" customHeight="1" x14ac:dyDescent="0.3">
      <c r="B250" s="12" t="s">
        <v>87</v>
      </c>
      <c r="C250" s="12" t="s">
        <v>119</v>
      </c>
      <c r="D250" s="74"/>
      <c r="E250" s="74"/>
      <c r="F250" s="74"/>
      <c r="G250" s="74"/>
      <c r="H250" s="74"/>
      <c r="I250" s="74"/>
      <c r="J250" s="74"/>
      <c r="K250" s="74"/>
      <c r="L250" s="57"/>
    </row>
    <row r="251" spans="2:12" ht="13.95" hidden="1" customHeight="1" x14ac:dyDescent="0.3">
      <c r="B251" s="12" t="s">
        <v>88</v>
      </c>
      <c r="C251" s="12" t="s">
        <v>119</v>
      </c>
      <c r="D251" s="74"/>
      <c r="E251" s="74"/>
      <c r="F251" s="74"/>
      <c r="G251" s="74"/>
      <c r="H251" s="74"/>
      <c r="I251" s="74"/>
      <c r="J251" s="74"/>
      <c r="K251" s="74"/>
      <c r="L251" s="57"/>
    </row>
    <row r="252" spans="2:12" ht="13.95" hidden="1" customHeight="1" x14ac:dyDescent="0.3">
      <c r="B252" s="12" t="s">
        <v>89</v>
      </c>
      <c r="C252" s="12" t="s">
        <v>119</v>
      </c>
      <c r="D252" s="74"/>
      <c r="E252" s="74"/>
      <c r="F252" s="74"/>
      <c r="G252" s="74"/>
      <c r="H252" s="74"/>
      <c r="I252" s="74"/>
      <c r="J252" s="74"/>
      <c r="K252" s="74"/>
      <c r="L252" s="57"/>
    </row>
    <row r="253" spans="2:12" ht="13.95" hidden="1" customHeight="1" x14ac:dyDescent="0.3">
      <c r="B253" s="12" t="s">
        <v>90</v>
      </c>
      <c r="C253" s="12" t="s">
        <v>119</v>
      </c>
      <c r="D253" s="74"/>
      <c r="E253" s="74"/>
      <c r="F253" s="74"/>
      <c r="G253" s="74"/>
      <c r="H253" s="74"/>
      <c r="I253" s="74"/>
      <c r="J253" s="74"/>
      <c r="K253" s="74"/>
      <c r="L253" s="57"/>
    </row>
    <row r="254" spans="2:12" ht="13.95" hidden="1" customHeight="1" x14ac:dyDescent="0.3">
      <c r="B254" s="12" t="s">
        <v>91</v>
      </c>
      <c r="C254" s="12" t="s">
        <v>119</v>
      </c>
      <c r="D254" s="74"/>
      <c r="E254" s="74"/>
      <c r="F254" s="74"/>
      <c r="G254" s="74"/>
      <c r="H254" s="74"/>
      <c r="I254" s="74"/>
      <c r="J254" s="74"/>
      <c r="K254" s="74"/>
      <c r="L254" s="57"/>
    </row>
    <row r="255" spans="2:12" ht="13.95" hidden="1" customHeight="1" x14ac:dyDescent="0.3">
      <c r="B255" s="12" t="s">
        <v>92</v>
      </c>
      <c r="C255" s="12" t="s">
        <v>119</v>
      </c>
      <c r="D255" s="74"/>
      <c r="E255" s="74"/>
      <c r="F255" s="74"/>
      <c r="G255" s="74"/>
      <c r="H255" s="74"/>
      <c r="I255" s="74"/>
      <c r="J255" s="74"/>
      <c r="K255" s="74"/>
      <c r="L255" s="57"/>
    </row>
    <row r="256" spans="2:12" ht="13.95" hidden="1" customHeight="1" x14ac:dyDescent="0.3">
      <c r="B256" s="12" t="s">
        <v>93</v>
      </c>
      <c r="C256" s="12" t="s">
        <v>119</v>
      </c>
      <c r="D256" s="74"/>
      <c r="E256" s="74"/>
      <c r="F256" s="74"/>
      <c r="G256" s="74"/>
      <c r="H256" s="74"/>
      <c r="I256" s="74"/>
      <c r="J256" s="74"/>
      <c r="K256" s="74"/>
      <c r="L256" s="57"/>
    </row>
    <row r="257" spans="2:12" ht="13.95" hidden="1" customHeight="1" x14ac:dyDescent="0.3">
      <c r="B257" s="12" t="s">
        <v>94</v>
      </c>
      <c r="C257" s="12" t="s">
        <v>119</v>
      </c>
      <c r="D257" s="74"/>
      <c r="E257" s="74"/>
      <c r="F257" s="74"/>
      <c r="G257" s="74"/>
      <c r="H257" s="74"/>
      <c r="I257" s="74"/>
      <c r="J257" s="74"/>
      <c r="K257" s="74"/>
      <c r="L257" s="57"/>
    </row>
    <row r="258" spans="2:12" ht="13.95" hidden="1" customHeight="1" x14ac:dyDescent="0.3">
      <c r="B258" s="12" t="s">
        <v>95</v>
      </c>
      <c r="C258" s="12" t="s">
        <v>119</v>
      </c>
      <c r="D258" s="74"/>
      <c r="E258" s="74"/>
      <c r="F258" s="74"/>
      <c r="G258" s="74"/>
      <c r="H258" s="74"/>
      <c r="I258" s="74"/>
      <c r="J258" s="74"/>
      <c r="K258" s="74"/>
      <c r="L258" s="57"/>
    </row>
    <row r="259" spans="2:12" ht="13.95" hidden="1" customHeight="1" x14ac:dyDescent="0.3">
      <c r="B259" s="12" t="s">
        <v>96</v>
      </c>
      <c r="C259" s="12" t="s">
        <v>119</v>
      </c>
      <c r="D259" s="74"/>
      <c r="E259" s="74"/>
      <c r="F259" s="74"/>
      <c r="G259" s="74"/>
      <c r="H259" s="74"/>
      <c r="I259" s="74"/>
      <c r="J259" s="74"/>
      <c r="K259" s="74"/>
      <c r="L259" s="57"/>
    </row>
    <row r="260" spans="2:12" ht="13.95" hidden="1" customHeight="1" x14ac:dyDescent="0.3">
      <c r="B260" s="12" t="s">
        <v>97</v>
      </c>
      <c r="C260" s="12" t="s">
        <v>119</v>
      </c>
      <c r="D260" s="74"/>
      <c r="E260" s="74"/>
      <c r="F260" s="74"/>
      <c r="G260" s="74"/>
      <c r="H260" s="74"/>
      <c r="I260" s="74"/>
      <c r="J260" s="74"/>
      <c r="K260" s="74"/>
      <c r="L260" s="57"/>
    </row>
    <row r="261" spans="2:12" ht="13.95" hidden="1" customHeight="1" x14ac:dyDescent="0.3">
      <c r="B261" s="12" t="s">
        <v>98</v>
      </c>
      <c r="C261" s="12" t="s">
        <v>119</v>
      </c>
      <c r="D261" s="74"/>
      <c r="E261" s="74"/>
      <c r="F261" s="74"/>
      <c r="G261" s="74"/>
      <c r="H261" s="74"/>
      <c r="I261" s="74"/>
      <c r="J261" s="74"/>
      <c r="K261" s="74"/>
      <c r="L261" s="57"/>
    </row>
    <row r="262" spans="2:12" ht="13.95" hidden="1" customHeight="1" x14ac:dyDescent="0.3">
      <c r="B262" s="12" t="s">
        <v>99</v>
      </c>
      <c r="C262" s="12" t="s">
        <v>119</v>
      </c>
      <c r="D262" s="74"/>
      <c r="E262" s="74"/>
      <c r="F262" s="74"/>
      <c r="G262" s="74"/>
      <c r="H262" s="74"/>
      <c r="I262" s="74"/>
      <c r="J262" s="74"/>
      <c r="K262" s="74"/>
      <c r="L262" s="57"/>
    </row>
    <row r="263" spans="2:12" ht="13.95" hidden="1" customHeight="1" x14ac:dyDescent="0.3">
      <c r="B263" s="12" t="s">
        <v>100</v>
      </c>
      <c r="C263" s="12" t="s">
        <v>119</v>
      </c>
      <c r="D263" s="74"/>
      <c r="E263" s="74"/>
      <c r="F263" s="74"/>
      <c r="G263" s="74"/>
      <c r="H263" s="74"/>
      <c r="I263" s="74"/>
      <c r="J263" s="74"/>
      <c r="K263" s="74"/>
      <c r="L263" s="57"/>
    </row>
    <row r="264" spans="2:12" ht="13.95" hidden="1" customHeight="1" x14ac:dyDescent="0.3">
      <c r="B264" s="12" t="s">
        <v>101</v>
      </c>
      <c r="C264" s="12" t="s">
        <v>119</v>
      </c>
      <c r="D264" s="74"/>
      <c r="E264" s="74"/>
      <c r="F264" s="74"/>
      <c r="G264" s="74"/>
      <c r="H264" s="74"/>
      <c r="I264" s="74"/>
      <c r="J264" s="74"/>
      <c r="K264" s="74"/>
      <c r="L264" s="57"/>
    </row>
    <row r="265" spans="2:12" ht="13.95" hidden="1" customHeight="1" x14ac:dyDescent="0.3">
      <c r="B265" s="12" t="s">
        <v>102</v>
      </c>
      <c r="C265" s="12" t="s">
        <v>119</v>
      </c>
      <c r="D265" s="74"/>
      <c r="E265" s="74"/>
      <c r="F265" s="74"/>
      <c r="G265" s="74"/>
      <c r="H265" s="74"/>
      <c r="I265" s="74"/>
      <c r="J265" s="74"/>
      <c r="K265" s="74"/>
      <c r="L265" s="57"/>
    </row>
    <row r="266" spans="2:12" ht="13.95" hidden="1" customHeight="1" x14ac:dyDescent="0.3">
      <c r="B266" s="12" t="s">
        <v>103</v>
      </c>
      <c r="C266" s="12" t="s">
        <v>119</v>
      </c>
      <c r="D266" s="74"/>
      <c r="E266" s="74"/>
      <c r="F266" s="74"/>
      <c r="G266" s="74"/>
      <c r="H266" s="74"/>
      <c r="I266" s="74"/>
      <c r="J266" s="74"/>
      <c r="K266" s="74"/>
      <c r="L266" s="57"/>
    </row>
    <row r="267" spans="2:12" ht="13.95" hidden="1" customHeight="1" x14ac:dyDescent="0.3">
      <c r="B267" s="12" t="s">
        <v>104</v>
      </c>
      <c r="C267" s="12" t="s">
        <v>119</v>
      </c>
      <c r="D267" s="74"/>
      <c r="E267" s="74"/>
      <c r="F267" s="74"/>
      <c r="G267" s="74"/>
      <c r="H267" s="74"/>
      <c r="I267" s="74"/>
      <c r="J267" s="74"/>
      <c r="K267" s="74"/>
      <c r="L267" s="57"/>
    </row>
    <row r="268" spans="2:12" ht="13.95" hidden="1" customHeight="1" x14ac:dyDescent="0.3">
      <c r="B268" s="12" t="s">
        <v>105</v>
      </c>
      <c r="C268" s="12" t="s">
        <v>119</v>
      </c>
      <c r="D268" s="74"/>
      <c r="E268" s="74"/>
      <c r="F268" s="74"/>
      <c r="G268" s="74"/>
      <c r="H268" s="74"/>
      <c r="I268" s="74"/>
      <c r="J268" s="74"/>
      <c r="K268" s="74"/>
      <c r="L268" s="57"/>
    </row>
    <row r="269" spans="2:12" ht="13.95" hidden="1" customHeight="1" x14ac:dyDescent="0.3">
      <c r="B269" s="12" t="s">
        <v>106</v>
      </c>
      <c r="C269" s="12" t="s">
        <v>119</v>
      </c>
      <c r="D269" s="74"/>
      <c r="E269" s="74"/>
      <c r="F269" s="74"/>
      <c r="G269" s="74"/>
      <c r="H269" s="74"/>
      <c r="I269" s="74"/>
      <c r="J269" s="74"/>
      <c r="K269" s="74"/>
      <c r="L269" s="57"/>
    </row>
    <row r="270" spans="2:12" ht="13.95" hidden="1" customHeight="1" x14ac:dyDescent="0.3">
      <c r="B270" s="12" t="s">
        <v>107</v>
      </c>
      <c r="C270" s="12" t="s">
        <v>119</v>
      </c>
      <c r="D270" s="74"/>
      <c r="E270" s="74"/>
      <c r="F270" s="74"/>
      <c r="G270" s="74"/>
      <c r="H270" s="74"/>
      <c r="I270" s="74"/>
      <c r="J270" s="74"/>
      <c r="K270" s="74"/>
      <c r="L270" s="57"/>
    </row>
    <row r="271" spans="2:12" ht="13.95" hidden="1" customHeight="1" x14ac:dyDescent="0.3">
      <c r="B271" s="12" t="s">
        <v>108</v>
      </c>
      <c r="C271" s="12" t="s">
        <v>119</v>
      </c>
      <c r="D271" s="74"/>
      <c r="E271" s="74"/>
      <c r="F271" s="74"/>
      <c r="G271" s="74"/>
      <c r="H271" s="74"/>
      <c r="I271" s="74"/>
      <c r="J271" s="74"/>
      <c r="K271" s="74"/>
      <c r="L271" s="57"/>
    </row>
    <row r="272" spans="2:12" ht="13.95" hidden="1" customHeight="1" x14ac:dyDescent="0.3">
      <c r="B272" s="12" t="s">
        <v>109</v>
      </c>
      <c r="C272" s="12" t="s">
        <v>119</v>
      </c>
      <c r="D272" s="74"/>
      <c r="E272" s="74"/>
      <c r="F272" s="74"/>
      <c r="G272" s="74"/>
      <c r="H272" s="74"/>
      <c r="I272" s="74"/>
      <c r="J272" s="74"/>
      <c r="K272" s="74"/>
      <c r="L272" s="57"/>
    </row>
    <row r="273" spans="2:12" ht="13.95" hidden="1" customHeight="1" x14ac:dyDescent="0.3">
      <c r="B273" s="12" t="s">
        <v>110</v>
      </c>
      <c r="C273" s="12" t="s">
        <v>119</v>
      </c>
      <c r="D273" s="74"/>
      <c r="E273" s="74"/>
      <c r="F273" s="74"/>
      <c r="G273" s="74"/>
      <c r="H273" s="74"/>
      <c r="I273" s="74"/>
      <c r="J273" s="74"/>
      <c r="K273" s="74"/>
      <c r="L273" s="57"/>
    </row>
    <row r="274" spans="2:12" ht="13.95" hidden="1" customHeight="1" x14ac:dyDescent="0.3">
      <c r="B274" s="12" t="s">
        <v>111</v>
      </c>
      <c r="C274" s="12" t="s">
        <v>119</v>
      </c>
      <c r="D274" s="74"/>
      <c r="E274" s="74"/>
      <c r="F274" s="74"/>
      <c r="G274" s="74"/>
      <c r="H274" s="74"/>
      <c r="I274" s="74"/>
      <c r="J274" s="74"/>
      <c r="K274" s="74"/>
      <c r="L274" s="57"/>
    </row>
    <row r="275" spans="2:12" ht="13.95" hidden="1" customHeight="1" x14ac:dyDescent="0.3">
      <c r="B275" s="12" t="s">
        <v>112</v>
      </c>
      <c r="C275" s="12" t="s">
        <v>119</v>
      </c>
      <c r="D275" s="74"/>
      <c r="E275" s="74"/>
      <c r="F275" s="74"/>
      <c r="G275" s="74"/>
      <c r="H275" s="74"/>
      <c r="I275" s="74"/>
      <c r="J275" s="74"/>
      <c r="K275" s="74"/>
      <c r="L275" s="57"/>
    </row>
    <row r="276" spans="2:12" ht="13.95" hidden="1" customHeight="1" x14ac:dyDescent="0.3">
      <c r="B276" s="12" t="s">
        <v>113</v>
      </c>
      <c r="C276" s="12" t="s">
        <v>119</v>
      </c>
      <c r="D276" s="74"/>
      <c r="E276" s="74"/>
      <c r="F276" s="74"/>
      <c r="G276" s="74"/>
      <c r="H276" s="74"/>
      <c r="I276" s="74"/>
      <c r="J276" s="74"/>
      <c r="K276" s="74"/>
      <c r="L276" s="57"/>
    </row>
    <row r="277" spans="2:12" ht="13.95" hidden="1" customHeight="1" x14ac:dyDescent="0.3">
      <c r="B277" s="12" t="s">
        <v>114</v>
      </c>
      <c r="C277" s="12" t="s">
        <v>119</v>
      </c>
      <c r="D277" s="74"/>
      <c r="E277" s="74"/>
      <c r="F277" s="74"/>
      <c r="G277" s="74"/>
      <c r="H277" s="74"/>
      <c r="I277" s="74"/>
      <c r="J277" s="74"/>
      <c r="K277" s="74"/>
      <c r="L277" s="57"/>
    </row>
    <row r="278" spans="2:12" ht="13.95" hidden="1" customHeight="1" x14ac:dyDescent="0.3">
      <c r="B278" s="12" t="s">
        <v>115</v>
      </c>
      <c r="C278" s="12" t="s">
        <v>119</v>
      </c>
      <c r="D278" s="74"/>
      <c r="E278" s="74"/>
      <c r="F278" s="74"/>
      <c r="G278" s="74"/>
      <c r="H278" s="74"/>
      <c r="I278" s="74"/>
      <c r="J278" s="74"/>
      <c r="K278" s="74"/>
      <c r="L278" s="57"/>
    </row>
    <row r="279" spans="2:12" ht="13.95" hidden="1" customHeight="1" x14ac:dyDescent="0.3">
      <c r="B279" s="12" t="s">
        <v>62</v>
      </c>
      <c r="C279" s="12" t="s">
        <v>120</v>
      </c>
      <c r="D279" s="74"/>
      <c r="E279" s="74"/>
      <c r="F279" s="74"/>
      <c r="G279" s="74"/>
      <c r="H279" s="74"/>
      <c r="I279" s="74"/>
      <c r="J279" s="74"/>
      <c r="K279" s="74"/>
      <c r="L279" s="57"/>
    </row>
    <row r="280" spans="2:12" ht="13.95" hidden="1" customHeight="1" x14ac:dyDescent="0.3">
      <c r="B280" s="12" t="s">
        <v>64</v>
      </c>
      <c r="C280" s="12" t="s">
        <v>120</v>
      </c>
      <c r="D280" s="74"/>
      <c r="E280" s="74"/>
      <c r="F280" s="74"/>
      <c r="G280" s="74"/>
      <c r="H280" s="74"/>
      <c r="I280" s="74"/>
      <c r="J280" s="74"/>
      <c r="K280" s="74"/>
      <c r="L280" s="57"/>
    </row>
    <row r="281" spans="2:12" ht="13.95" hidden="1" customHeight="1" x14ac:dyDescent="0.3">
      <c r="B281" s="12" t="s">
        <v>65</v>
      </c>
      <c r="C281" s="12" t="s">
        <v>120</v>
      </c>
      <c r="D281" s="74"/>
      <c r="E281" s="74"/>
      <c r="F281" s="74"/>
      <c r="G281" s="74"/>
      <c r="H281" s="74"/>
      <c r="I281" s="74"/>
      <c r="J281" s="74"/>
      <c r="K281" s="74"/>
      <c r="L281" s="57"/>
    </row>
    <row r="282" spans="2:12" ht="13.95" hidden="1" customHeight="1" x14ac:dyDescent="0.3">
      <c r="B282" s="12" t="s">
        <v>66</v>
      </c>
      <c r="C282" s="12" t="s">
        <v>120</v>
      </c>
      <c r="D282" s="74"/>
      <c r="E282" s="74"/>
      <c r="F282" s="74"/>
      <c r="G282" s="74"/>
      <c r="H282" s="74"/>
      <c r="I282" s="74"/>
      <c r="J282" s="74"/>
      <c r="K282" s="74"/>
      <c r="L282" s="57"/>
    </row>
    <row r="283" spans="2:12" ht="13.95" hidden="1" customHeight="1" x14ac:dyDescent="0.3">
      <c r="B283" s="12" t="s">
        <v>67</v>
      </c>
      <c r="C283" s="12" t="s">
        <v>120</v>
      </c>
      <c r="D283" s="74"/>
      <c r="E283" s="74"/>
      <c r="F283" s="74"/>
      <c r="G283" s="74"/>
      <c r="H283" s="74"/>
      <c r="I283" s="74"/>
      <c r="J283" s="74"/>
      <c r="K283" s="74"/>
      <c r="L283" s="57"/>
    </row>
    <row r="284" spans="2:12" ht="13.95" hidden="1" customHeight="1" x14ac:dyDescent="0.3">
      <c r="B284" s="12" t="s">
        <v>68</v>
      </c>
      <c r="C284" s="12" t="s">
        <v>120</v>
      </c>
      <c r="D284" s="74"/>
      <c r="E284" s="74"/>
      <c r="F284" s="74"/>
      <c r="G284" s="74"/>
      <c r="H284" s="74"/>
      <c r="I284" s="74"/>
      <c r="J284" s="74"/>
      <c r="K284" s="74"/>
      <c r="L284" s="57"/>
    </row>
    <row r="285" spans="2:12" ht="13.95" hidden="1" customHeight="1" x14ac:dyDescent="0.3">
      <c r="B285" s="12" t="s">
        <v>69</v>
      </c>
      <c r="C285" s="12" t="s">
        <v>120</v>
      </c>
      <c r="D285" s="74"/>
      <c r="E285" s="74"/>
      <c r="F285" s="74"/>
      <c r="G285" s="74"/>
      <c r="H285" s="74"/>
      <c r="I285" s="74"/>
      <c r="J285" s="74"/>
      <c r="K285" s="74"/>
      <c r="L285" s="57"/>
    </row>
    <row r="286" spans="2:12" ht="13.95" hidden="1" customHeight="1" x14ac:dyDescent="0.3">
      <c r="B286" s="12" t="s">
        <v>70</v>
      </c>
      <c r="C286" s="12" t="s">
        <v>120</v>
      </c>
      <c r="D286" s="74"/>
      <c r="E286" s="74"/>
      <c r="F286" s="74"/>
      <c r="G286" s="74"/>
      <c r="H286" s="74"/>
      <c r="I286" s="74"/>
      <c r="J286" s="74"/>
      <c r="K286" s="74"/>
      <c r="L286" s="57"/>
    </row>
    <row r="287" spans="2:12" ht="13.95" hidden="1" customHeight="1" x14ac:dyDescent="0.3">
      <c r="B287" s="12" t="s">
        <v>71</v>
      </c>
      <c r="C287" s="12" t="s">
        <v>120</v>
      </c>
      <c r="D287" s="74"/>
      <c r="E287" s="74"/>
      <c r="F287" s="74"/>
      <c r="G287" s="74"/>
      <c r="H287" s="74"/>
      <c r="I287" s="74"/>
      <c r="J287" s="74"/>
      <c r="K287" s="74"/>
      <c r="L287" s="57"/>
    </row>
    <row r="288" spans="2:12" ht="13.95" hidden="1" customHeight="1" x14ac:dyDescent="0.3">
      <c r="B288" s="12" t="s">
        <v>72</v>
      </c>
      <c r="C288" s="12" t="s">
        <v>120</v>
      </c>
      <c r="D288" s="74"/>
      <c r="E288" s="74"/>
      <c r="F288" s="74"/>
      <c r="G288" s="74"/>
      <c r="H288" s="74"/>
      <c r="I288" s="74"/>
      <c r="J288" s="74"/>
      <c r="K288" s="74"/>
      <c r="L288" s="57"/>
    </row>
    <row r="289" spans="2:12" ht="13.95" hidden="1" customHeight="1" x14ac:dyDescent="0.3">
      <c r="B289" s="12" t="s">
        <v>73</v>
      </c>
      <c r="C289" s="12" t="s">
        <v>120</v>
      </c>
      <c r="D289" s="74"/>
      <c r="E289" s="74"/>
      <c r="F289" s="74"/>
      <c r="G289" s="74"/>
      <c r="H289" s="74"/>
      <c r="I289" s="74"/>
      <c r="J289" s="74"/>
      <c r="K289" s="74"/>
      <c r="L289" s="57"/>
    </row>
    <row r="290" spans="2:12" ht="13.95" hidden="1" customHeight="1" x14ac:dyDescent="0.3">
      <c r="B290" s="12" t="s">
        <v>74</v>
      </c>
      <c r="C290" s="12" t="s">
        <v>120</v>
      </c>
      <c r="D290" s="74"/>
      <c r="E290" s="74"/>
      <c r="F290" s="74"/>
      <c r="G290" s="74"/>
      <c r="H290" s="74"/>
      <c r="I290" s="74"/>
      <c r="J290" s="74"/>
      <c r="K290" s="74"/>
      <c r="L290" s="57"/>
    </row>
    <row r="291" spans="2:12" ht="13.95" hidden="1" customHeight="1" x14ac:dyDescent="0.3">
      <c r="B291" s="12" t="s">
        <v>75</v>
      </c>
      <c r="C291" s="12" t="s">
        <v>120</v>
      </c>
      <c r="D291" s="74"/>
      <c r="E291" s="74"/>
      <c r="F291" s="74"/>
      <c r="G291" s="74"/>
      <c r="H291" s="74"/>
      <c r="I291" s="74"/>
      <c r="J291" s="74"/>
      <c r="K291" s="74"/>
      <c r="L291" s="57"/>
    </row>
    <row r="292" spans="2:12" ht="13.95" hidden="1" customHeight="1" x14ac:dyDescent="0.3">
      <c r="B292" s="12" t="s">
        <v>76</v>
      </c>
      <c r="C292" s="12" t="s">
        <v>120</v>
      </c>
      <c r="D292" s="74"/>
      <c r="E292" s="74"/>
      <c r="F292" s="74"/>
      <c r="G292" s="74"/>
      <c r="H292" s="74"/>
      <c r="I292" s="74"/>
      <c r="J292" s="74"/>
      <c r="K292" s="74"/>
      <c r="L292" s="57"/>
    </row>
    <row r="293" spans="2:12" ht="13.95" hidden="1" customHeight="1" x14ac:dyDescent="0.3">
      <c r="B293" s="12" t="s">
        <v>77</v>
      </c>
      <c r="C293" s="12" t="s">
        <v>120</v>
      </c>
      <c r="D293" s="74"/>
      <c r="E293" s="74"/>
      <c r="F293" s="74"/>
      <c r="G293" s="74"/>
      <c r="H293" s="74"/>
      <c r="I293" s="74"/>
      <c r="J293" s="74"/>
      <c r="K293" s="74"/>
      <c r="L293" s="57"/>
    </row>
    <row r="294" spans="2:12" ht="13.95" hidden="1" customHeight="1" x14ac:dyDescent="0.3">
      <c r="B294" s="12" t="s">
        <v>78</v>
      </c>
      <c r="C294" s="12" t="s">
        <v>120</v>
      </c>
      <c r="D294" s="74"/>
      <c r="E294" s="74"/>
      <c r="F294" s="74"/>
      <c r="G294" s="74"/>
      <c r="H294" s="74"/>
      <c r="I294" s="74"/>
      <c r="J294" s="74"/>
      <c r="K294" s="74"/>
      <c r="L294" s="57"/>
    </row>
    <row r="295" spans="2:12" ht="13.95" hidden="1" customHeight="1" x14ac:dyDescent="0.3">
      <c r="B295" s="12" t="s">
        <v>79</v>
      </c>
      <c r="C295" s="12" t="s">
        <v>120</v>
      </c>
      <c r="D295" s="74"/>
      <c r="E295" s="74"/>
      <c r="F295" s="74"/>
      <c r="G295" s="74"/>
      <c r="H295" s="74"/>
      <c r="I295" s="74"/>
      <c r="J295" s="74"/>
      <c r="K295" s="74"/>
      <c r="L295" s="57"/>
    </row>
    <row r="296" spans="2:12" ht="13.95" hidden="1" customHeight="1" x14ac:dyDescent="0.3">
      <c r="B296" s="12" t="s">
        <v>80</v>
      </c>
      <c r="C296" s="12" t="s">
        <v>120</v>
      </c>
      <c r="D296" s="74"/>
      <c r="E296" s="74"/>
      <c r="F296" s="74"/>
      <c r="G296" s="74"/>
      <c r="H296" s="74"/>
      <c r="I296" s="74"/>
      <c r="J296" s="74"/>
      <c r="K296" s="74"/>
      <c r="L296" s="57"/>
    </row>
    <row r="297" spans="2:12" ht="13.95" hidden="1" customHeight="1" x14ac:dyDescent="0.3">
      <c r="B297" s="12" t="s">
        <v>81</v>
      </c>
      <c r="C297" s="12" t="s">
        <v>120</v>
      </c>
      <c r="D297" s="74"/>
      <c r="E297" s="74"/>
      <c r="F297" s="74"/>
      <c r="G297" s="74"/>
      <c r="H297" s="74"/>
      <c r="I297" s="74"/>
      <c r="J297" s="74"/>
      <c r="K297" s="74"/>
      <c r="L297" s="57"/>
    </row>
    <row r="298" spans="2:12" ht="13.95" hidden="1" customHeight="1" x14ac:dyDescent="0.3">
      <c r="B298" s="12" t="s">
        <v>82</v>
      </c>
      <c r="C298" s="12" t="s">
        <v>120</v>
      </c>
      <c r="D298" s="74"/>
      <c r="E298" s="74"/>
      <c r="F298" s="74"/>
      <c r="G298" s="74"/>
      <c r="H298" s="74"/>
      <c r="I298" s="74"/>
      <c r="J298" s="74"/>
      <c r="K298" s="74"/>
      <c r="L298" s="57"/>
    </row>
    <row r="299" spans="2:12" ht="13.95" hidden="1" customHeight="1" x14ac:dyDescent="0.3">
      <c r="B299" s="12" t="s">
        <v>83</v>
      </c>
      <c r="C299" s="12" t="s">
        <v>120</v>
      </c>
      <c r="D299" s="74"/>
      <c r="E299" s="74"/>
      <c r="F299" s="74"/>
      <c r="G299" s="74"/>
      <c r="H299" s="74"/>
      <c r="I299" s="74"/>
      <c r="J299" s="74"/>
      <c r="K299" s="74"/>
      <c r="L299" s="57"/>
    </row>
    <row r="300" spans="2:12" ht="13.95" hidden="1" customHeight="1" x14ac:dyDescent="0.3">
      <c r="B300" s="12" t="s">
        <v>84</v>
      </c>
      <c r="C300" s="12" t="s">
        <v>120</v>
      </c>
      <c r="D300" s="74"/>
      <c r="E300" s="74"/>
      <c r="F300" s="74"/>
      <c r="G300" s="74"/>
      <c r="H300" s="74"/>
      <c r="I300" s="74"/>
      <c r="J300" s="74"/>
      <c r="K300" s="74"/>
      <c r="L300" s="57"/>
    </row>
    <row r="301" spans="2:12" ht="13.95" hidden="1" customHeight="1" x14ac:dyDescent="0.3">
      <c r="B301" s="12" t="s">
        <v>85</v>
      </c>
      <c r="C301" s="12" t="s">
        <v>120</v>
      </c>
      <c r="D301" s="74"/>
      <c r="E301" s="74"/>
      <c r="F301" s="74"/>
      <c r="G301" s="74"/>
      <c r="H301" s="74"/>
      <c r="I301" s="74"/>
      <c r="J301" s="74"/>
      <c r="K301" s="74"/>
      <c r="L301" s="57"/>
    </row>
    <row r="302" spans="2:12" ht="13.95" hidden="1" customHeight="1" x14ac:dyDescent="0.3">
      <c r="B302" s="12" t="s">
        <v>86</v>
      </c>
      <c r="C302" s="12" t="s">
        <v>120</v>
      </c>
      <c r="D302" s="74"/>
      <c r="E302" s="74"/>
      <c r="F302" s="74"/>
      <c r="G302" s="74"/>
      <c r="H302" s="74"/>
      <c r="I302" s="74"/>
      <c r="J302" s="74"/>
      <c r="K302" s="74"/>
      <c r="L302" s="57"/>
    </row>
    <row r="303" spans="2:12" ht="13.95" hidden="1" customHeight="1" x14ac:dyDescent="0.3">
      <c r="B303" s="12" t="s">
        <v>87</v>
      </c>
      <c r="C303" s="12" t="s">
        <v>120</v>
      </c>
      <c r="D303" s="74"/>
      <c r="E303" s="74"/>
      <c r="F303" s="74"/>
      <c r="G303" s="74"/>
      <c r="H303" s="74"/>
      <c r="I303" s="74"/>
      <c r="J303" s="74"/>
      <c r="K303" s="74"/>
      <c r="L303" s="57"/>
    </row>
    <row r="304" spans="2:12" ht="13.95" hidden="1" customHeight="1" x14ac:dyDescent="0.3">
      <c r="B304" s="12" t="s">
        <v>88</v>
      </c>
      <c r="C304" s="12" t="s">
        <v>120</v>
      </c>
      <c r="D304" s="74"/>
      <c r="E304" s="74"/>
      <c r="F304" s="74"/>
      <c r="G304" s="74"/>
      <c r="H304" s="74"/>
      <c r="I304" s="74"/>
      <c r="J304" s="74"/>
      <c r="K304" s="74"/>
      <c r="L304" s="57"/>
    </row>
    <row r="305" spans="2:12" ht="13.95" hidden="1" customHeight="1" x14ac:dyDescent="0.3">
      <c r="B305" s="12" t="s">
        <v>89</v>
      </c>
      <c r="C305" s="12" t="s">
        <v>120</v>
      </c>
      <c r="D305" s="74"/>
      <c r="E305" s="74"/>
      <c r="F305" s="74"/>
      <c r="G305" s="74"/>
      <c r="H305" s="74"/>
      <c r="I305" s="74"/>
      <c r="J305" s="74"/>
      <c r="K305" s="74"/>
      <c r="L305" s="57"/>
    </row>
    <row r="306" spans="2:12" ht="13.95" hidden="1" customHeight="1" x14ac:dyDescent="0.3">
      <c r="B306" s="12" t="s">
        <v>90</v>
      </c>
      <c r="C306" s="12" t="s">
        <v>120</v>
      </c>
      <c r="D306" s="74"/>
      <c r="E306" s="74"/>
      <c r="F306" s="74"/>
      <c r="G306" s="74"/>
      <c r="H306" s="74"/>
      <c r="I306" s="74"/>
      <c r="J306" s="74"/>
      <c r="K306" s="74"/>
      <c r="L306" s="57"/>
    </row>
    <row r="307" spans="2:12" ht="13.95" hidden="1" customHeight="1" x14ac:dyDescent="0.3">
      <c r="B307" s="12" t="s">
        <v>91</v>
      </c>
      <c r="C307" s="12" t="s">
        <v>120</v>
      </c>
      <c r="D307" s="74"/>
      <c r="E307" s="74"/>
      <c r="F307" s="74"/>
      <c r="G307" s="74"/>
      <c r="H307" s="74"/>
      <c r="I307" s="74"/>
      <c r="J307" s="74"/>
      <c r="K307" s="74"/>
      <c r="L307" s="57"/>
    </row>
    <row r="308" spans="2:12" ht="13.95" hidden="1" customHeight="1" x14ac:dyDescent="0.3">
      <c r="B308" s="12" t="s">
        <v>92</v>
      </c>
      <c r="C308" s="12" t="s">
        <v>120</v>
      </c>
      <c r="D308" s="74"/>
      <c r="E308" s="74"/>
      <c r="F308" s="74"/>
      <c r="G308" s="74"/>
      <c r="H308" s="74"/>
      <c r="I308" s="74"/>
      <c r="J308" s="74"/>
      <c r="K308" s="74"/>
      <c r="L308" s="57"/>
    </row>
    <row r="309" spans="2:12" ht="13.95" hidden="1" customHeight="1" x14ac:dyDescent="0.3">
      <c r="B309" s="12" t="s">
        <v>93</v>
      </c>
      <c r="C309" s="12" t="s">
        <v>120</v>
      </c>
      <c r="D309" s="74"/>
      <c r="E309" s="74"/>
      <c r="F309" s="74"/>
      <c r="G309" s="74"/>
      <c r="H309" s="74"/>
      <c r="I309" s="74"/>
      <c r="J309" s="74"/>
      <c r="K309" s="74"/>
      <c r="L309" s="57"/>
    </row>
    <row r="310" spans="2:12" ht="13.95" hidden="1" customHeight="1" x14ac:dyDescent="0.3">
      <c r="B310" s="12" t="s">
        <v>94</v>
      </c>
      <c r="C310" s="12" t="s">
        <v>120</v>
      </c>
      <c r="D310" s="74"/>
      <c r="E310" s="74"/>
      <c r="F310" s="74"/>
      <c r="G310" s="74"/>
      <c r="H310" s="74"/>
      <c r="I310" s="74"/>
      <c r="J310" s="74"/>
      <c r="K310" s="74"/>
      <c r="L310" s="57"/>
    </row>
    <row r="311" spans="2:12" ht="13.95" hidden="1" customHeight="1" x14ac:dyDescent="0.3">
      <c r="B311" s="12" t="s">
        <v>95</v>
      </c>
      <c r="C311" s="12" t="s">
        <v>120</v>
      </c>
      <c r="D311" s="74"/>
      <c r="E311" s="74"/>
      <c r="F311" s="74"/>
      <c r="G311" s="74"/>
      <c r="H311" s="74"/>
      <c r="I311" s="74"/>
      <c r="J311" s="74"/>
      <c r="K311" s="74"/>
      <c r="L311" s="57"/>
    </row>
    <row r="312" spans="2:12" ht="13.95" hidden="1" customHeight="1" x14ac:dyDescent="0.3">
      <c r="B312" s="12" t="s">
        <v>96</v>
      </c>
      <c r="C312" s="12" t="s">
        <v>120</v>
      </c>
      <c r="D312" s="74"/>
      <c r="E312" s="74"/>
      <c r="F312" s="74"/>
      <c r="G312" s="74"/>
      <c r="H312" s="74"/>
      <c r="I312" s="74"/>
      <c r="J312" s="74"/>
      <c r="K312" s="74"/>
      <c r="L312" s="57"/>
    </row>
    <row r="313" spans="2:12" ht="13.95" hidden="1" customHeight="1" x14ac:dyDescent="0.3">
      <c r="B313" s="12" t="s">
        <v>97</v>
      </c>
      <c r="C313" s="12" t="s">
        <v>120</v>
      </c>
      <c r="D313" s="74"/>
      <c r="E313" s="74"/>
      <c r="F313" s="74"/>
      <c r="G313" s="74"/>
      <c r="H313" s="74"/>
      <c r="I313" s="74"/>
      <c r="J313" s="74"/>
      <c r="K313" s="74"/>
      <c r="L313" s="57"/>
    </row>
    <row r="314" spans="2:12" ht="13.95" hidden="1" customHeight="1" x14ac:dyDescent="0.3">
      <c r="B314" s="12" t="s">
        <v>98</v>
      </c>
      <c r="C314" s="12" t="s">
        <v>120</v>
      </c>
      <c r="D314" s="74"/>
      <c r="E314" s="74"/>
      <c r="F314" s="74"/>
      <c r="G314" s="74"/>
      <c r="H314" s="74"/>
      <c r="I314" s="74"/>
      <c r="J314" s="74"/>
      <c r="K314" s="74"/>
      <c r="L314" s="57"/>
    </row>
    <row r="315" spans="2:12" ht="13.95" hidden="1" customHeight="1" x14ac:dyDescent="0.3">
      <c r="B315" s="12" t="s">
        <v>99</v>
      </c>
      <c r="C315" s="12" t="s">
        <v>120</v>
      </c>
      <c r="D315" s="74"/>
      <c r="E315" s="74"/>
      <c r="F315" s="74"/>
      <c r="G315" s="74"/>
      <c r="H315" s="74"/>
      <c r="I315" s="74"/>
      <c r="J315" s="74"/>
      <c r="K315" s="74"/>
      <c r="L315" s="57"/>
    </row>
    <row r="316" spans="2:12" ht="13.95" hidden="1" customHeight="1" x14ac:dyDescent="0.3">
      <c r="B316" s="12" t="s">
        <v>100</v>
      </c>
      <c r="C316" s="12" t="s">
        <v>120</v>
      </c>
      <c r="D316" s="74"/>
      <c r="E316" s="74"/>
      <c r="F316" s="74"/>
      <c r="G316" s="74"/>
      <c r="H316" s="74"/>
      <c r="I316" s="74"/>
      <c r="J316" s="74"/>
      <c r="K316" s="74"/>
      <c r="L316" s="57"/>
    </row>
    <row r="317" spans="2:12" ht="13.95" hidden="1" customHeight="1" x14ac:dyDescent="0.3">
      <c r="B317" s="12" t="s">
        <v>101</v>
      </c>
      <c r="C317" s="12" t="s">
        <v>120</v>
      </c>
      <c r="D317" s="74"/>
      <c r="E317" s="74"/>
      <c r="F317" s="74"/>
      <c r="G317" s="74"/>
      <c r="H317" s="74"/>
      <c r="I317" s="74"/>
      <c r="J317" s="74"/>
      <c r="K317" s="74"/>
      <c r="L317" s="57"/>
    </row>
    <row r="318" spans="2:12" ht="13.95" hidden="1" customHeight="1" x14ac:dyDescent="0.3">
      <c r="B318" s="12" t="s">
        <v>102</v>
      </c>
      <c r="C318" s="12" t="s">
        <v>120</v>
      </c>
      <c r="D318" s="74"/>
      <c r="E318" s="74"/>
      <c r="F318" s="74"/>
      <c r="G318" s="74"/>
      <c r="H318" s="74"/>
      <c r="I318" s="74"/>
      <c r="J318" s="74"/>
      <c r="K318" s="74"/>
      <c r="L318" s="57"/>
    </row>
    <row r="319" spans="2:12" ht="13.95" hidden="1" customHeight="1" x14ac:dyDescent="0.3">
      <c r="B319" s="12" t="s">
        <v>103</v>
      </c>
      <c r="C319" s="12" t="s">
        <v>120</v>
      </c>
      <c r="D319" s="74"/>
      <c r="E319" s="74"/>
      <c r="F319" s="74"/>
      <c r="G319" s="74"/>
      <c r="H319" s="74"/>
      <c r="I319" s="74"/>
      <c r="J319" s="74"/>
      <c r="K319" s="74"/>
      <c r="L319" s="57"/>
    </row>
    <row r="320" spans="2:12" ht="13.95" hidden="1" customHeight="1" x14ac:dyDescent="0.3">
      <c r="B320" s="12" t="s">
        <v>104</v>
      </c>
      <c r="C320" s="12" t="s">
        <v>120</v>
      </c>
      <c r="D320" s="74"/>
      <c r="E320" s="74"/>
      <c r="F320" s="74"/>
      <c r="G320" s="74"/>
      <c r="H320" s="74"/>
      <c r="I320" s="74"/>
      <c r="J320" s="74"/>
      <c r="K320" s="74"/>
      <c r="L320" s="57"/>
    </row>
    <row r="321" spans="2:12" ht="13.95" hidden="1" customHeight="1" x14ac:dyDescent="0.3">
      <c r="B321" s="12" t="s">
        <v>105</v>
      </c>
      <c r="C321" s="12" t="s">
        <v>120</v>
      </c>
      <c r="D321" s="74"/>
      <c r="E321" s="74"/>
      <c r="F321" s="74"/>
      <c r="G321" s="74"/>
      <c r="H321" s="74"/>
      <c r="I321" s="74"/>
      <c r="J321" s="74"/>
      <c r="K321" s="74"/>
      <c r="L321" s="57"/>
    </row>
    <row r="322" spans="2:12" ht="13.95" hidden="1" customHeight="1" x14ac:dyDescent="0.3">
      <c r="B322" s="12" t="s">
        <v>106</v>
      </c>
      <c r="C322" s="12" t="s">
        <v>120</v>
      </c>
      <c r="D322" s="74"/>
      <c r="E322" s="74"/>
      <c r="F322" s="74"/>
      <c r="G322" s="74"/>
      <c r="H322" s="74"/>
      <c r="I322" s="74"/>
      <c r="J322" s="74"/>
      <c r="K322" s="74"/>
      <c r="L322" s="57"/>
    </row>
    <row r="323" spans="2:12" ht="13.95" hidden="1" customHeight="1" x14ac:dyDescent="0.3">
      <c r="B323" s="12" t="s">
        <v>107</v>
      </c>
      <c r="C323" s="12" t="s">
        <v>120</v>
      </c>
      <c r="D323" s="74"/>
      <c r="E323" s="74"/>
      <c r="F323" s="74"/>
      <c r="G323" s="74"/>
      <c r="H323" s="74"/>
      <c r="I323" s="74"/>
      <c r="J323" s="74"/>
      <c r="K323" s="74"/>
      <c r="L323" s="57"/>
    </row>
    <row r="324" spans="2:12" ht="13.95" hidden="1" customHeight="1" x14ac:dyDescent="0.3">
      <c r="B324" s="12" t="s">
        <v>108</v>
      </c>
      <c r="C324" s="12" t="s">
        <v>120</v>
      </c>
      <c r="D324" s="74"/>
      <c r="E324" s="74"/>
      <c r="F324" s="74"/>
      <c r="G324" s="74"/>
      <c r="H324" s="74"/>
      <c r="I324" s="74"/>
      <c r="J324" s="74"/>
      <c r="K324" s="74"/>
      <c r="L324" s="57"/>
    </row>
    <row r="325" spans="2:12" ht="13.95" hidden="1" customHeight="1" x14ac:dyDescent="0.3">
      <c r="B325" s="12" t="s">
        <v>109</v>
      </c>
      <c r="C325" s="12" t="s">
        <v>120</v>
      </c>
      <c r="D325" s="74"/>
      <c r="E325" s="74"/>
      <c r="F325" s="74"/>
      <c r="G325" s="74"/>
      <c r="H325" s="74"/>
      <c r="I325" s="74"/>
      <c r="J325" s="74"/>
      <c r="K325" s="74"/>
      <c r="L325" s="57"/>
    </row>
    <row r="326" spans="2:12" ht="13.95" hidden="1" customHeight="1" x14ac:dyDescent="0.3">
      <c r="B326" s="12" t="s">
        <v>110</v>
      </c>
      <c r="C326" s="12" t="s">
        <v>120</v>
      </c>
      <c r="D326" s="74"/>
      <c r="E326" s="74"/>
      <c r="F326" s="74"/>
      <c r="G326" s="74"/>
      <c r="H326" s="74"/>
      <c r="I326" s="74"/>
      <c r="J326" s="74"/>
      <c r="K326" s="74"/>
      <c r="L326" s="57"/>
    </row>
    <row r="327" spans="2:12" ht="13.95" hidden="1" customHeight="1" x14ac:dyDescent="0.3">
      <c r="B327" s="12" t="s">
        <v>111</v>
      </c>
      <c r="C327" s="12" t="s">
        <v>120</v>
      </c>
      <c r="D327" s="74"/>
      <c r="E327" s="74"/>
      <c r="F327" s="74"/>
      <c r="G327" s="74"/>
      <c r="H327" s="74"/>
      <c r="I327" s="74"/>
      <c r="J327" s="74"/>
      <c r="K327" s="74"/>
      <c r="L327" s="57"/>
    </row>
    <row r="328" spans="2:12" ht="13.95" hidden="1" customHeight="1" x14ac:dyDescent="0.3">
      <c r="B328" s="12" t="s">
        <v>112</v>
      </c>
      <c r="C328" s="12" t="s">
        <v>120</v>
      </c>
      <c r="D328" s="74"/>
      <c r="E328" s="74"/>
      <c r="F328" s="74"/>
      <c r="G328" s="74"/>
      <c r="H328" s="74"/>
      <c r="I328" s="74"/>
      <c r="J328" s="74"/>
      <c r="K328" s="74"/>
      <c r="L328" s="57"/>
    </row>
    <row r="329" spans="2:12" ht="13.95" hidden="1" customHeight="1" x14ac:dyDescent="0.3">
      <c r="B329" s="12" t="s">
        <v>113</v>
      </c>
      <c r="C329" s="12" t="s">
        <v>120</v>
      </c>
      <c r="D329" s="74"/>
      <c r="E329" s="74"/>
      <c r="F329" s="74"/>
      <c r="G329" s="74"/>
      <c r="H329" s="74"/>
      <c r="I329" s="74"/>
      <c r="J329" s="74"/>
      <c r="K329" s="74"/>
      <c r="L329" s="57"/>
    </row>
    <row r="330" spans="2:12" ht="13.95" hidden="1" customHeight="1" x14ac:dyDescent="0.3">
      <c r="B330" s="12" t="s">
        <v>114</v>
      </c>
      <c r="C330" s="12" t="s">
        <v>120</v>
      </c>
      <c r="D330" s="74"/>
      <c r="E330" s="74"/>
      <c r="F330" s="74"/>
      <c r="G330" s="74"/>
      <c r="H330" s="74"/>
      <c r="I330" s="74"/>
      <c r="J330" s="74"/>
      <c r="K330" s="74"/>
      <c r="L330" s="57"/>
    </row>
    <row r="331" spans="2:12" ht="13.95" hidden="1" customHeight="1" x14ac:dyDescent="0.3">
      <c r="B331" s="12" t="s">
        <v>115</v>
      </c>
      <c r="C331" s="12" t="s">
        <v>120</v>
      </c>
      <c r="D331" s="74"/>
      <c r="E331" s="74"/>
      <c r="F331" s="74"/>
      <c r="G331" s="74"/>
      <c r="H331" s="74"/>
      <c r="I331" s="74"/>
      <c r="J331" s="74"/>
      <c r="K331" s="74"/>
      <c r="L331" s="57"/>
    </row>
    <row r="332" spans="2:12" ht="13.95" hidden="1" customHeight="1" x14ac:dyDescent="0.3">
      <c r="B332" s="12" t="s">
        <v>62</v>
      </c>
      <c r="C332" s="12" t="s">
        <v>121</v>
      </c>
      <c r="D332" s="74">
        <v>2</v>
      </c>
      <c r="E332" s="74">
        <v>3</v>
      </c>
      <c r="F332" s="74">
        <v>4</v>
      </c>
      <c r="G332" s="74">
        <v>1</v>
      </c>
      <c r="H332" s="74">
        <v>2</v>
      </c>
      <c r="I332" s="74">
        <v>3</v>
      </c>
      <c r="J332" s="74">
        <v>4</v>
      </c>
      <c r="K332" s="74">
        <v>1</v>
      </c>
      <c r="L332" s="57"/>
    </row>
    <row r="333" spans="2:12" ht="13.95" hidden="1" customHeight="1" x14ac:dyDescent="0.3">
      <c r="B333" s="12" t="s">
        <v>64</v>
      </c>
      <c r="C333" s="12" t="s">
        <v>121</v>
      </c>
      <c r="D333" s="74"/>
      <c r="E333" s="74"/>
      <c r="F333" s="74"/>
      <c r="G333" s="74"/>
      <c r="H333" s="74"/>
      <c r="I333" s="74"/>
      <c r="J333" s="74"/>
      <c r="K333" s="74"/>
      <c r="L333" s="57"/>
    </row>
    <row r="334" spans="2:12" ht="13.95" hidden="1" customHeight="1" x14ac:dyDescent="0.3">
      <c r="B334" s="12" t="s">
        <v>65</v>
      </c>
      <c r="C334" s="12" t="s">
        <v>121</v>
      </c>
      <c r="D334" s="74"/>
      <c r="E334" s="74"/>
      <c r="F334" s="74"/>
      <c r="G334" s="74"/>
      <c r="H334" s="74"/>
      <c r="I334" s="74"/>
      <c r="J334" s="74"/>
      <c r="K334" s="74"/>
      <c r="L334" s="57"/>
    </row>
    <row r="335" spans="2:12" ht="13.95" hidden="1" customHeight="1" x14ac:dyDescent="0.3">
      <c r="B335" s="12" t="s">
        <v>66</v>
      </c>
      <c r="C335" s="12" t="s">
        <v>121</v>
      </c>
      <c r="D335" s="74"/>
      <c r="E335" s="74"/>
      <c r="F335" s="74"/>
      <c r="G335" s="74"/>
      <c r="H335" s="74"/>
      <c r="I335" s="74"/>
      <c r="J335" s="74"/>
      <c r="K335" s="74"/>
      <c r="L335" s="57"/>
    </row>
    <row r="336" spans="2:12" ht="13.95" hidden="1" customHeight="1" x14ac:dyDescent="0.3">
      <c r="B336" s="12" t="s">
        <v>67</v>
      </c>
      <c r="C336" s="12" t="s">
        <v>121</v>
      </c>
      <c r="D336" s="74"/>
      <c r="E336" s="74"/>
      <c r="F336" s="74"/>
      <c r="G336" s="74"/>
      <c r="H336" s="74"/>
      <c r="I336" s="74"/>
      <c r="J336" s="74"/>
      <c r="K336" s="74"/>
      <c r="L336" s="57"/>
    </row>
    <row r="337" spans="2:12" ht="13.95" hidden="1" customHeight="1" x14ac:dyDescent="0.3">
      <c r="B337" s="12" t="s">
        <v>68</v>
      </c>
      <c r="C337" s="12" t="s">
        <v>121</v>
      </c>
      <c r="D337" s="74"/>
      <c r="E337" s="74"/>
      <c r="F337" s="74"/>
      <c r="G337" s="74"/>
      <c r="H337" s="74"/>
      <c r="I337" s="74"/>
      <c r="J337" s="74"/>
      <c r="K337" s="74"/>
      <c r="L337" s="57"/>
    </row>
    <row r="338" spans="2:12" ht="13.95" hidden="1" customHeight="1" x14ac:dyDescent="0.3">
      <c r="B338" s="12" t="s">
        <v>69</v>
      </c>
      <c r="C338" s="12" t="s">
        <v>121</v>
      </c>
      <c r="D338" s="74"/>
      <c r="E338" s="74"/>
      <c r="F338" s="74"/>
      <c r="G338" s="74"/>
      <c r="H338" s="74"/>
      <c r="I338" s="74"/>
      <c r="J338" s="74"/>
      <c r="K338" s="74"/>
      <c r="L338" s="57"/>
    </row>
    <row r="339" spans="2:12" ht="13.95" hidden="1" customHeight="1" x14ac:dyDescent="0.3">
      <c r="B339" s="12" t="s">
        <v>70</v>
      </c>
      <c r="C339" s="12" t="s">
        <v>121</v>
      </c>
      <c r="D339" s="74"/>
      <c r="E339" s="74"/>
      <c r="F339" s="74"/>
      <c r="G339" s="74"/>
      <c r="H339" s="74"/>
      <c r="I339" s="74"/>
      <c r="J339" s="74"/>
      <c r="K339" s="74"/>
      <c r="L339" s="57"/>
    </row>
    <row r="340" spans="2:12" ht="13.95" hidden="1" customHeight="1" x14ac:dyDescent="0.3">
      <c r="B340" s="12" t="s">
        <v>71</v>
      </c>
      <c r="C340" s="12" t="s">
        <v>121</v>
      </c>
      <c r="D340" s="74"/>
      <c r="E340" s="74"/>
      <c r="F340" s="74"/>
      <c r="G340" s="74"/>
      <c r="H340" s="74"/>
      <c r="I340" s="74"/>
      <c r="J340" s="74"/>
      <c r="K340" s="74"/>
      <c r="L340" s="57"/>
    </row>
    <row r="341" spans="2:12" ht="13.95" hidden="1" customHeight="1" x14ac:dyDescent="0.3">
      <c r="B341" s="12" t="s">
        <v>72</v>
      </c>
      <c r="C341" s="12" t="s">
        <v>121</v>
      </c>
      <c r="D341" s="74"/>
      <c r="E341" s="74"/>
      <c r="F341" s="74"/>
      <c r="G341" s="74"/>
      <c r="H341" s="74"/>
      <c r="I341" s="74"/>
      <c r="J341" s="74"/>
      <c r="K341" s="74"/>
      <c r="L341" s="57"/>
    </row>
    <row r="342" spans="2:12" ht="13.95" hidden="1" customHeight="1" x14ac:dyDescent="0.3">
      <c r="B342" s="12" t="s">
        <v>73</v>
      </c>
      <c r="C342" s="12" t="s">
        <v>121</v>
      </c>
      <c r="D342" s="74"/>
      <c r="E342" s="74"/>
      <c r="F342" s="74"/>
      <c r="G342" s="74"/>
      <c r="H342" s="74"/>
      <c r="I342" s="74"/>
      <c r="J342" s="74"/>
      <c r="K342" s="74"/>
      <c r="L342" s="57"/>
    </row>
    <row r="343" spans="2:12" ht="13.95" hidden="1" customHeight="1" x14ac:dyDescent="0.3">
      <c r="B343" s="12" t="s">
        <v>74</v>
      </c>
      <c r="C343" s="12" t="s">
        <v>121</v>
      </c>
      <c r="D343" s="74"/>
      <c r="E343" s="74"/>
      <c r="F343" s="74"/>
      <c r="G343" s="74"/>
      <c r="H343" s="74"/>
      <c r="I343" s="74"/>
      <c r="J343" s="74"/>
      <c r="K343" s="74"/>
      <c r="L343" s="57"/>
    </row>
    <row r="344" spans="2:12" ht="13.95" hidden="1" customHeight="1" x14ac:dyDescent="0.3">
      <c r="B344" s="12" t="s">
        <v>75</v>
      </c>
      <c r="C344" s="12" t="s">
        <v>121</v>
      </c>
      <c r="D344" s="74"/>
      <c r="E344" s="74"/>
      <c r="F344" s="74"/>
      <c r="G344" s="74"/>
      <c r="H344" s="74"/>
      <c r="I344" s="74"/>
      <c r="J344" s="74"/>
      <c r="K344" s="74"/>
      <c r="L344" s="57"/>
    </row>
    <row r="345" spans="2:12" ht="13.95" hidden="1" customHeight="1" x14ac:dyDescent="0.3">
      <c r="B345" s="12" t="s">
        <v>76</v>
      </c>
      <c r="C345" s="12" t="s">
        <v>121</v>
      </c>
      <c r="D345" s="74"/>
      <c r="E345" s="74"/>
      <c r="F345" s="74"/>
      <c r="G345" s="74"/>
      <c r="H345" s="74"/>
      <c r="I345" s="74"/>
      <c r="J345" s="74"/>
      <c r="K345" s="74"/>
      <c r="L345" s="57"/>
    </row>
    <row r="346" spans="2:12" ht="13.95" hidden="1" customHeight="1" x14ac:dyDescent="0.3">
      <c r="B346" s="12" t="s">
        <v>77</v>
      </c>
      <c r="C346" s="12" t="s">
        <v>121</v>
      </c>
      <c r="D346" s="74"/>
      <c r="E346" s="74"/>
      <c r="F346" s="74"/>
      <c r="G346" s="74"/>
      <c r="H346" s="74"/>
      <c r="I346" s="74"/>
      <c r="J346" s="74"/>
      <c r="K346" s="74"/>
      <c r="L346" s="57"/>
    </row>
    <row r="347" spans="2:12" ht="13.95" hidden="1" customHeight="1" x14ac:dyDescent="0.3">
      <c r="B347" s="12" t="s">
        <v>78</v>
      </c>
      <c r="C347" s="12" t="s">
        <v>121</v>
      </c>
      <c r="D347" s="74"/>
      <c r="E347" s="74"/>
      <c r="F347" s="74"/>
      <c r="G347" s="74"/>
      <c r="H347" s="74"/>
      <c r="I347" s="74"/>
      <c r="J347" s="74"/>
      <c r="K347" s="74"/>
      <c r="L347" s="57"/>
    </row>
    <row r="348" spans="2:12" ht="13.95" hidden="1" customHeight="1" x14ac:dyDescent="0.3">
      <c r="B348" s="12" t="s">
        <v>79</v>
      </c>
      <c r="C348" s="12" t="s">
        <v>121</v>
      </c>
      <c r="D348" s="74"/>
      <c r="E348" s="74"/>
      <c r="F348" s="74"/>
      <c r="G348" s="74"/>
      <c r="H348" s="74"/>
      <c r="I348" s="74"/>
      <c r="J348" s="74"/>
      <c r="K348" s="74"/>
      <c r="L348" s="57"/>
    </row>
    <row r="349" spans="2:12" ht="13.95" hidden="1" customHeight="1" x14ac:dyDescent="0.3">
      <c r="B349" s="12" t="s">
        <v>80</v>
      </c>
      <c r="C349" s="12" t="s">
        <v>121</v>
      </c>
      <c r="D349" s="74"/>
      <c r="E349" s="74"/>
      <c r="F349" s="74"/>
      <c r="G349" s="74"/>
      <c r="H349" s="74"/>
      <c r="I349" s="74"/>
      <c r="J349" s="74"/>
      <c r="K349" s="74"/>
      <c r="L349" s="57"/>
    </row>
    <row r="350" spans="2:12" ht="13.95" hidden="1" customHeight="1" x14ac:dyDescent="0.3">
      <c r="B350" s="12" t="s">
        <v>81</v>
      </c>
      <c r="C350" s="12" t="s">
        <v>121</v>
      </c>
      <c r="D350" s="74"/>
      <c r="E350" s="74"/>
      <c r="F350" s="74"/>
      <c r="G350" s="74"/>
      <c r="H350" s="74"/>
      <c r="I350" s="74"/>
      <c r="J350" s="74"/>
      <c r="K350" s="74"/>
      <c r="L350" s="57"/>
    </row>
    <row r="351" spans="2:12" ht="13.95" hidden="1" customHeight="1" x14ac:dyDescent="0.3">
      <c r="B351" s="12" t="s">
        <v>82</v>
      </c>
      <c r="C351" s="12" t="s">
        <v>121</v>
      </c>
      <c r="D351" s="74"/>
      <c r="E351" s="74"/>
      <c r="F351" s="74"/>
      <c r="G351" s="74"/>
      <c r="H351" s="74"/>
      <c r="I351" s="74"/>
      <c r="J351" s="74"/>
      <c r="K351" s="74"/>
      <c r="L351" s="57"/>
    </row>
    <row r="352" spans="2:12" ht="13.95" hidden="1" customHeight="1" x14ac:dyDescent="0.3">
      <c r="B352" s="12" t="s">
        <v>83</v>
      </c>
      <c r="C352" s="12" t="s">
        <v>121</v>
      </c>
      <c r="D352" s="74"/>
      <c r="E352" s="74"/>
      <c r="F352" s="74"/>
      <c r="G352" s="74"/>
      <c r="H352" s="74"/>
      <c r="I352" s="74"/>
      <c r="J352" s="74"/>
      <c r="K352" s="74"/>
      <c r="L352" s="57"/>
    </row>
    <row r="353" spans="2:12" ht="13.95" hidden="1" customHeight="1" x14ac:dyDescent="0.3">
      <c r="B353" s="12" t="s">
        <v>84</v>
      </c>
      <c r="C353" s="12" t="s">
        <v>121</v>
      </c>
      <c r="D353" s="74"/>
      <c r="E353" s="74"/>
      <c r="F353" s="74"/>
      <c r="G353" s="74"/>
      <c r="H353" s="74"/>
      <c r="I353" s="74"/>
      <c r="J353" s="74"/>
      <c r="K353" s="74"/>
      <c r="L353" s="57"/>
    </row>
    <row r="354" spans="2:12" ht="13.95" hidden="1" customHeight="1" x14ac:dyDescent="0.3">
      <c r="B354" s="12" t="s">
        <v>85</v>
      </c>
      <c r="C354" s="12" t="s">
        <v>121</v>
      </c>
      <c r="D354" s="74"/>
      <c r="E354" s="74"/>
      <c r="F354" s="74"/>
      <c r="G354" s="74"/>
      <c r="H354" s="74"/>
      <c r="I354" s="74"/>
      <c r="J354" s="74"/>
      <c r="K354" s="74"/>
      <c r="L354" s="57"/>
    </row>
    <row r="355" spans="2:12" ht="13.95" hidden="1" customHeight="1" x14ac:dyDescent="0.3">
      <c r="B355" s="12" t="s">
        <v>86</v>
      </c>
      <c r="C355" s="12" t="s">
        <v>121</v>
      </c>
      <c r="D355" s="74"/>
      <c r="E355" s="74"/>
      <c r="F355" s="74"/>
      <c r="G355" s="74"/>
      <c r="H355" s="74"/>
      <c r="I355" s="74"/>
      <c r="J355" s="74"/>
      <c r="K355" s="74"/>
      <c r="L355" s="57"/>
    </row>
    <row r="356" spans="2:12" ht="13.95" hidden="1" customHeight="1" x14ac:dyDescent="0.3">
      <c r="B356" s="12" t="s">
        <v>87</v>
      </c>
      <c r="C356" s="12" t="s">
        <v>121</v>
      </c>
      <c r="D356" s="74"/>
      <c r="E356" s="74"/>
      <c r="F356" s="74"/>
      <c r="G356" s="74"/>
      <c r="H356" s="74"/>
      <c r="I356" s="74"/>
      <c r="J356" s="74"/>
      <c r="K356" s="74"/>
      <c r="L356" s="57"/>
    </row>
    <row r="357" spans="2:12" ht="13.95" hidden="1" customHeight="1" x14ac:dyDescent="0.3">
      <c r="B357" s="12" t="s">
        <v>88</v>
      </c>
      <c r="C357" s="12" t="s">
        <v>121</v>
      </c>
      <c r="D357" s="74"/>
      <c r="E357" s="74"/>
      <c r="F357" s="74"/>
      <c r="G357" s="74"/>
      <c r="H357" s="74"/>
      <c r="I357" s="74"/>
      <c r="J357" s="74"/>
      <c r="K357" s="74"/>
      <c r="L357" s="57"/>
    </row>
    <row r="358" spans="2:12" ht="13.95" hidden="1" customHeight="1" x14ac:dyDescent="0.3">
      <c r="B358" s="12" t="s">
        <v>89</v>
      </c>
      <c r="C358" s="12" t="s">
        <v>121</v>
      </c>
      <c r="D358" s="74"/>
      <c r="E358" s="74"/>
      <c r="F358" s="74"/>
      <c r="G358" s="74"/>
      <c r="H358" s="74"/>
      <c r="I358" s="74"/>
      <c r="J358" s="74"/>
      <c r="K358" s="74"/>
      <c r="L358" s="57"/>
    </row>
    <row r="359" spans="2:12" ht="13.95" hidden="1" customHeight="1" x14ac:dyDescent="0.3">
      <c r="B359" s="12" t="s">
        <v>90</v>
      </c>
      <c r="C359" s="12" t="s">
        <v>121</v>
      </c>
      <c r="D359" s="74"/>
      <c r="E359" s="74"/>
      <c r="F359" s="74"/>
      <c r="G359" s="74"/>
      <c r="H359" s="74"/>
      <c r="I359" s="74"/>
      <c r="J359" s="74"/>
      <c r="K359" s="74"/>
      <c r="L359" s="57"/>
    </row>
    <row r="360" spans="2:12" ht="13.95" hidden="1" customHeight="1" x14ac:dyDescent="0.3">
      <c r="B360" s="12" t="s">
        <v>91</v>
      </c>
      <c r="C360" s="12" t="s">
        <v>121</v>
      </c>
      <c r="D360" s="74"/>
      <c r="E360" s="74"/>
      <c r="F360" s="74"/>
      <c r="G360" s="74"/>
      <c r="H360" s="74"/>
      <c r="I360" s="74"/>
      <c r="J360" s="74"/>
      <c r="K360" s="74"/>
      <c r="L360" s="57"/>
    </row>
    <row r="361" spans="2:12" ht="13.95" hidden="1" customHeight="1" x14ac:dyDescent="0.3">
      <c r="B361" s="12" t="s">
        <v>92</v>
      </c>
      <c r="C361" s="12" t="s">
        <v>121</v>
      </c>
      <c r="D361" s="74"/>
      <c r="E361" s="74"/>
      <c r="F361" s="74"/>
      <c r="G361" s="74"/>
      <c r="H361" s="74"/>
      <c r="I361" s="74"/>
      <c r="J361" s="74"/>
      <c r="K361" s="74"/>
      <c r="L361" s="57"/>
    </row>
    <row r="362" spans="2:12" ht="13.95" hidden="1" customHeight="1" x14ac:dyDescent="0.3">
      <c r="B362" s="12" t="s">
        <v>93</v>
      </c>
      <c r="C362" s="12" t="s">
        <v>121</v>
      </c>
      <c r="D362" s="74"/>
      <c r="E362" s="74"/>
      <c r="F362" s="74"/>
      <c r="G362" s="74"/>
      <c r="H362" s="74"/>
      <c r="I362" s="74"/>
      <c r="J362" s="74"/>
      <c r="K362" s="74"/>
      <c r="L362" s="57"/>
    </row>
    <row r="363" spans="2:12" ht="13.95" hidden="1" customHeight="1" x14ac:dyDescent="0.3">
      <c r="B363" s="12" t="s">
        <v>94</v>
      </c>
      <c r="C363" s="12" t="s">
        <v>121</v>
      </c>
      <c r="D363" s="74"/>
      <c r="E363" s="74"/>
      <c r="F363" s="74"/>
      <c r="G363" s="74"/>
      <c r="H363" s="74"/>
      <c r="I363" s="74"/>
      <c r="J363" s="74"/>
      <c r="K363" s="74"/>
      <c r="L363" s="57"/>
    </row>
    <row r="364" spans="2:12" ht="13.95" hidden="1" customHeight="1" x14ac:dyDescent="0.3">
      <c r="B364" s="12" t="s">
        <v>95</v>
      </c>
      <c r="C364" s="12" t="s">
        <v>121</v>
      </c>
      <c r="D364" s="74"/>
      <c r="E364" s="74"/>
      <c r="F364" s="74"/>
      <c r="G364" s="74"/>
      <c r="H364" s="74"/>
      <c r="I364" s="74"/>
      <c r="J364" s="74"/>
      <c r="K364" s="74"/>
      <c r="L364" s="57"/>
    </row>
    <row r="365" spans="2:12" ht="13.95" hidden="1" customHeight="1" x14ac:dyDescent="0.3">
      <c r="B365" s="12" t="s">
        <v>96</v>
      </c>
      <c r="C365" s="12" t="s">
        <v>121</v>
      </c>
      <c r="D365" s="74"/>
      <c r="E365" s="74"/>
      <c r="F365" s="74"/>
      <c r="G365" s="74"/>
      <c r="H365" s="74"/>
      <c r="I365" s="74"/>
      <c r="J365" s="74"/>
      <c r="K365" s="74"/>
      <c r="L365" s="57"/>
    </row>
    <row r="366" spans="2:12" ht="13.95" hidden="1" customHeight="1" x14ac:dyDescent="0.3">
      <c r="B366" s="12" t="s">
        <v>97</v>
      </c>
      <c r="C366" s="12" t="s">
        <v>121</v>
      </c>
      <c r="D366" s="74"/>
      <c r="E366" s="74"/>
      <c r="F366" s="74"/>
      <c r="G366" s="74"/>
      <c r="H366" s="74"/>
      <c r="I366" s="74"/>
      <c r="J366" s="74"/>
      <c r="K366" s="74"/>
      <c r="L366" s="57"/>
    </row>
    <row r="367" spans="2:12" ht="13.95" hidden="1" customHeight="1" x14ac:dyDescent="0.3">
      <c r="B367" s="12" t="s">
        <v>98</v>
      </c>
      <c r="C367" s="12" t="s">
        <v>121</v>
      </c>
      <c r="D367" s="74"/>
      <c r="E367" s="74"/>
      <c r="F367" s="74"/>
      <c r="G367" s="74"/>
      <c r="H367" s="74"/>
      <c r="I367" s="74"/>
      <c r="J367" s="74"/>
      <c r="K367" s="74"/>
      <c r="L367" s="57"/>
    </row>
    <row r="368" spans="2:12" ht="13.95" hidden="1" customHeight="1" x14ac:dyDescent="0.3">
      <c r="B368" s="12" t="s">
        <v>99</v>
      </c>
      <c r="C368" s="12" t="s">
        <v>121</v>
      </c>
      <c r="D368" s="74"/>
      <c r="E368" s="74"/>
      <c r="F368" s="74"/>
      <c r="G368" s="74"/>
      <c r="H368" s="74"/>
      <c r="I368" s="74"/>
      <c r="J368" s="74"/>
      <c r="K368" s="74"/>
      <c r="L368" s="57"/>
    </row>
    <row r="369" spans="2:12" ht="13.95" hidden="1" customHeight="1" x14ac:dyDescent="0.3">
      <c r="B369" s="12" t="s">
        <v>100</v>
      </c>
      <c r="C369" s="12" t="s">
        <v>121</v>
      </c>
      <c r="D369" s="74"/>
      <c r="E369" s="74"/>
      <c r="F369" s="74"/>
      <c r="G369" s="74"/>
      <c r="H369" s="74"/>
      <c r="I369" s="74"/>
      <c r="J369" s="74"/>
      <c r="K369" s="74"/>
      <c r="L369" s="57"/>
    </row>
    <row r="370" spans="2:12" ht="13.95" hidden="1" customHeight="1" x14ac:dyDescent="0.3">
      <c r="B370" s="12" t="s">
        <v>101</v>
      </c>
      <c r="C370" s="12" t="s">
        <v>121</v>
      </c>
      <c r="D370" s="74"/>
      <c r="E370" s="74"/>
      <c r="F370" s="74"/>
      <c r="G370" s="74"/>
      <c r="H370" s="74"/>
      <c r="I370" s="74"/>
      <c r="J370" s="74"/>
      <c r="K370" s="74"/>
      <c r="L370" s="57"/>
    </row>
    <row r="371" spans="2:12" ht="13.95" hidden="1" customHeight="1" x14ac:dyDescent="0.3">
      <c r="B371" s="12" t="s">
        <v>102</v>
      </c>
      <c r="C371" s="12" t="s">
        <v>121</v>
      </c>
      <c r="D371" s="74"/>
      <c r="E371" s="74"/>
      <c r="F371" s="74"/>
      <c r="G371" s="74"/>
      <c r="H371" s="74"/>
      <c r="I371" s="74"/>
      <c r="J371" s="74"/>
      <c r="K371" s="74"/>
      <c r="L371" s="57"/>
    </row>
    <row r="372" spans="2:12" ht="13.95" hidden="1" customHeight="1" x14ac:dyDescent="0.3">
      <c r="B372" s="12" t="s">
        <v>103</v>
      </c>
      <c r="C372" s="12" t="s">
        <v>121</v>
      </c>
      <c r="D372" s="74"/>
      <c r="E372" s="74"/>
      <c r="F372" s="74"/>
      <c r="G372" s="74"/>
      <c r="H372" s="74"/>
      <c r="I372" s="74"/>
      <c r="J372" s="74"/>
      <c r="K372" s="74"/>
      <c r="L372" s="57"/>
    </row>
    <row r="373" spans="2:12" ht="13.95" hidden="1" customHeight="1" x14ac:dyDescent="0.3">
      <c r="B373" s="12" t="s">
        <v>104</v>
      </c>
      <c r="C373" s="12" t="s">
        <v>121</v>
      </c>
      <c r="D373" s="74"/>
      <c r="E373" s="74"/>
      <c r="F373" s="74"/>
      <c r="G373" s="74"/>
      <c r="H373" s="74"/>
      <c r="I373" s="74"/>
      <c r="J373" s="74"/>
      <c r="K373" s="74"/>
      <c r="L373" s="57"/>
    </row>
    <row r="374" spans="2:12" ht="13.95" hidden="1" customHeight="1" x14ac:dyDescent="0.3">
      <c r="B374" s="12" t="s">
        <v>105</v>
      </c>
      <c r="C374" s="12" t="s">
        <v>121</v>
      </c>
      <c r="D374" s="74"/>
      <c r="E374" s="74"/>
      <c r="F374" s="74"/>
      <c r="G374" s="74"/>
      <c r="H374" s="74"/>
      <c r="I374" s="74"/>
      <c r="J374" s="74"/>
      <c r="K374" s="74"/>
      <c r="L374" s="57"/>
    </row>
    <row r="375" spans="2:12" ht="13.95" hidden="1" customHeight="1" x14ac:dyDescent="0.3">
      <c r="B375" s="12" t="s">
        <v>106</v>
      </c>
      <c r="C375" s="12" t="s">
        <v>121</v>
      </c>
      <c r="D375" s="74"/>
      <c r="E375" s="74"/>
      <c r="F375" s="74"/>
      <c r="G375" s="74"/>
      <c r="H375" s="74"/>
      <c r="I375" s="74"/>
      <c r="J375" s="74"/>
      <c r="K375" s="74"/>
      <c r="L375" s="57"/>
    </row>
    <row r="376" spans="2:12" ht="13.95" hidden="1" customHeight="1" x14ac:dyDescent="0.3">
      <c r="B376" s="12" t="s">
        <v>107</v>
      </c>
      <c r="C376" s="12" t="s">
        <v>121</v>
      </c>
      <c r="D376" s="74"/>
      <c r="E376" s="74"/>
      <c r="F376" s="74"/>
      <c r="G376" s="74"/>
      <c r="H376" s="74"/>
      <c r="I376" s="74"/>
      <c r="J376" s="74"/>
      <c r="K376" s="74"/>
      <c r="L376" s="57"/>
    </row>
    <row r="377" spans="2:12" ht="13.95" hidden="1" customHeight="1" x14ac:dyDescent="0.3">
      <c r="B377" s="12" t="s">
        <v>108</v>
      </c>
      <c r="C377" s="12" t="s">
        <v>121</v>
      </c>
      <c r="D377" s="74"/>
      <c r="E377" s="74"/>
      <c r="F377" s="74"/>
      <c r="G377" s="74"/>
      <c r="H377" s="74"/>
      <c r="I377" s="74"/>
      <c r="J377" s="74"/>
      <c r="K377" s="74"/>
      <c r="L377" s="57"/>
    </row>
    <row r="378" spans="2:12" ht="13.95" hidden="1" customHeight="1" x14ac:dyDescent="0.3">
      <c r="B378" s="12" t="s">
        <v>109</v>
      </c>
      <c r="C378" s="12" t="s">
        <v>121</v>
      </c>
      <c r="D378" s="74"/>
      <c r="E378" s="74"/>
      <c r="F378" s="74"/>
      <c r="G378" s="74"/>
      <c r="H378" s="74"/>
      <c r="I378" s="74"/>
      <c r="J378" s="74"/>
      <c r="K378" s="74"/>
      <c r="L378" s="57"/>
    </row>
    <row r="379" spans="2:12" ht="13.95" hidden="1" customHeight="1" x14ac:dyDescent="0.3">
      <c r="B379" s="12" t="s">
        <v>110</v>
      </c>
      <c r="C379" s="12" t="s">
        <v>121</v>
      </c>
      <c r="D379" s="74"/>
      <c r="E379" s="74"/>
      <c r="F379" s="74"/>
      <c r="G379" s="74"/>
      <c r="H379" s="74"/>
      <c r="I379" s="74"/>
      <c r="J379" s="74"/>
      <c r="K379" s="74"/>
      <c r="L379" s="57"/>
    </row>
    <row r="380" spans="2:12" ht="13.95" hidden="1" customHeight="1" x14ac:dyDescent="0.3">
      <c r="B380" s="12" t="s">
        <v>111</v>
      </c>
      <c r="C380" s="12" t="s">
        <v>121</v>
      </c>
      <c r="D380" s="74"/>
      <c r="E380" s="74"/>
      <c r="F380" s="74"/>
      <c r="G380" s="74"/>
      <c r="H380" s="74"/>
      <c r="I380" s="74"/>
      <c r="J380" s="74"/>
      <c r="K380" s="74"/>
      <c r="L380" s="57"/>
    </row>
    <row r="381" spans="2:12" ht="13.95" hidden="1" customHeight="1" x14ac:dyDescent="0.3">
      <c r="B381" s="12" t="s">
        <v>112</v>
      </c>
      <c r="C381" s="12" t="s">
        <v>121</v>
      </c>
      <c r="D381" s="74"/>
      <c r="E381" s="74"/>
      <c r="F381" s="74"/>
      <c r="G381" s="74"/>
      <c r="H381" s="74"/>
      <c r="I381" s="74"/>
      <c r="J381" s="74"/>
      <c r="K381" s="74"/>
      <c r="L381" s="57"/>
    </row>
    <row r="382" spans="2:12" ht="13.95" hidden="1" customHeight="1" x14ac:dyDescent="0.3">
      <c r="B382" s="12" t="s">
        <v>113</v>
      </c>
      <c r="C382" s="12" t="s">
        <v>121</v>
      </c>
      <c r="D382" s="74"/>
      <c r="E382" s="74"/>
      <c r="F382" s="74"/>
      <c r="G382" s="74"/>
      <c r="H382" s="74"/>
      <c r="I382" s="74"/>
      <c r="J382" s="74"/>
      <c r="K382" s="74"/>
      <c r="L382" s="57"/>
    </row>
    <row r="383" spans="2:12" ht="13.95" hidden="1" customHeight="1" x14ac:dyDescent="0.3">
      <c r="B383" s="12" t="s">
        <v>114</v>
      </c>
      <c r="C383" s="12" t="s">
        <v>121</v>
      </c>
      <c r="D383" s="74"/>
      <c r="E383" s="74"/>
      <c r="F383" s="74"/>
      <c r="G383" s="74"/>
      <c r="H383" s="74"/>
      <c r="I383" s="74"/>
      <c r="J383" s="74"/>
      <c r="K383" s="74"/>
      <c r="L383" s="57"/>
    </row>
    <row r="384" spans="2:12" ht="13.95" hidden="1" customHeight="1" x14ac:dyDescent="0.3">
      <c r="B384" s="12" t="s">
        <v>115</v>
      </c>
      <c r="C384" s="12" t="s">
        <v>121</v>
      </c>
      <c r="D384" s="74"/>
      <c r="E384" s="74"/>
      <c r="F384" s="74"/>
      <c r="G384" s="74"/>
      <c r="H384" s="74"/>
      <c r="I384" s="74"/>
      <c r="J384" s="74"/>
      <c r="K384" s="74"/>
      <c r="L384" s="57"/>
    </row>
    <row r="385" spans="2:12" ht="13.95" hidden="1" customHeight="1" x14ac:dyDescent="0.3">
      <c r="B385" s="12" t="s">
        <v>62</v>
      </c>
      <c r="C385" s="12" t="s">
        <v>122</v>
      </c>
      <c r="D385" s="74">
        <v>4</v>
      </c>
      <c r="E385" s="74">
        <v>4</v>
      </c>
      <c r="F385" s="74">
        <v>4</v>
      </c>
      <c r="G385" s="74">
        <v>4</v>
      </c>
      <c r="H385" s="74">
        <v>4</v>
      </c>
      <c r="I385" s="74">
        <v>4</v>
      </c>
      <c r="J385" s="74">
        <v>4</v>
      </c>
      <c r="K385" s="74">
        <v>4</v>
      </c>
      <c r="L385" s="57"/>
    </row>
    <row r="386" spans="2:12" ht="13.95" hidden="1" customHeight="1" x14ac:dyDescent="0.3">
      <c r="B386" s="12" t="s">
        <v>64</v>
      </c>
      <c r="C386" s="12" t="s">
        <v>122</v>
      </c>
      <c r="D386" s="74">
        <v>4</v>
      </c>
      <c r="E386" s="74">
        <v>4</v>
      </c>
      <c r="F386" s="74">
        <v>4</v>
      </c>
      <c r="G386" s="74">
        <v>4</v>
      </c>
      <c r="H386" s="74">
        <v>4</v>
      </c>
      <c r="I386" s="74">
        <v>4</v>
      </c>
      <c r="J386" s="74">
        <v>4</v>
      </c>
      <c r="K386" s="74">
        <v>4</v>
      </c>
      <c r="L386" s="57"/>
    </row>
    <row r="387" spans="2:12" ht="13.95" hidden="1" customHeight="1" x14ac:dyDescent="0.3">
      <c r="B387" s="12" t="s">
        <v>65</v>
      </c>
      <c r="C387" s="12" t="s">
        <v>122</v>
      </c>
      <c r="D387" s="74">
        <v>4</v>
      </c>
      <c r="E387" s="74">
        <v>4</v>
      </c>
      <c r="F387" s="74">
        <v>4</v>
      </c>
      <c r="G387" s="74">
        <v>4</v>
      </c>
      <c r="H387" s="74">
        <v>4</v>
      </c>
      <c r="I387" s="74">
        <v>4</v>
      </c>
      <c r="J387" s="74">
        <v>4</v>
      </c>
      <c r="K387" s="74">
        <v>4</v>
      </c>
      <c r="L387" s="57"/>
    </row>
    <row r="388" spans="2:12" ht="13.95" hidden="1" customHeight="1" x14ac:dyDescent="0.3">
      <c r="B388" s="12" t="s">
        <v>66</v>
      </c>
      <c r="C388" s="12" t="s">
        <v>122</v>
      </c>
      <c r="D388" s="74">
        <v>4</v>
      </c>
      <c r="E388" s="74">
        <v>4</v>
      </c>
      <c r="F388" s="74">
        <v>4</v>
      </c>
      <c r="G388" s="74">
        <v>4</v>
      </c>
      <c r="H388" s="74">
        <v>4</v>
      </c>
      <c r="I388" s="74">
        <v>4</v>
      </c>
      <c r="J388" s="74">
        <v>4</v>
      </c>
      <c r="K388" s="74">
        <v>4</v>
      </c>
      <c r="L388" s="57"/>
    </row>
    <row r="389" spans="2:12" ht="13.95" hidden="1" customHeight="1" x14ac:dyDescent="0.3">
      <c r="B389" s="12" t="s">
        <v>67</v>
      </c>
      <c r="C389" s="12" t="s">
        <v>122</v>
      </c>
      <c r="D389" s="74">
        <v>4</v>
      </c>
      <c r="E389" s="74">
        <v>4</v>
      </c>
      <c r="F389" s="74">
        <v>4</v>
      </c>
      <c r="G389" s="74">
        <v>4</v>
      </c>
      <c r="H389" s="74">
        <v>4</v>
      </c>
      <c r="I389" s="74">
        <v>4</v>
      </c>
      <c r="J389" s="74">
        <v>4</v>
      </c>
      <c r="K389" s="74">
        <v>4</v>
      </c>
      <c r="L389" s="57"/>
    </row>
    <row r="390" spans="2:12" ht="13.95" hidden="1" customHeight="1" x14ac:dyDescent="0.3">
      <c r="B390" s="12" t="s">
        <v>68</v>
      </c>
      <c r="C390" s="12" t="s">
        <v>122</v>
      </c>
      <c r="D390" s="74">
        <v>4</v>
      </c>
      <c r="E390" s="74">
        <v>4</v>
      </c>
      <c r="F390" s="74">
        <v>4</v>
      </c>
      <c r="G390" s="74">
        <v>4</v>
      </c>
      <c r="H390" s="74">
        <v>4</v>
      </c>
      <c r="I390" s="74">
        <v>4</v>
      </c>
      <c r="J390" s="74">
        <v>4</v>
      </c>
      <c r="K390" s="74">
        <v>4</v>
      </c>
      <c r="L390" s="57"/>
    </row>
    <row r="391" spans="2:12" ht="13.95" hidden="1" customHeight="1" x14ac:dyDescent="0.3">
      <c r="B391" s="12" t="s">
        <v>69</v>
      </c>
      <c r="C391" s="12" t="s">
        <v>122</v>
      </c>
      <c r="D391" s="74">
        <v>4</v>
      </c>
      <c r="E391" s="74">
        <v>4</v>
      </c>
      <c r="F391" s="74">
        <v>4</v>
      </c>
      <c r="G391" s="74">
        <v>4</v>
      </c>
      <c r="H391" s="74">
        <v>4</v>
      </c>
      <c r="I391" s="74">
        <v>4</v>
      </c>
      <c r="J391" s="74">
        <v>4</v>
      </c>
      <c r="K391" s="74">
        <v>4</v>
      </c>
      <c r="L391" s="57"/>
    </row>
    <row r="392" spans="2:12" ht="13.95" hidden="1" customHeight="1" x14ac:dyDescent="0.3">
      <c r="B392" s="12" t="s">
        <v>70</v>
      </c>
      <c r="C392" s="12" t="s">
        <v>122</v>
      </c>
      <c r="D392" s="74">
        <v>2</v>
      </c>
      <c r="E392" s="74">
        <v>2</v>
      </c>
      <c r="F392" s="74">
        <v>2</v>
      </c>
      <c r="G392" s="74">
        <v>2</v>
      </c>
      <c r="H392" s="74">
        <v>2</v>
      </c>
      <c r="I392" s="74">
        <v>2</v>
      </c>
      <c r="J392" s="74">
        <v>2</v>
      </c>
      <c r="K392" s="74">
        <v>2</v>
      </c>
      <c r="L392" s="57"/>
    </row>
    <row r="393" spans="2:12" ht="13.95" hidden="1" customHeight="1" x14ac:dyDescent="0.3">
      <c r="B393" s="12" t="s">
        <v>71</v>
      </c>
      <c r="C393" s="12" t="s">
        <v>122</v>
      </c>
      <c r="D393" s="74">
        <v>2</v>
      </c>
      <c r="E393" s="74">
        <v>2</v>
      </c>
      <c r="F393" s="74">
        <v>2</v>
      </c>
      <c r="G393" s="74">
        <v>2</v>
      </c>
      <c r="H393" s="74">
        <v>2</v>
      </c>
      <c r="I393" s="74">
        <v>2</v>
      </c>
      <c r="J393" s="74">
        <v>2</v>
      </c>
      <c r="K393" s="74">
        <v>2</v>
      </c>
      <c r="L393" s="57"/>
    </row>
    <row r="394" spans="2:12" ht="13.95" hidden="1" customHeight="1" x14ac:dyDescent="0.3">
      <c r="B394" s="12" t="s">
        <v>72</v>
      </c>
      <c r="C394" s="12" t="s">
        <v>122</v>
      </c>
      <c r="D394" s="74">
        <v>2</v>
      </c>
      <c r="E394" s="74">
        <v>2</v>
      </c>
      <c r="F394" s="74">
        <v>2</v>
      </c>
      <c r="G394" s="74">
        <v>2</v>
      </c>
      <c r="H394" s="74">
        <v>2</v>
      </c>
      <c r="I394" s="74">
        <v>2</v>
      </c>
      <c r="J394" s="74">
        <v>2</v>
      </c>
      <c r="K394" s="74">
        <v>2</v>
      </c>
      <c r="L394" s="57"/>
    </row>
    <row r="395" spans="2:12" ht="13.95" hidden="1" customHeight="1" x14ac:dyDescent="0.3">
      <c r="B395" s="12" t="s">
        <v>73</v>
      </c>
      <c r="C395" s="12" t="s">
        <v>122</v>
      </c>
      <c r="D395" s="74">
        <v>2</v>
      </c>
      <c r="E395" s="74">
        <v>2</v>
      </c>
      <c r="F395" s="74">
        <v>2</v>
      </c>
      <c r="G395" s="74">
        <v>2</v>
      </c>
      <c r="H395" s="74">
        <v>2</v>
      </c>
      <c r="I395" s="74">
        <v>2</v>
      </c>
      <c r="J395" s="74">
        <v>2</v>
      </c>
      <c r="K395" s="74">
        <v>2</v>
      </c>
      <c r="L395" s="57"/>
    </row>
    <row r="396" spans="2:12" ht="13.95" hidden="1" customHeight="1" x14ac:dyDescent="0.3">
      <c r="B396" s="12" t="s">
        <v>74</v>
      </c>
      <c r="C396" s="12" t="s">
        <v>122</v>
      </c>
      <c r="D396" s="74">
        <v>2</v>
      </c>
      <c r="E396" s="74">
        <v>2</v>
      </c>
      <c r="F396" s="74">
        <v>2</v>
      </c>
      <c r="G396" s="74">
        <v>2</v>
      </c>
      <c r="H396" s="74">
        <v>2</v>
      </c>
      <c r="I396" s="74">
        <v>2</v>
      </c>
      <c r="J396" s="74">
        <v>2</v>
      </c>
      <c r="K396" s="74">
        <v>2</v>
      </c>
      <c r="L396" s="57"/>
    </row>
    <row r="397" spans="2:12" ht="13.95" hidden="1" customHeight="1" x14ac:dyDescent="0.3">
      <c r="B397" s="12" t="s">
        <v>75</v>
      </c>
      <c r="C397" s="12" t="s">
        <v>122</v>
      </c>
      <c r="D397" s="74">
        <v>2</v>
      </c>
      <c r="E397" s="74">
        <v>2</v>
      </c>
      <c r="F397" s="74">
        <v>2</v>
      </c>
      <c r="G397" s="74">
        <v>2</v>
      </c>
      <c r="H397" s="74">
        <v>2</v>
      </c>
      <c r="I397" s="74">
        <v>2</v>
      </c>
      <c r="J397" s="74">
        <v>2</v>
      </c>
      <c r="K397" s="74">
        <v>2</v>
      </c>
      <c r="L397" s="57"/>
    </row>
    <row r="398" spans="2:12" ht="13.95" hidden="1" customHeight="1" x14ac:dyDescent="0.3">
      <c r="B398" s="12" t="s">
        <v>76</v>
      </c>
      <c r="C398" s="12" t="s">
        <v>122</v>
      </c>
      <c r="D398" s="74">
        <v>2</v>
      </c>
      <c r="E398" s="74">
        <v>2</v>
      </c>
      <c r="F398" s="74">
        <v>2</v>
      </c>
      <c r="G398" s="74">
        <v>2</v>
      </c>
      <c r="H398" s="74">
        <v>2</v>
      </c>
      <c r="I398" s="74">
        <v>2</v>
      </c>
      <c r="J398" s="74">
        <v>2</v>
      </c>
      <c r="K398" s="74">
        <v>2</v>
      </c>
      <c r="L398" s="57"/>
    </row>
    <row r="399" spans="2:12" ht="13.95" hidden="1" customHeight="1" x14ac:dyDescent="0.3">
      <c r="B399" s="12" t="s">
        <v>77</v>
      </c>
      <c r="C399" s="12" t="s">
        <v>122</v>
      </c>
      <c r="D399" s="74">
        <v>2</v>
      </c>
      <c r="E399" s="74">
        <v>2</v>
      </c>
      <c r="F399" s="74">
        <v>2</v>
      </c>
      <c r="G399" s="74">
        <v>2</v>
      </c>
      <c r="H399" s="74">
        <v>2</v>
      </c>
      <c r="I399" s="74">
        <v>2</v>
      </c>
      <c r="J399" s="74">
        <v>2</v>
      </c>
      <c r="K399" s="74">
        <v>2</v>
      </c>
      <c r="L399" s="57"/>
    </row>
    <row r="400" spans="2:12" ht="13.95" hidden="1" customHeight="1" x14ac:dyDescent="0.3">
      <c r="B400" s="12" t="s">
        <v>78</v>
      </c>
      <c r="C400" s="12" t="s">
        <v>122</v>
      </c>
      <c r="D400" s="74">
        <v>2</v>
      </c>
      <c r="E400" s="74">
        <v>2</v>
      </c>
      <c r="F400" s="74">
        <v>2</v>
      </c>
      <c r="G400" s="74">
        <v>2</v>
      </c>
      <c r="H400" s="74">
        <v>2</v>
      </c>
      <c r="I400" s="74">
        <v>2</v>
      </c>
      <c r="J400" s="74">
        <v>2</v>
      </c>
      <c r="K400" s="74">
        <v>2</v>
      </c>
      <c r="L400" s="57"/>
    </row>
    <row r="401" spans="2:12" ht="13.95" hidden="1" customHeight="1" x14ac:dyDescent="0.3">
      <c r="B401" s="12" t="s">
        <v>79</v>
      </c>
      <c r="C401" s="12" t="s">
        <v>122</v>
      </c>
      <c r="D401" s="74">
        <v>2</v>
      </c>
      <c r="E401" s="74">
        <v>2</v>
      </c>
      <c r="F401" s="74">
        <v>2</v>
      </c>
      <c r="G401" s="74">
        <v>2</v>
      </c>
      <c r="H401" s="74">
        <v>2</v>
      </c>
      <c r="I401" s="74">
        <v>2</v>
      </c>
      <c r="J401" s="74">
        <v>2</v>
      </c>
      <c r="K401" s="74">
        <v>2</v>
      </c>
      <c r="L401" s="57"/>
    </row>
    <row r="402" spans="2:12" ht="13.95" hidden="1" customHeight="1" x14ac:dyDescent="0.3">
      <c r="B402" s="12" t="s">
        <v>80</v>
      </c>
      <c r="C402" s="12" t="s">
        <v>122</v>
      </c>
      <c r="D402" s="74">
        <v>2</v>
      </c>
      <c r="E402" s="74">
        <v>2</v>
      </c>
      <c r="F402" s="74">
        <v>2</v>
      </c>
      <c r="G402" s="74">
        <v>2</v>
      </c>
      <c r="H402" s="74">
        <v>2</v>
      </c>
      <c r="I402" s="74">
        <v>2</v>
      </c>
      <c r="J402" s="74">
        <v>2</v>
      </c>
      <c r="K402" s="74">
        <v>2</v>
      </c>
      <c r="L402" s="57"/>
    </row>
    <row r="403" spans="2:12" ht="13.95" hidden="1" customHeight="1" x14ac:dyDescent="0.3">
      <c r="B403" s="12" t="s">
        <v>81</v>
      </c>
      <c r="C403" s="12" t="s">
        <v>122</v>
      </c>
      <c r="D403" s="74">
        <v>2</v>
      </c>
      <c r="E403" s="74">
        <v>2</v>
      </c>
      <c r="F403" s="74">
        <v>2</v>
      </c>
      <c r="G403" s="74">
        <v>2</v>
      </c>
      <c r="H403" s="74">
        <v>2</v>
      </c>
      <c r="I403" s="74">
        <v>2</v>
      </c>
      <c r="J403" s="74">
        <v>2</v>
      </c>
      <c r="K403" s="74">
        <v>2</v>
      </c>
      <c r="L403" s="57"/>
    </row>
    <row r="404" spans="2:12" ht="13.95" hidden="1" customHeight="1" x14ac:dyDescent="0.3">
      <c r="B404" s="12" t="s">
        <v>82</v>
      </c>
      <c r="C404" s="12" t="s">
        <v>122</v>
      </c>
      <c r="D404" s="74">
        <v>2</v>
      </c>
      <c r="E404" s="74">
        <v>2</v>
      </c>
      <c r="F404" s="74">
        <v>2</v>
      </c>
      <c r="G404" s="74">
        <v>2</v>
      </c>
      <c r="H404" s="74">
        <v>2</v>
      </c>
      <c r="I404" s="74">
        <v>2</v>
      </c>
      <c r="J404" s="74">
        <v>2</v>
      </c>
      <c r="K404" s="74">
        <v>2</v>
      </c>
      <c r="L404" s="57"/>
    </row>
    <row r="405" spans="2:12" ht="13.95" hidden="1" customHeight="1" x14ac:dyDescent="0.3">
      <c r="B405" s="12" t="s">
        <v>83</v>
      </c>
      <c r="C405" s="12" t="s">
        <v>122</v>
      </c>
      <c r="D405" s="74">
        <v>2</v>
      </c>
      <c r="E405" s="74">
        <v>2</v>
      </c>
      <c r="F405" s="74">
        <v>2</v>
      </c>
      <c r="G405" s="74">
        <v>2</v>
      </c>
      <c r="H405" s="74">
        <v>2</v>
      </c>
      <c r="I405" s="74">
        <v>2</v>
      </c>
      <c r="J405" s="74">
        <v>2</v>
      </c>
      <c r="K405" s="74">
        <v>2</v>
      </c>
      <c r="L405" s="57"/>
    </row>
    <row r="406" spans="2:12" ht="13.95" hidden="1" customHeight="1" x14ac:dyDescent="0.3">
      <c r="B406" s="12" t="s">
        <v>84</v>
      </c>
      <c r="C406" s="12" t="s">
        <v>122</v>
      </c>
      <c r="D406" s="74">
        <v>2</v>
      </c>
      <c r="E406" s="74">
        <v>2</v>
      </c>
      <c r="F406" s="74">
        <v>2</v>
      </c>
      <c r="G406" s="74">
        <v>2</v>
      </c>
      <c r="H406" s="74">
        <v>2</v>
      </c>
      <c r="I406" s="74">
        <v>2</v>
      </c>
      <c r="J406" s="74">
        <v>2</v>
      </c>
      <c r="K406" s="74">
        <v>2</v>
      </c>
      <c r="L406" s="57"/>
    </row>
    <row r="407" spans="2:12" ht="13.95" hidden="1" customHeight="1" x14ac:dyDescent="0.3">
      <c r="B407" s="12" t="s">
        <v>85</v>
      </c>
      <c r="C407" s="12" t="s">
        <v>122</v>
      </c>
      <c r="D407" s="74">
        <v>2</v>
      </c>
      <c r="E407" s="74">
        <v>2</v>
      </c>
      <c r="F407" s="74">
        <v>2</v>
      </c>
      <c r="G407" s="74">
        <v>2</v>
      </c>
      <c r="H407" s="74">
        <v>2</v>
      </c>
      <c r="I407" s="74">
        <v>2</v>
      </c>
      <c r="J407" s="74">
        <v>2</v>
      </c>
      <c r="K407" s="74">
        <v>2</v>
      </c>
      <c r="L407" s="57"/>
    </row>
    <row r="408" spans="2:12" ht="13.95" hidden="1" customHeight="1" x14ac:dyDescent="0.3">
      <c r="B408" s="12" t="s">
        <v>86</v>
      </c>
      <c r="C408" s="12" t="s">
        <v>122</v>
      </c>
      <c r="D408" s="74">
        <v>2</v>
      </c>
      <c r="E408" s="74">
        <v>2</v>
      </c>
      <c r="F408" s="74">
        <v>2</v>
      </c>
      <c r="G408" s="74">
        <v>2</v>
      </c>
      <c r="H408" s="74">
        <v>2</v>
      </c>
      <c r="I408" s="74">
        <v>2</v>
      </c>
      <c r="J408" s="74">
        <v>2</v>
      </c>
      <c r="K408" s="74">
        <v>2</v>
      </c>
      <c r="L408" s="57"/>
    </row>
    <row r="409" spans="2:12" ht="13.95" hidden="1" customHeight="1" x14ac:dyDescent="0.3">
      <c r="B409" s="12" t="s">
        <v>87</v>
      </c>
      <c r="C409" s="12" t="s">
        <v>122</v>
      </c>
      <c r="D409" s="74">
        <v>1</v>
      </c>
      <c r="E409" s="74">
        <v>1</v>
      </c>
      <c r="F409" s="74">
        <v>3</v>
      </c>
      <c r="G409" s="74">
        <v>3</v>
      </c>
      <c r="H409" s="74">
        <v>3</v>
      </c>
      <c r="I409" s="74">
        <v>4</v>
      </c>
      <c r="J409" s="74">
        <v>4</v>
      </c>
      <c r="K409" s="74"/>
      <c r="L409" s="57"/>
    </row>
    <row r="410" spans="2:12" ht="13.95" hidden="1" customHeight="1" x14ac:dyDescent="0.3">
      <c r="B410" s="12" t="s">
        <v>88</v>
      </c>
      <c r="C410" s="12" t="s">
        <v>122</v>
      </c>
      <c r="D410" s="74">
        <v>1</v>
      </c>
      <c r="E410" s="74">
        <v>1</v>
      </c>
      <c r="F410" s="74">
        <v>3</v>
      </c>
      <c r="G410" s="74">
        <v>3</v>
      </c>
      <c r="H410" s="74">
        <v>3</v>
      </c>
      <c r="I410" s="74">
        <v>4</v>
      </c>
      <c r="J410" s="74">
        <v>4</v>
      </c>
      <c r="K410" s="74"/>
      <c r="L410" s="57"/>
    </row>
    <row r="411" spans="2:12" ht="13.95" hidden="1" customHeight="1" x14ac:dyDescent="0.3">
      <c r="B411" s="12" t="s">
        <v>89</v>
      </c>
      <c r="C411" s="12" t="s">
        <v>122</v>
      </c>
      <c r="D411" s="74">
        <v>1</v>
      </c>
      <c r="E411" s="74">
        <v>1</v>
      </c>
      <c r="F411" s="74">
        <v>3</v>
      </c>
      <c r="G411" s="74">
        <v>3</v>
      </c>
      <c r="H411" s="74">
        <v>3</v>
      </c>
      <c r="I411" s="74">
        <v>4</v>
      </c>
      <c r="J411" s="74">
        <v>4</v>
      </c>
      <c r="K411" s="74"/>
      <c r="L411" s="57"/>
    </row>
    <row r="412" spans="2:12" ht="13.95" hidden="1" customHeight="1" x14ac:dyDescent="0.3">
      <c r="B412" s="12" t="s">
        <v>90</v>
      </c>
      <c r="C412" s="12" t="s">
        <v>122</v>
      </c>
      <c r="D412" s="74">
        <v>1</v>
      </c>
      <c r="E412" s="74">
        <v>1</v>
      </c>
      <c r="F412" s="74">
        <v>3</v>
      </c>
      <c r="G412" s="74">
        <v>3</v>
      </c>
      <c r="H412" s="74">
        <v>3</v>
      </c>
      <c r="I412" s="74">
        <v>4</v>
      </c>
      <c r="J412" s="74">
        <v>4</v>
      </c>
      <c r="K412" s="74"/>
      <c r="L412" s="57"/>
    </row>
    <row r="413" spans="2:12" ht="13.95" hidden="1" customHeight="1" x14ac:dyDescent="0.3">
      <c r="B413" s="12" t="s">
        <v>91</v>
      </c>
      <c r="C413" s="12" t="s">
        <v>122</v>
      </c>
      <c r="D413" s="74">
        <v>1</v>
      </c>
      <c r="E413" s="74">
        <v>1</v>
      </c>
      <c r="F413" s="74">
        <v>3</v>
      </c>
      <c r="G413" s="74">
        <v>3</v>
      </c>
      <c r="H413" s="74">
        <v>3</v>
      </c>
      <c r="I413" s="74">
        <v>4</v>
      </c>
      <c r="J413" s="74">
        <v>4</v>
      </c>
      <c r="K413" s="74"/>
      <c r="L413" s="57"/>
    </row>
    <row r="414" spans="2:12" ht="13.95" hidden="1" customHeight="1" x14ac:dyDescent="0.3">
      <c r="B414" s="12" t="s">
        <v>92</v>
      </c>
      <c r="C414" s="12" t="s">
        <v>122</v>
      </c>
      <c r="D414" s="74">
        <v>1</v>
      </c>
      <c r="E414" s="74">
        <v>1</v>
      </c>
      <c r="F414" s="74">
        <v>3</v>
      </c>
      <c r="G414" s="74">
        <v>3</v>
      </c>
      <c r="H414" s="74">
        <v>3</v>
      </c>
      <c r="I414" s="74">
        <v>4</v>
      </c>
      <c r="J414" s="74">
        <v>4</v>
      </c>
      <c r="K414" s="74"/>
      <c r="L414" s="57"/>
    </row>
    <row r="415" spans="2:12" ht="13.95" hidden="1" customHeight="1" x14ac:dyDescent="0.3">
      <c r="B415" s="12" t="s">
        <v>93</v>
      </c>
      <c r="C415" s="12" t="s">
        <v>122</v>
      </c>
      <c r="D415" s="74">
        <v>1</v>
      </c>
      <c r="E415" s="74">
        <v>1</v>
      </c>
      <c r="F415" s="74">
        <v>3</v>
      </c>
      <c r="G415" s="74">
        <v>3</v>
      </c>
      <c r="H415" s="74">
        <v>3</v>
      </c>
      <c r="I415" s="74">
        <v>4</v>
      </c>
      <c r="J415" s="74">
        <v>4</v>
      </c>
      <c r="K415" s="74"/>
      <c r="L415" s="57"/>
    </row>
    <row r="416" spans="2:12" ht="13.95" hidden="1" customHeight="1" x14ac:dyDescent="0.3">
      <c r="B416" s="12" t="s">
        <v>94</v>
      </c>
      <c r="C416" s="12" t="s">
        <v>122</v>
      </c>
      <c r="D416" s="74">
        <v>1</v>
      </c>
      <c r="E416" s="74">
        <v>1</v>
      </c>
      <c r="F416" s="74">
        <v>3</v>
      </c>
      <c r="G416" s="74">
        <v>3</v>
      </c>
      <c r="H416" s="74">
        <v>3</v>
      </c>
      <c r="I416" s="74">
        <v>4</v>
      </c>
      <c r="J416" s="74">
        <v>4</v>
      </c>
      <c r="K416" s="74"/>
      <c r="L416" s="57"/>
    </row>
    <row r="417" spans="2:12" ht="13.95" hidden="1" customHeight="1" x14ac:dyDescent="0.3">
      <c r="B417" s="12" t="s">
        <v>95</v>
      </c>
      <c r="C417" s="12" t="s">
        <v>122</v>
      </c>
      <c r="D417" s="74">
        <v>1</v>
      </c>
      <c r="E417" s="74">
        <v>1</v>
      </c>
      <c r="F417" s="74">
        <v>3</v>
      </c>
      <c r="G417" s="74">
        <v>3</v>
      </c>
      <c r="H417" s="74">
        <v>3</v>
      </c>
      <c r="I417" s="74">
        <v>4</v>
      </c>
      <c r="J417" s="74">
        <v>4</v>
      </c>
      <c r="K417" s="74"/>
      <c r="L417" s="57"/>
    </row>
    <row r="418" spans="2:12" ht="13.95" hidden="1" customHeight="1" x14ac:dyDescent="0.3">
      <c r="B418" s="12" t="s">
        <v>96</v>
      </c>
      <c r="C418" s="12" t="s">
        <v>122</v>
      </c>
      <c r="D418" s="74">
        <v>1</v>
      </c>
      <c r="E418" s="74">
        <v>1</v>
      </c>
      <c r="F418" s="74">
        <v>3</v>
      </c>
      <c r="G418" s="74">
        <v>3</v>
      </c>
      <c r="H418" s="74">
        <v>3</v>
      </c>
      <c r="I418" s="74">
        <v>4</v>
      </c>
      <c r="J418" s="74">
        <v>4</v>
      </c>
      <c r="K418" s="74"/>
      <c r="L418" s="57"/>
    </row>
    <row r="419" spans="2:12" ht="13.95" hidden="1" customHeight="1" x14ac:dyDescent="0.3">
      <c r="B419" s="12" t="s">
        <v>97</v>
      </c>
      <c r="C419" s="12" t="s">
        <v>122</v>
      </c>
      <c r="D419" s="74">
        <v>1</v>
      </c>
      <c r="E419" s="74">
        <v>1</v>
      </c>
      <c r="F419" s="74">
        <v>3</v>
      </c>
      <c r="G419" s="74">
        <v>3</v>
      </c>
      <c r="H419" s="74">
        <v>3</v>
      </c>
      <c r="I419" s="74">
        <v>4</v>
      </c>
      <c r="J419" s="74">
        <v>4</v>
      </c>
      <c r="K419" s="74"/>
      <c r="L419" s="57"/>
    </row>
    <row r="420" spans="2:12" ht="13.95" hidden="1" customHeight="1" x14ac:dyDescent="0.3">
      <c r="B420" s="12" t="s">
        <v>98</v>
      </c>
      <c r="C420" s="12" t="s">
        <v>122</v>
      </c>
      <c r="D420" s="74">
        <v>1</v>
      </c>
      <c r="E420" s="74">
        <v>1</v>
      </c>
      <c r="F420" s="74">
        <v>3</v>
      </c>
      <c r="G420" s="74">
        <v>3</v>
      </c>
      <c r="H420" s="74">
        <v>3</v>
      </c>
      <c r="I420" s="74">
        <v>4</v>
      </c>
      <c r="J420" s="74">
        <v>4</v>
      </c>
      <c r="K420" s="74"/>
      <c r="L420" s="57"/>
    </row>
    <row r="421" spans="2:12" ht="13.95" hidden="1" customHeight="1" x14ac:dyDescent="0.3">
      <c r="B421" s="12" t="s">
        <v>99</v>
      </c>
      <c r="C421" s="12" t="s">
        <v>122</v>
      </c>
      <c r="D421" s="74">
        <v>1</v>
      </c>
      <c r="E421" s="74">
        <v>1</v>
      </c>
      <c r="F421" s="74">
        <v>3</v>
      </c>
      <c r="G421" s="74">
        <v>3</v>
      </c>
      <c r="H421" s="74">
        <v>3</v>
      </c>
      <c r="I421" s="74">
        <v>4</v>
      </c>
      <c r="J421" s="74">
        <v>4</v>
      </c>
      <c r="K421" s="74"/>
      <c r="L421" s="57"/>
    </row>
    <row r="422" spans="2:12" ht="13.95" hidden="1" customHeight="1" x14ac:dyDescent="0.3">
      <c r="B422" s="12" t="s">
        <v>100</v>
      </c>
      <c r="C422" s="12" t="s">
        <v>122</v>
      </c>
      <c r="D422" s="74">
        <v>1</v>
      </c>
      <c r="E422" s="74">
        <v>1</v>
      </c>
      <c r="F422" s="74">
        <v>3</v>
      </c>
      <c r="G422" s="74">
        <v>3</v>
      </c>
      <c r="H422" s="74">
        <v>3</v>
      </c>
      <c r="I422" s="74">
        <v>4</v>
      </c>
      <c r="J422" s="74">
        <v>4</v>
      </c>
      <c r="K422" s="74"/>
      <c r="L422" s="57"/>
    </row>
    <row r="423" spans="2:12" ht="13.95" hidden="1" customHeight="1" x14ac:dyDescent="0.3">
      <c r="B423" s="12" t="s">
        <v>101</v>
      </c>
      <c r="C423" s="12" t="s">
        <v>122</v>
      </c>
      <c r="D423" s="74">
        <v>1</v>
      </c>
      <c r="E423" s="74">
        <v>1</v>
      </c>
      <c r="F423" s="74">
        <v>2</v>
      </c>
      <c r="G423" s="74">
        <v>2</v>
      </c>
      <c r="H423" s="74">
        <v>2</v>
      </c>
      <c r="I423" s="74">
        <v>2</v>
      </c>
      <c r="J423" s="74">
        <v>4</v>
      </c>
      <c r="K423" s="74"/>
      <c r="L423" s="57"/>
    </row>
    <row r="424" spans="2:12" ht="13.95" hidden="1" customHeight="1" x14ac:dyDescent="0.3">
      <c r="B424" s="12" t="s">
        <v>102</v>
      </c>
      <c r="C424" s="12" t="s">
        <v>122</v>
      </c>
      <c r="D424" s="74">
        <v>1</v>
      </c>
      <c r="E424" s="74">
        <v>1</v>
      </c>
      <c r="F424" s="74">
        <v>2</v>
      </c>
      <c r="G424" s="74">
        <v>2</v>
      </c>
      <c r="H424" s="74">
        <v>2</v>
      </c>
      <c r="I424" s="74">
        <v>2</v>
      </c>
      <c r="J424" s="74">
        <v>4</v>
      </c>
      <c r="K424" s="74"/>
      <c r="L424" s="57"/>
    </row>
    <row r="425" spans="2:12" ht="13.95" hidden="1" customHeight="1" x14ac:dyDescent="0.3">
      <c r="B425" s="12" t="s">
        <v>103</v>
      </c>
      <c r="C425" s="12" t="s">
        <v>122</v>
      </c>
      <c r="D425" s="74">
        <v>1</v>
      </c>
      <c r="E425" s="74">
        <v>1</v>
      </c>
      <c r="F425" s="74">
        <v>2</v>
      </c>
      <c r="G425" s="74">
        <v>2</v>
      </c>
      <c r="H425" s="74">
        <v>2</v>
      </c>
      <c r="I425" s="74">
        <v>2</v>
      </c>
      <c r="J425" s="74">
        <v>4</v>
      </c>
      <c r="K425" s="74"/>
      <c r="L425" s="57"/>
    </row>
    <row r="426" spans="2:12" ht="13.95" hidden="1" customHeight="1" x14ac:dyDescent="0.3">
      <c r="B426" s="12" t="s">
        <v>104</v>
      </c>
      <c r="C426" s="12" t="s">
        <v>122</v>
      </c>
      <c r="D426" s="74">
        <v>1</v>
      </c>
      <c r="E426" s="74">
        <v>1</v>
      </c>
      <c r="F426" s="74">
        <v>2</v>
      </c>
      <c r="G426" s="74">
        <v>2</v>
      </c>
      <c r="H426" s="74">
        <v>2</v>
      </c>
      <c r="I426" s="74">
        <v>2</v>
      </c>
      <c r="J426" s="74">
        <v>4</v>
      </c>
      <c r="K426" s="74"/>
      <c r="L426" s="57"/>
    </row>
    <row r="427" spans="2:12" ht="13.95" hidden="1" customHeight="1" x14ac:dyDescent="0.3">
      <c r="B427" s="12" t="s">
        <v>105</v>
      </c>
      <c r="C427" s="12" t="s">
        <v>122</v>
      </c>
      <c r="D427" s="74">
        <v>1</v>
      </c>
      <c r="E427" s="74">
        <v>1</v>
      </c>
      <c r="F427" s="74">
        <v>2</v>
      </c>
      <c r="G427" s="74">
        <v>2</v>
      </c>
      <c r="H427" s="74">
        <v>2</v>
      </c>
      <c r="I427" s="74">
        <v>2</v>
      </c>
      <c r="J427" s="74">
        <v>4</v>
      </c>
      <c r="K427" s="74"/>
      <c r="L427" s="57"/>
    </row>
    <row r="428" spans="2:12" ht="13.95" hidden="1" customHeight="1" x14ac:dyDescent="0.3">
      <c r="B428" s="12" t="s">
        <v>106</v>
      </c>
      <c r="C428" s="12" t="s">
        <v>122</v>
      </c>
      <c r="D428" s="74"/>
      <c r="E428" s="74"/>
      <c r="F428" s="74">
        <v>2</v>
      </c>
      <c r="G428" s="74">
        <v>2</v>
      </c>
      <c r="H428" s="74">
        <v>2</v>
      </c>
      <c r="I428" s="74">
        <v>2</v>
      </c>
      <c r="J428" s="74">
        <v>4</v>
      </c>
      <c r="K428" s="74"/>
      <c r="L428" s="57"/>
    </row>
    <row r="429" spans="2:12" ht="13.95" hidden="1" customHeight="1" x14ac:dyDescent="0.3">
      <c r="B429" s="12" t="s">
        <v>107</v>
      </c>
      <c r="C429" s="12" t="s">
        <v>122</v>
      </c>
      <c r="D429" s="74"/>
      <c r="E429" s="74"/>
      <c r="F429" s="74">
        <v>2</v>
      </c>
      <c r="G429" s="74">
        <v>2</v>
      </c>
      <c r="H429" s="74">
        <v>2</v>
      </c>
      <c r="I429" s="74">
        <v>2</v>
      </c>
      <c r="J429" s="74">
        <v>4</v>
      </c>
      <c r="K429" s="74"/>
      <c r="L429" s="57"/>
    </row>
    <row r="430" spans="2:12" ht="13.95" hidden="1" customHeight="1" x14ac:dyDescent="0.3">
      <c r="B430" s="12" t="s">
        <v>108</v>
      </c>
      <c r="C430" s="12" t="s">
        <v>122</v>
      </c>
      <c r="D430" s="74"/>
      <c r="E430" s="74"/>
      <c r="F430" s="74">
        <v>2</v>
      </c>
      <c r="G430" s="74">
        <v>2</v>
      </c>
      <c r="H430" s="74">
        <v>2</v>
      </c>
      <c r="I430" s="74">
        <v>2</v>
      </c>
      <c r="J430" s="74"/>
      <c r="K430" s="74"/>
      <c r="L430" s="57"/>
    </row>
    <row r="431" spans="2:12" ht="13.95" hidden="1" customHeight="1" x14ac:dyDescent="0.3">
      <c r="B431" s="12" t="s">
        <v>109</v>
      </c>
      <c r="C431" s="12" t="s">
        <v>122</v>
      </c>
      <c r="D431" s="74"/>
      <c r="E431" s="74"/>
      <c r="F431" s="74">
        <v>2</v>
      </c>
      <c r="G431" s="74">
        <v>2</v>
      </c>
      <c r="H431" s="74">
        <v>2</v>
      </c>
      <c r="I431" s="74">
        <v>2</v>
      </c>
      <c r="J431" s="74"/>
      <c r="K431" s="74"/>
      <c r="L431" s="57"/>
    </row>
    <row r="432" spans="2:12" ht="13.95" hidden="1" customHeight="1" x14ac:dyDescent="0.3">
      <c r="B432" s="12" t="s">
        <v>110</v>
      </c>
      <c r="C432" s="12" t="s">
        <v>122</v>
      </c>
      <c r="D432" s="74"/>
      <c r="E432" s="74"/>
      <c r="F432" s="74">
        <v>2</v>
      </c>
      <c r="G432" s="74">
        <v>2</v>
      </c>
      <c r="H432" s="74">
        <v>2</v>
      </c>
      <c r="I432" s="74">
        <v>2</v>
      </c>
      <c r="J432" s="74"/>
      <c r="K432" s="74"/>
      <c r="L432" s="57"/>
    </row>
    <row r="433" spans="2:12" ht="13.95" hidden="1" customHeight="1" x14ac:dyDescent="0.3">
      <c r="B433" s="12" t="s">
        <v>111</v>
      </c>
      <c r="C433" s="12" t="s">
        <v>122</v>
      </c>
      <c r="D433" s="74"/>
      <c r="E433" s="74"/>
      <c r="F433" s="74">
        <v>2</v>
      </c>
      <c r="G433" s="74">
        <v>2</v>
      </c>
      <c r="H433" s="74">
        <v>2</v>
      </c>
      <c r="I433" s="74">
        <v>2</v>
      </c>
      <c r="J433" s="74"/>
      <c r="K433" s="74"/>
      <c r="L433" s="57"/>
    </row>
    <row r="434" spans="2:12" ht="13.95" hidden="1" customHeight="1" x14ac:dyDescent="0.3">
      <c r="B434" s="12" t="s">
        <v>112</v>
      </c>
      <c r="C434" s="12" t="s">
        <v>122</v>
      </c>
      <c r="D434" s="74"/>
      <c r="E434" s="74"/>
      <c r="F434" s="74"/>
      <c r="G434" s="74"/>
      <c r="H434" s="74"/>
      <c r="I434" s="74"/>
      <c r="J434" s="74"/>
      <c r="K434" s="74"/>
      <c r="L434" s="57"/>
    </row>
    <row r="435" spans="2:12" ht="13.95" hidden="1" customHeight="1" x14ac:dyDescent="0.3">
      <c r="B435" s="12" t="s">
        <v>113</v>
      </c>
      <c r="C435" s="12" t="s">
        <v>122</v>
      </c>
      <c r="D435" s="74"/>
      <c r="E435" s="74"/>
      <c r="F435" s="74"/>
      <c r="G435" s="74"/>
      <c r="H435" s="74"/>
      <c r="I435" s="74"/>
      <c r="J435" s="74"/>
      <c r="K435" s="74"/>
      <c r="L435" s="57"/>
    </row>
    <row r="436" spans="2:12" ht="13.95" hidden="1" customHeight="1" x14ac:dyDescent="0.3">
      <c r="B436" s="12" t="s">
        <v>114</v>
      </c>
      <c r="C436" s="12" t="s">
        <v>122</v>
      </c>
      <c r="D436" s="74"/>
      <c r="E436" s="74"/>
      <c r="F436" s="74"/>
      <c r="G436" s="74"/>
      <c r="H436" s="74"/>
      <c r="I436" s="74"/>
      <c r="J436" s="74"/>
      <c r="K436" s="74"/>
      <c r="L436" s="57"/>
    </row>
    <row r="437" spans="2:12" ht="13.95" hidden="1" customHeight="1" x14ac:dyDescent="0.3">
      <c r="B437" s="12" t="s">
        <v>115</v>
      </c>
      <c r="C437" s="12" t="s">
        <v>122</v>
      </c>
      <c r="D437" s="74"/>
      <c r="E437" s="74"/>
      <c r="F437" s="74"/>
      <c r="G437" s="74"/>
      <c r="H437" s="74"/>
      <c r="I437" s="74"/>
      <c r="J437" s="74"/>
      <c r="K437" s="74"/>
      <c r="L437" s="57"/>
    </row>
    <row r="438" spans="2:12" ht="13.95" hidden="1" customHeight="1" x14ac:dyDescent="0.3">
      <c r="B438" s="12" t="s">
        <v>62</v>
      </c>
      <c r="C438" s="12" t="s">
        <v>123</v>
      </c>
      <c r="D438" s="74"/>
      <c r="E438" s="74"/>
      <c r="F438" s="74"/>
      <c r="G438" s="74"/>
      <c r="H438" s="74"/>
      <c r="I438" s="74"/>
      <c r="J438" s="74"/>
      <c r="K438" s="74"/>
      <c r="L438" s="57"/>
    </row>
    <row r="439" spans="2:12" ht="13.95" hidden="1" customHeight="1" x14ac:dyDescent="0.3">
      <c r="B439" s="12" t="s">
        <v>64</v>
      </c>
      <c r="C439" s="12" t="s">
        <v>123</v>
      </c>
      <c r="D439" s="74"/>
      <c r="E439" s="74"/>
      <c r="F439" s="74"/>
      <c r="G439" s="74"/>
      <c r="H439" s="74"/>
      <c r="I439" s="74"/>
      <c r="J439" s="74"/>
      <c r="K439" s="74"/>
      <c r="L439" s="57"/>
    </row>
    <row r="440" spans="2:12" ht="13.95" hidden="1" customHeight="1" x14ac:dyDescent="0.3">
      <c r="B440" s="12" t="s">
        <v>65</v>
      </c>
      <c r="C440" s="12" t="s">
        <v>123</v>
      </c>
      <c r="D440" s="74"/>
      <c r="E440" s="74"/>
      <c r="F440" s="74"/>
      <c r="G440" s="74"/>
      <c r="H440" s="74"/>
      <c r="I440" s="74"/>
      <c r="J440" s="74"/>
      <c r="K440" s="74"/>
      <c r="L440" s="57"/>
    </row>
    <row r="441" spans="2:12" ht="13.95" hidden="1" customHeight="1" x14ac:dyDescent="0.3">
      <c r="B441" s="12" t="s">
        <v>66</v>
      </c>
      <c r="C441" s="12" t="s">
        <v>123</v>
      </c>
      <c r="D441" s="74"/>
      <c r="E441" s="74"/>
      <c r="F441" s="74"/>
      <c r="G441" s="74"/>
      <c r="H441" s="74"/>
      <c r="I441" s="74"/>
      <c r="J441" s="74"/>
      <c r="K441" s="74"/>
      <c r="L441" s="57"/>
    </row>
    <row r="442" spans="2:12" ht="13.95" hidden="1" customHeight="1" x14ac:dyDescent="0.3">
      <c r="B442" s="12" t="s">
        <v>67</v>
      </c>
      <c r="C442" s="12" t="s">
        <v>123</v>
      </c>
      <c r="D442" s="74"/>
      <c r="E442" s="74"/>
      <c r="F442" s="74"/>
      <c r="G442" s="74"/>
      <c r="H442" s="74"/>
      <c r="I442" s="74"/>
      <c r="J442" s="74"/>
      <c r="K442" s="74"/>
      <c r="L442" s="57"/>
    </row>
    <row r="443" spans="2:12" ht="13.95" hidden="1" customHeight="1" x14ac:dyDescent="0.3">
      <c r="B443" s="12" t="s">
        <v>68</v>
      </c>
      <c r="C443" s="12" t="s">
        <v>123</v>
      </c>
      <c r="D443" s="74"/>
      <c r="E443" s="74"/>
      <c r="F443" s="74"/>
      <c r="G443" s="74"/>
      <c r="H443" s="74"/>
      <c r="I443" s="74"/>
      <c r="J443" s="74"/>
      <c r="K443" s="74"/>
      <c r="L443" s="57"/>
    </row>
    <row r="444" spans="2:12" ht="13.95" hidden="1" customHeight="1" x14ac:dyDescent="0.3">
      <c r="B444" s="12" t="s">
        <v>69</v>
      </c>
      <c r="C444" s="12" t="s">
        <v>123</v>
      </c>
      <c r="D444" s="74"/>
      <c r="E444" s="74"/>
      <c r="F444" s="74"/>
      <c r="G444" s="74"/>
      <c r="H444" s="74"/>
      <c r="I444" s="74"/>
      <c r="J444" s="74"/>
      <c r="K444" s="74"/>
      <c r="L444" s="57"/>
    </row>
    <row r="445" spans="2:12" ht="13.95" hidden="1" customHeight="1" x14ac:dyDescent="0.3">
      <c r="B445" s="12" t="s">
        <v>70</v>
      </c>
      <c r="C445" s="12" t="s">
        <v>123</v>
      </c>
      <c r="D445" s="74"/>
      <c r="E445" s="74"/>
      <c r="F445" s="74"/>
      <c r="G445" s="74"/>
      <c r="H445" s="74"/>
      <c r="I445" s="74"/>
      <c r="J445" s="74"/>
      <c r="K445" s="74"/>
      <c r="L445" s="57"/>
    </row>
    <row r="446" spans="2:12" ht="13.95" hidden="1" customHeight="1" x14ac:dyDescent="0.3">
      <c r="B446" s="12" t="s">
        <v>71</v>
      </c>
      <c r="C446" s="12" t="s">
        <v>123</v>
      </c>
      <c r="D446" s="74"/>
      <c r="E446" s="74"/>
      <c r="F446" s="74"/>
      <c r="G446" s="74"/>
      <c r="H446" s="74"/>
      <c r="I446" s="74"/>
      <c r="J446" s="74"/>
      <c r="K446" s="74"/>
      <c r="L446" s="57"/>
    </row>
    <row r="447" spans="2:12" ht="13.95" hidden="1" customHeight="1" x14ac:dyDescent="0.3">
      <c r="B447" s="12" t="s">
        <v>72</v>
      </c>
      <c r="C447" s="12" t="s">
        <v>123</v>
      </c>
      <c r="D447" s="74"/>
      <c r="E447" s="74"/>
      <c r="F447" s="74"/>
      <c r="G447" s="74"/>
      <c r="H447" s="74"/>
      <c r="I447" s="74"/>
      <c r="J447" s="74"/>
      <c r="K447" s="74"/>
      <c r="L447" s="57"/>
    </row>
    <row r="448" spans="2:12" ht="13.95" hidden="1" customHeight="1" x14ac:dyDescent="0.3">
      <c r="B448" s="12" t="s">
        <v>73</v>
      </c>
      <c r="C448" s="12" t="s">
        <v>123</v>
      </c>
      <c r="D448" s="74"/>
      <c r="E448" s="74"/>
      <c r="F448" s="74"/>
      <c r="G448" s="74"/>
      <c r="H448" s="74"/>
      <c r="I448" s="74"/>
      <c r="J448" s="74"/>
      <c r="K448" s="74"/>
      <c r="L448" s="57"/>
    </row>
    <row r="449" spans="2:12" ht="13.95" hidden="1" customHeight="1" x14ac:dyDescent="0.3">
      <c r="B449" s="12" t="s">
        <v>74</v>
      </c>
      <c r="C449" s="12" t="s">
        <v>123</v>
      </c>
      <c r="D449" s="74"/>
      <c r="E449" s="74"/>
      <c r="F449" s="74"/>
      <c r="G449" s="74"/>
      <c r="H449" s="74"/>
      <c r="I449" s="74"/>
      <c r="J449" s="74"/>
      <c r="K449" s="74"/>
      <c r="L449" s="57"/>
    </row>
    <row r="450" spans="2:12" ht="13.95" hidden="1" customHeight="1" x14ac:dyDescent="0.3">
      <c r="B450" s="12" t="s">
        <v>75</v>
      </c>
      <c r="C450" s="12" t="s">
        <v>123</v>
      </c>
      <c r="D450" s="74"/>
      <c r="E450" s="74"/>
      <c r="F450" s="74"/>
      <c r="G450" s="74"/>
      <c r="H450" s="74"/>
      <c r="I450" s="74"/>
      <c r="J450" s="74"/>
      <c r="K450" s="74"/>
      <c r="L450" s="57"/>
    </row>
    <row r="451" spans="2:12" ht="13.95" hidden="1" customHeight="1" x14ac:dyDescent="0.3">
      <c r="B451" s="12" t="s">
        <v>76</v>
      </c>
      <c r="C451" s="12" t="s">
        <v>123</v>
      </c>
      <c r="D451" s="74"/>
      <c r="E451" s="74"/>
      <c r="F451" s="74"/>
      <c r="G451" s="74"/>
      <c r="H451" s="74"/>
      <c r="I451" s="74"/>
      <c r="J451" s="74"/>
      <c r="K451" s="74"/>
      <c r="L451" s="57"/>
    </row>
    <row r="452" spans="2:12" ht="13.95" hidden="1" customHeight="1" x14ac:dyDescent="0.3">
      <c r="B452" s="12" t="s">
        <v>77</v>
      </c>
      <c r="C452" s="12" t="s">
        <v>123</v>
      </c>
      <c r="D452" s="74"/>
      <c r="E452" s="74"/>
      <c r="F452" s="74"/>
      <c r="G452" s="74"/>
      <c r="H452" s="74"/>
      <c r="I452" s="74"/>
      <c r="J452" s="74"/>
      <c r="K452" s="74"/>
      <c r="L452" s="57"/>
    </row>
    <row r="453" spans="2:12" ht="13.95" hidden="1" customHeight="1" x14ac:dyDescent="0.3">
      <c r="B453" s="12" t="s">
        <v>78</v>
      </c>
      <c r="C453" s="12" t="s">
        <v>123</v>
      </c>
      <c r="D453" s="74"/>
      <c r="E453" s="74"/>
      <c r="F453" s="74"/>
      <c r="G453" s="74"/>
      <c r="H453" s="74"/>
      <c r="I453" s="74"/>
      <c r="J453" s="74"/>
      <c r="K453" s="74"/>
      <c r="L453" s="57"/>
    </row>
    <row r="454" spans="2:12" ht="13.95" hidden="1" customHeight="1" x14ac:dyDescent="0.3">
      <c r="B454" s="12" t="s">
        <v>79</v>
      </c>
      <c r="C454" s="12" t="s">
        <v>123</v>
      </c>
      <c r="D454" s="74"/>
      <c r="E454" s="74"/>
      <c r="F454" s="74"/>
      <c r="G454" s="74"/>
      <c r="H454" s="74"/>
      <c r="I454" s="74"/>
      <c r="J454" s="74"/>
      <c r="K454" s="74"/>
      <c r="L454" s="57"/>
    </row>
    <row r="455" spans="2:12" ht="13.95" hidden="1" customHeight="1" x14ac:dyDescent="0.3">
      <c r="B455" s="12" t="s">
        <v>80</v>
      </c>
      <c r="C455" s="12" t="s">
        <v>123</v>
      </c>
      <c r="D455" s="74"/>
      <c r="E455" s="74"/>
      <c r="F455" s="74"/>
      <c r="G455" s="74"/>
      <c r="H455" s="74"/>
      <c r="I455" s="74"/>
      <c r="J455" s="74"/>
      <c r="K455" s="74"/>
      <c r="L455" s="57"/>
    </row>
    <row r="456" spans="2:12" ht="13.95" hidden="1" customHeight="1" x14ac:dyDescent="0.3">
      <c r="B456" s="12" t="s">
        <v>81</v>
      </c>
      <c r="C456" s="12" t="s">
        <v>123</v>
      </c>
      <c r="D456" s="74"/>
      <c r="E456" s="74"/>
      <c r="F456" s="74"/>
      <c r="G456" s="74"/>
      <c r="H456" s="74"/>
      <c r="I456" s="74"/>
      <c r="J456" s="74"/>
      <c r="K456" s="74"/>
      <c r="L456" s="57"/>
    </row>
    <row r="457" spans="2:12" ht="13.95" hidden="1" customHeight="1" x14ac:dyDescent="0.3">
      <c r="B457" s="12" t="s">
        <v>82</v>
      </c>
      <c r="C457" s="12" t="s">
        <v>123</v>
      </c>
      <c r="D457" s="74"/>
      <c r="E457" s="74"/>
      <c r="F457" s="74"/>
      <c r="G457" s="74"/>
      <c r="H457" s="74"/>
      <c r="I457" s="74"/>
      <c r="J457" s="74"/>
      <c r="K457" s="74"/>
      <c r="L457" s="57"/>
    </row>
    <row r="458" spans="2:12" ht="13.95" hidden="1" customHeight="1" x14ac:dyDescent="0.3">
      <c r="B458" s="12" t="s">
        <v>83</v>
      </c>
      <c r="C458" s="12" t="s">
        <v>123</v>
      </c>
      <c r="D458" s="74"/>
      <c r="E458" s="74"/>
      <c r="F458" s="74"/>
      <c r="G458" s="74"/>
      <c r="H458" s="74"/>
      <c r="I458" s="74"/>
      <c r="J458" s="74"/>
      <c r="K458" s="74"/>
      <c r="L458" s="57"/>
    </row>
    <row r="459" spans="2:12" ht="13.95" hidden="1" customHeight="1" x14ac:dyDescent="0.3">
      <c r="B459" s="12" t="s">
        <v>84</v>
      </c>
      <c r="C459" s="12" t="s">
        <v>123</v>
      </c>
      <c r="D459" s="74"/>
      <c r="E459" s="74"/>
      <c r="F459" s="74"/>
      <c r="G459" s="74"/>
      <c r="H459" s="74"/>
      <c r="I459" s="74"/>
      <c r="J459" s="74"/>
      <c r="K459" s="74"/>
      <c r="L459" s="57"/>
    </row>
    <row r="460" spans="2:12" ht="13.95" hidden="1" customHeight="1" x14ac:dyDescent="0.3">
      <c r="B460" s="12" t="s">
        <v>85</v>
      </c>
      <c r="C460" s="12" t="s">
        <v>123</v>
      </c>
      <c r="D460" s="74"/>
      <c r="E460" s="74"/>
      <c r="F460" s="74"/>
      <c r="G460" s="74"/>
      <c r="H460" s="74"/>
      <c r="I460" s="74"/>
      <c r="J460" s="74"/>
      <c r="K460" s="74"/>
      <c r="L460" s="57"/>
    </row>
    <row r="461" spans="2:12" ht="13.95" hidden="1" customHeight="1" x14ac:dyDescent="0.3">
      <c r="B461" s="12" t="s">
        <v>86</v>
      </c>
      <c r="C461" s="12" t="s">
        <v>123</v>
      </c>
      <c r="D461" s="74"/>
      <c r="E461" s="74"/>
      <c r="F461" s="74"/>
      <c r="G461" s="74"/>
      <c r="H461" s="74"/>
      <c r="I461" s="74"/>
      <c r="J461" s="74"/>
      <c r="K461" s="74"/>
      <c r="L461" s="57"/>
    </row>
    <row r="462" spans="2:12" ht="13.95" hidden="1" customHeight="1" x14ac:dyDescent="0.3">
      <c r="B462" s="12" t="s">
        <v>87</v>
      </c>
      <c r="C462" s="12" t="s">
        <v>123</v>
      </c>
      <c r="D462" s="74"/>
      <c r="E462" s="74"/>
      <c r="F462" s="74"/>
      <c r="G462" s="74"/>
      <c r="H462" s="74"/>
      <c r="I462" s="74"/>
      <c r="J462" s="74"/>
      <c r="K462" s="74"/>
      <c r="L462" s="57"/>
    </row>
    <row r="463" spans="2:12" ht="13.95" hidden="1" customHeight="1" x14ac:dyDescent="0.3">
      <c r="B463" s="12" t="s">
        <v>88</v>
      </c>
      <c r="C463" s="12" t="s">
        <v>123</v>
      </c>
      <c r="D463" s="74"/>
      <c r="E463" s="74"/>
      <c r="F463" s="74"/>
      <c r="G463" s="74"/>
      <c r="H463" s="74"/>
      <c r="I463" s="74"/>
      <c r="J463" s="74"/>
      <c r="K463" s="74"/>
      <c r="L463" s="57"/>
    </row>
    <row r="464" spans="2:12" ht="13.95" hidden="1" customHeight="1" x14ac:dyDescent="0.3">
      <c r="B464" s="12" t="s">
        <v>89</v>
      </c>
      <c r="C464" s="12" t="s">
        <v>123</v>
      </c>
      <c r="D464" s="74"/>
      <c r="E464" s="74"/>
      <c r="F464" s="74"/>
      <c r="G464" s="74"/>
      <c r="H464" s="74"/>
      <c r="I464" s="74"/>
      <c r="J464" s="74"/>
      <c r="K464" s="74"/>
      <c r="L464" s="57"/>
    </row>
    <row r="465" spans="2:12" ht="13.95" hidden="1" customHeight="1" x14ac:dyDescent="0.3">
      <c r="B465" s="12" t="s">
        <v>90</v>
      </c>
      <c r="C465" s="12" t="s">
        <v>123</v>
      </c>
      <c r="D465" s="74"/>
      <c r="E465" s="74"/>
      <c r="F465" s="74"/>
      <c r="G465" s="74"/>
      <c r="H465" s="74"/>
      <c r="I465" s="74"/>
      <c r="J465" s="74"/>
      <c r="K465" s="74"/>
      <c r="L465" s="57"/>
    </row>
    <row r="466" spans="2:12" ht="13.95" hidden="1" customHeight="1" x14ac:dyDescent="0.3">
      <c r="B466" s="12" t="s">
        <v>91</v>
      </c>
      <c r="C466" s="12" t="s">
        <v>123</v>
      </c>
      <c r="D466" s="74"/>
      <c r="E466" s="74"/>
      <c r="F466" s="74"/>
      <c r="G466" s="74"/>
      <c r="H466" s="74"/>
      <c r="I466" s="74"/>
      <c r="J466" s="74"/>
      <c r="K466" s="74"/>
      <c r="L466" s="57"/>
    </row>
    <row r="467" spans="2:12" ht="13.95" hidden="1" customHeight="1" x14ac:dyDescent="0.3">
      <c r="B467" s="12" t="s">
        <v>92</v>
      </c>
      <c r="C467" s="12" t="s">
        <v>123</v>
      </c>
      <c r="D467" s="74"/>
      <c r="E467" s="74"/>
      <c r="F467" s="74"/>
      <c r="G467" s="74"/>
      <c r="H467" s="74"/>
      <c r="I467" s="74"/>
      <c r="J467" s="74"/>
      <c r="K467" s="74"/>
      <c r="L467" s="57"/>
    </row>
    <row r="468" spans="2:12" ht="13.95" hidden="1" customHeight="1" x14ac:dyDescent="0.3">
      <c r="B468" s="12" t="s">
        <v>93</v>
      </c>
      <c r="C468" s="12" t="s">
        <v>123</v>
      </c>
      <c r="D468" s="74"/>
      <c r="E468" s="74"/>
      <c r="F468" s="74"/>
      <c r="G468" s="74"/>
      <c r="H468" s="74"/>
      <c r="I468" s="74"/>
      <c r="J468" s="74"/>
      <c r="K468" s="74"/>
      <c r="L468" s="57"/>
    </row>
    <row r="469" spans="2:12" ht="13.95" hidden="1" customHeight="1" x14ac:dyDescent="0.3">
      <c r="B469" s="12" t="s">
        <v>94</v>
      </c>
      <c r="C469" s="12" t="s">
        <v>123</v>
      </c>
      <c r="D469" s="74"/>
      <c r="E469" s="74"/>
      <c r="F469" s="74"/>
      <c r="G469" s="74"/>
      <c r="H469" s="74"/>
      <c r="I469" s="74"/>
      <c r="J469" s="74"/>
      <c r="K469" s="74"/>
      <c r="L469" s="57"/>
    </row>
    <row r="470" spans="2:12" ht="13.95" hidden="1" customHeight="1" x14ac:dyDescent="0.3">
      <c r="B470" s="12" t="s">
        <v>95</v>
      </c>
      <c r="C470" s="12" t="s">
        <v>123</v>
      </c>
      <c r="D470" s="74"/>
      <c r="E470" s="74"/>
      <c r="F470" s="74"/>
      <c r="G470" s="74"/>
      <c r="H470" s="74"/>
      <c r="I470" s="74"/>
      <c r="J470" s="74"/>
      <c r="K470" s="74"/>
      <c r="L470" s="57"/>
    </row>
    <row r="471" spans="2:12" ht="13.95" hidden="1" customHeight="1" x14ac:dyDescent="0.3">
      <c r="B471" s="12" t="s">
        <v>96</v>
      </c>
      <c r="C471" s="12" t="s">
        <v>123</v>
      </c>
      <c r="D471" s="74"/>
      <c r="E471" s="74"/>
      <c r="F471" s="74"/>
      <c r="G471" s="74"/>
      <c r="H471" s="74"/>
      <c r="I471" s="74"/>
      <c r="J471" s="74"/>
      <c r="K471" s="74"/>
      <c r="L471" s="57"/>
    </row>
    <row r="472" spans="2:12" ht="13.95" hidden="1" customHeight="1" x14ac:dyDescent="0.3">
      <c r="B472" s="12" t="s">
        <v>97</v>
      </c>
      <c r="C472" s="12" t="s">
        <v>123</v>
      </c>
      <c r="D472" s="74"/>
      <c r="E472" s="74"/>
      <c r="F472" s="74"/>
      <c r="G472" s="74"/>
      <c r="H472" s="74"/>
      <c r="I472" s="74"/>
      <c r="J472" s="74"/>
      <c r="K472" s="74"/>
      <c r="L472" s="57"/>
    </row>
    <row r="473" spans="2:12" ht="13.95" hidden="1" customHeight="1" x14ac:dyDescent="0.3">
      <c r="B473" s="12" t="s">
        <v>98</v>
      </c>
      <c r="C473" s="12" t="s">
        <v>123</v>
      </c>
      <c r="D473" s="74"/>
      <c r="E473" s="74"/>
      <c r="F473" s="74"/>
      <c r="G473" s="74"/>
      <c r="H473" s="74"/>
      <c r="I473" s="74"/>
      <c r="J473" s="74"/>
      <c r="K473" s="74"/>
      <c r="L473" s="57"/>
    </row>
    <row r="474" spans="2:12" ht="13.95" hidden="1" customHeight="1" x14ac:dyDescent="0.3">
      <c r="B474" s="12" t="s">
        <v>99</v>
      </c>
      <c r="C474" s="12" t="s">
        <v>123</v>
      </c>
      <c r="D474" s="74"/>
      <c r="E474" s="74"/>
      <c r="F474" s="74"/>
      <c r="G474" s="74"/>
      <c r="H474" s="74"/>
      <c r="I474" s="74"/>
      <c r="J474" s="74"/>
      <c r="K474" s="74"/>
      <c r="L474" s="57"/>
    </row>
    <row r="475" spans="2:12" ht="13.95" hidden="1" customHeight="1" x14ac:dyDescent="0.3">
      <c r="B475" s="12" t="s">
        <v>100</v>
      </c>
      <c r="C475" s="12" t="s">
        <v>123</v>
      </c>
      <c r="D475" s="74"/>
      <c r="E475" s="74"/>
      <c r="F475" s="74"/>
      <c r="G475" s="74"/>
      <c r="H475" s="74"/>
      <c r="I475" s="74"/>
      <c r="J475" s="74"/>
      <c r="K475" s="74"/>
      <c r="L475" s="57"/>
    </row>
    <row r="476" spans="2:12" ht="13.95" hidden="1" customHeight="1" x14ac:dyDescent="0.3">
      <c r="B476" s="12" t="s">
        <v>101</v>
      </c>
      <c r="C476" s="12" t="s">
        <v>123</v>
      </c>
      <c r="D476" s="74"/>
      <c r="E476" s="74"/>
      <c r="F476" s="74"/>
      <c r="G476" s="74"/>
      <c r="H476" s="74"/>
      <c r="I476" s="74"/>
      <c r="J476" s="74"/>
      <c r="K476" s="74"/>
      <c r="L476" s="57"/>
    </row>
    <row r="477" spans="2:12" ht="13.95" hidden="1" customHeight="1" x14ac:dyDescent="0.3">
      <c r="B477" s="12" t="s">
        <v>102</v>
      </c>
      <c r="C477" s="12" t="s">
        <v>123</v>
      </c>
      <c r="D477" s="74"/>
      <c r="E477" s="74"/>
      <c r="F477" s="74"/>
      <c r="G477" s="74"/>
      <c r="H477" s="74"/>
      <c r="I477" s="74"/>
      <c r="J477" s="74"/>
      <c r="K477" s="74"/>
      <c r="L477" s="57"/>
    </row>
    <row r="478" spans="2:12" ht="13.95" hidden="1" customHeight="1" x14ac:dyDescent="0.3">
      <c r="B478" s="12" t="s">
        <v>103</v>
      </c>
      <c r="C478" s="12" t="s">
        <v>123</v>
      </c>
      <c r="D478" s="74"/>
      <c r="E478" s="74"/>
      <c r="F478" s="74"/>
      <c r="G478" s="74"/>
      <c r="H478" s="74"/>
      <c r="I478" s="74"/>
      <c r="J478" s="74"/>
      <c r="K478" s="74"/>
      <c r="L478" s="57"/>
    </row>
    <row r="479" spans="2:12" ht="13.95" hidden="1" customHeight="1" x14ac:dyDescent="0.3">
      <c r="B479" s="12" t="s">
        <v>104</v>
      </c>
      <c r="C479" s="12" t="s">
        <v>123</v>
      </c>
      <c r="D479" s="74"/>
      <c r="E479" s="74"/>
      <c r="F479" s="74"/>
      <c r="G479" s="74"/>
      <c r="H479" s="74"/>
      <c r="I479" s="74"/>
      <c r="J479" s="74"/>
      <c r="K479" s="74"/>
      <c r="L479" s="57"/>
    </row>
    <row r="480" spans="2:12" ht="13.95" hidden="1" customHeight="1" x14ac:dyDescent="0.3">
      <c r="B480" s="12" t="s">
        <v>105</v>
      </c>
      <c r="C480" s="12" t="s">
        <v>123</v>
      </c>
      <c r="D480" s="74"/>
      <c r="E480" s="74"/>
      <c r="F480" s="74"/>
      <c r="G480" s="74"/>
      <c r="H480" s="74"/>
      <c r="I480" s="74"/>
      <c r="J480" s="74"/>
      <c r="K480" s="74"/>
      <c r="L480" s="57"/>
    </row>
    <row r="481" spans="2:12" ht="13.95" hidden="1" customHeight="1" x14ac:dyDescent="0.3">
      <c r="B481" s="12" t="s">
        <v>106</v>
      </c>
      <c r="C481" s="12" t="s">
        <v>123</v>
      </c>
      <c r="D481" s="74"/>
      <c r="E481" s="74"/>
      <c r="F481" s="74"/>
      <c r="G481" s="74"/>
      <c r="H481" s="74"/>
      <c r="I481" s="74"/>
      <c r="J481" s="74"/>
      <c r="K481" s="74"/>
      <c r="L481" s="57"/>
    </row>
    <row r="482" spans="2:12" ht="13.95" hidden="1" customHeight="1" x14ac:dyDescent="0.3">
      <c r="B482" s="12" t="s">
        <v>107</v>
      </c>
      <c r="C482" s="12" t="s">
        <v>123</v>
      </c>
      <c r="D482" s="74"/>
      <c r="E482" s="74"/>
      <c r="F482" s="74"/>
      <c r="G482" s="74"/>
      <c r="H482" s="74"/>
      <c r="I482" s="74"/>
      <c r="J482" s="74"/>
      <c r="K482" s="74"/>
      <c r="L482" s="57"/>
    </row>
    <row r="483" spans="2:12" ht="13.95" hidden="1" customHeight="1" x14ac:dyDescent="0.3">
      <c r="B483" s="12" t="s">
        <v>108</v>
      </c>
      <c r="C483" s="12" t="s">
        <v>123</v>
      </c>
      <c r="D483" s="74"/>
      <c r="E483" s="74"/>
      <c r="F483" s="74"/>
      <c r="G483" s="74"/>
      <c r="H483" s="74"/>
      <c r="I483" s="74"/>
      <c r="J483" s="74"/>
      <c r="K483" s="74"/>
      <c r="L483" s="57"/>
    </row>
    <row r="484" spans="2:12" ht="13.95" hidden="1" customHeight="1" x14ac:dyDescent="0.3">
      <c r="B484" s="12" t="s">
        <v>109</v>
      </c>
      <c r="C484" s="12" t="s">
        <v>123</v>
      </c>
      <c r="D484" s="74"/>
      <c r="E484" s="74"/>
      <c r="F484" s="74"/>
      <c r="G484" s="74"/>
      <c r="H484" s="74"/>
      <c r="I484" s="74"/>
      <c r="J484" s="74"/>
      <c r="K484" s="74"/>
      <c r="L484" s="57"/>
    </row>
    <row r="485" spans="2:12" ht="13.95" hidden="1" customHeight="1" x14ac:dyDescent="0.3">
      <c r="B485" s="12" t="s">
        <v>110</v>
      </c>
      <c r="C485" s="12" t="s">
        <v>123</v>
      </c>
      <c r="D485" s="74"/>
      <c r="E485" s="74"/>
      <c r="F485" s="74"/>
      <c r="G485" s="74"/>
      <c r="H485" s="74"/>
      <c r="I485" s="74"/>
      <c r="J485" s="74"/>
      <c r="K485" s="74"/>
      <c r="L485" s="57"/>
    </row>
    <row r="486" spans="2:12" ht="13.95" hidden="1" customHeight="1" x14ac:dyDescent="0.3">
      <c r="B486" s="12" t="s">
        <v>111</v>
      </c>
      <c r="C486" s="12" t="s">
        <v>123</v>
      </c>
      <c r="D486" s="74"/>
      <c r="E486" s="74"/>
      <c r="F486" s="74"/>
      <c r="G486" s="74"/>
      <c r="H486" s="74"/>
      <c r="I486" s="74"/>
      <c r="J486" s="74"/>
      <c r="K486" s="74"/>
      <c r="L486" s="57"/>
    </row>
    <row r="487" spans="2:12" ht="13.95" hidden="1" customHeight="1" x14ac:dyDescent="0.3">
      <c r="B487" s="12" t="s">
        <v>112</v>
      </c>
      <c r="C487" s="12" t="s">
        <v>123</v>
      </c>
      <c r="D487" s="74"/>
      <c r="E487" s="74"/>
      <c r="F487" s="74"/>
      <c r="G487" s="74"/>
      <c r="H487" s="74"/>
      <c r="I487" s="74"/>
      <c r="J487" s="74"/>
      <c r="K487" s="74"/>
      <c r="L487" s="57"/>
    </row>
    <row r="488" spans="2:12" ht="13.95" hidden="1" customHeight="1" x14ac:dyDescent="0.3">
      <c r="B488" s="12" t="s">
        <v>113</v>
      </c>
      <c r="C488" s="12" t="s">
        <v>123</v>
      </c>
      <c r="D488" s="74"/>
      <c r="E488" s="74"/>
      <c r="F488" s="74"/>
      <c r="G488" s="74"/>
      <c r="H488" s="74"/>
      <c r="I488" s="74"/>
      <c r="J488" s="74"/>
      <c r="K488" s="74"/>
      <c r="L488" s="57"/>
    </row>
    <row r="489" spans="2:12" ht="13.95" hidden="1" customHeight="1" x14ac:dyDescent="0.3">
      <c r="B489" s="12" t="s">
        <v>114</v>
      </c>
      <c r="C489" s="12" t="s">
        <v>123</v>
      </c>
      <c r="D489" s="74"/>
      <c r="E489" s="74"/>
      <c r="F489" s="74"/>
      <c r="G489" s="74"/>
      <c r="H489" s="74"/>
      <c r="I489" s="74"/>
      <c r="J489" s="74"/>
      <c r="K489" s="74"/>
      <c r="L489" s="57"/>
    </row>
    <row r="490" spans="2:12" ht="13.95" hidden="1" customHeight="1" x14ac:dyDescent="0.3">
      <c r="B490" s="12" t="s">
        <v>115</v>
      </c>
      <c r="C490" s="12" t="s">
        <v>123</v>
      </c>
      <c r="D490" s="74"/>
      <c r="E490" s="74"/>
      <c r="F490" s="74"/>
      <c r="G490" s="74"/>
      <c r="H490" s="74"/>
      <c r="I490" s="74"/>
      <c r="J490" s="74"/>
      <c r="K490" s="74"/>
      <c r="L490" s="57"/>
    </row>
    <row r="491" spans="2:12" ht="13.95" hidden="1" customHeight="1" x14ac:dyDescent="0.3">
      <c r="B491" s="12" t="s">
        <v>62</v>
      </c>
      <c r="C491" s="12" t="s">
        <v>124</v>
      </c>
      <c r="D491" s="74"/>
      <c r="E491" s="74"/>
      <c r="F491" s="74"/>
      <c r="G491" s="74"/>
      <c r="H491" s="74"/>
      <c r="I491" s="74"/>
      <c r="J491" s="74"/>
      <c r="K491" s="74"/>
      <c r="L491" s="57"/>
    </row>
    <row r="492" spans="2:12" ht="13.95" hidden="1" customHeight="1" x14ac:dyDescent="0.3">
      <c r="B492" s="12" t="s">
        <v>64</v>
      </c>
      <c r="C492" s="12" t="s">
        <v>124</v>
      </c>
      <c r="D492" s="74"/>
      <c r="E492" s="74"/>
      <c r="F492" s="74"/>
      <c r="G492" s="74"/>
      <c r="H492" s="74"/>
      <c r="I492" s="74"/>
      <c r="J492" s="74"/>
      <c r="K492" s="74"/>
      <c r="L492" s="57"/>
    </row>
    <row r="493" spans="2:12" ht="13.95" hidden="1" customHeight="1" x14ac:dyDescent="0.3">
      <c r="B493" s="12" t="s">
        <v>65</v>
      </c>
      <c r="C493" s="12" t="s">
        <v>124</v>
      </c>
      <c r="D493" s="74"/>
      <c r="E493" s="74"/>
      <c r="F493" s="74"/>
      <c r="G493" s="74"/>
      <c r="H493" s="74"/>
      <c r="I493" s="74"/>
      <c r="J493" s="74"/>
      <c r="K493" s="74"/>
      <c r="L493" s="57"/>
    </row>
    <row r="494" spans="2:12" ht="13.95" hidden="1" customHeight="1" x14ac:dyDescent="0.3">
      <c r="B494" s="12" t="s">
        <v>66</v>
      </c>
      <c r="C494" s="12" t="s">
        <v>124</v>
      </c>
      <c r="D494" s="74"/>
      <c r="E494" s="74"/>
      <c r="F494" s="74"/>
      <c r="G494" s="74"/>
      <c r="H494" s="74"/>
      <c r="I494" s="74"/>
      <c r="J494" s="74"/>
      <c r="K494" s="74"/>
      <c r="L494" s="57"/>
    </row>
    <row r="495" spans="2:12" ht="13.95" hidden="1" customHeight="1" x14ac:dyDescent="0.3">
      <c r="B495" s="12" t="s">
        <v>67</v>
      </c>
      <c r="C495" s="12" t="s">
        <v>124</v>
      </c>
      <c r="D495" s="74"/>
      <c r="E495" s="74"/>
      <c r="F495" s="74"/>
      <c r="G495" s="74"/>
      <c r="H495" s="74"/>
      <c r="I495" s="74"/>
      <c r="J495" s="74"/>
      <c r="K495" s="74"/>
      <c r="L495" s="57"/>
    </row>
    <row r="496" spans="2:12" ht="13.95" hidden="1" customHeight="1" x14ac:dyDescent="0.3">
      <c r="B496" s="12" t="s">
        <v>68</v>
      </c>
      <c r="C496" s="12" t="s">
        <v>124</v>
      </c>
      <c r="D496" s="74"/>
      <c r="E496" s="74"/>
      <c r="F496" s="74"/>
      <c r="G496" s="74"/>
      <c r="H496" s="74"/>
      <c r="I496" s="74"/>
      <c r="J496" s="74"/>
      <c r="K496" s="74"/>
      <c r="L496" s="57"/>
    </row>
    <row r="497" spans="2:12" ht="13.95" hidden="1" customHeight="1" x14ac:dyDescent="0.3">
      <c r="B497" s="12" t="s">
        <v>69</v>
      </c>
      <c r="C497" s="12" t="s">
        <v>124</v>
      </c>
      <c r="D497" s="74"/>
      <c r="E497" s="74"/>
      <c r="F497" s="74"/>
      <c r="G497" s="74"/>
      <c r="H497" s="74"/>
      <c r="I497" s="74"/>
      <c r="J497" s="74"/>
      <c r="K497" s="74"/>
      <c r="L497" s="57"/>
    </row>
    <row r="498" spans="2:12" ht="13.95" hidden="1" customHeight="1" x14ac:dyDescent="0.3">
      <c r="B498" s="12" t="s">
        <v>70</v>
      </c>
      <c r="C498" s="12" t="s">
        <v>124</v>
      </c>
      <c r="D498" s="74"/>
      <c r="E498" s="74"/>
      <c r="F498" s="74"/>
      <c r="G498" s="74"/>
      <c r="H498" s="74"/>
      <c r="I498" s="74"/>
      <c r="J498" s="74"/>
      <c r="K498" s="74"/>
      <c r="L498" s="57"/>
    </row>
    <row r="499" spans="2:12" ht="13.95" hidden="1" customHeight="1" x14ac:dyDescent="0.3">
      <c r="B499" s="12" t="s">
        <v>71</v>
      </c>
      <c r="C499" s="12" t="s">
        <v>124</v>
      </c>
      <c r="D499" s="74"/>
      <c r="E499" s="74"/>
      <c r="F499" s="74"/>
      <c r="G499" s="74"/>
      <c r="H499" s="74"/>
      <c r="I499" s="74"/>
      <c r="J499" s="74"/>
      <c r="K499" s="74"/>
      <c r="L499" s="57"/>
    </row>
    <row r="500" spans="2:12" ht="13.95" hidden="1" customHeight="1" x14ac:dyDescent="0.3">
      <c r="B500" s="12" t="s">
        <v>72</v>
      </c>
      <c r="C500" s="12" t="s">
        <v>124</v>
      </c>
      <c r="D500" s="74"/>
      <c r="E500" s="74"/>
      <c r="F500" s="74"/>
      <c r="G500" s="74"/>
      <c r="H500" s="74"/>
      <c r="I500" s="74"/>
      <c r="J500" s="74"/>
      <c r="K500" s="74"/>
      <c r="L500" s="57"/>
    </row>
    <row r="501" spans="2:12" ht="13.95" hidden="1" customHeight="1" x14ac:dyDescent="0.3">
      <c r="B501" s="12" t="s">
        <v>73</v>
      </c>
      <c r="C501" s="12" t="s">
        <v>124</v>
      </c>
      <c r="D501" s="74"/>
      <c r="E501" s="74"/>
      <c r="F501" s="74"/>
      <c r="G501" s="74"/>
      <c r="H501" s="74"/>
      <c r="I501" s="74"/>
      <c r="J501" s="74"/>
      <c r="K501" s="74"/>
      <c r="L501" s="57"/>
    </row>
    <row r="502" spans="2:12" ht="13.95" hidden="1" customHeight="1" x14ac:dyDescent="0.3">
      <c r="B502" s="12" t="s">
        <v>74</v>
      </c>
      <c r="C502" s="12" t="s">
        <v>124</v>
      </c>
      <c r="D502" s="74"/>
      <c r="E502" s="74"/>
      <c r="F502" s="74"/>
      <c r="G502" s="74"/>
      <c r="H502" s="74"/>
      <c r="I502" s="74"/>
      <c r="J502" s="74"/>
      <c r="K502" s="74"/>
      <c r="L502" s="57"/>
    </row>
    <row r="503" spans="2:12" ht="13.95" hidden="1" customHeight="1" x14ac:dyDescent="0.3">
      <c r="B503" s="12" t="s">
        <v>75</v>
      </c>
      <c r="C503" s="12" t="s">
        <v>124</v>
      </c>
      <c r="D503" s="74"/>
      <c r="E503" s="74"/>
      <c r="F503" s="74"/>
      <c r="G503" s="74"/>
      <c r="H503" s="74"/>
      <c r="I503" s="74"/>
      <c r="J503" s="74"/>
      <c r="K503" s="74"/>
      <c r="L503" s="57"/>
    </row>
    <row r="504" spans="2:12" ht="13.95" hidden="1" customHeight="1" x14ac:dyDescent="0.3">
      <c r="B504" s="12" t="s">
        <v>76</v>
      </c>
      <c r="C504" s="12" t="s">
        <v>124</v>
      </c>
      <c r="D504" s="74"/>
      <c r="E504" s="74"/>
      <c r="F504" s="74"/>
      <c r="G504" s="74"/>
      <c r="H504" s="74"/>
      <c r="I504" s="74"/>
      <c r="J504" s="74"/>
      <c r="K504" s="74"/>
      <c r="L504" s="57"/>
    </row>
    <row r="505" spans="2:12" ht="13.95" hidden="1" customHeight="1" x14ac:dyDescent="0.3">
      <c r="B505" s="12" t="s">
        <v>77</v>
      </c>
      <c r="C505" s="12" t="s">
        <v>124</v>
      </c>
      <c r="D505" s="74"/>
      <c r="E505" s="74"/>
      <c r="F505" s="74"/>
      <c r="G505" s="74"/>
      <c r="H505" s="74"/>
      <c r="I505" s="74"/>
      <c r="J505" s="74"/>
      <c r="K505" s="74"/>
      <c r="L505" s="57"/>
    </row>
    <row r="506" spans="2:12" ht="13.95" hidden="1" customHeight="1" x14ac:dyDescent="0.3">
      <c r="B506" s="12" t="s">
        <v>78</v>
      </c>
      <c r="C506" s="12" t="s">
        <v>124</v>
      </c>
      <c r="D506" s="74"/>
      <c r="E506" s="74"/>
      <c r="F506" s="74"/>
      <c r="G506" s="74"/>
      <c r="H506" s="74"/>
      <c r="I506" s="74"/>
      <c r="J506" s="74"/>
      <c r="K506" s="74"/>
      <c r="L506" s="57"/>
    </row>
    <row r="507" spans="2:12" ht="13.95" hidden="1" customHeight="1" x14ac:dyDescent="0.3">
      <c r="B507" s="12" t="s">
        <v>79</v>
      </c>
      <c r="C507" s="12" t="s">
        <v>124</v>
      </c>
      <c r="D507" s="74"/>
      <c r="E507" s="74"/>
      <c r="F507" s="74"/>
      <c r="G507" s="74"/>
      <c r="H507" s="74"/>
      <c r="I507" s="74"/>
      <c r="J507" s="74"/>
      <c r="K507" s="74"/>
      <c r="L507" s="57"/>
    </row>
    <row r="508" spans="2:12" ht="13.95" hidden="1" customHeight="1" x14ac:dyDescent="0.3">
      <c r="B508" s="12" t="s">
        <v>80</v>
      </c>
      <c r="C508" s="12" t="s">
        <v>124</v>
      </c>
      <c r="D508" s="74"/>
      <c r="E508" s="74"/>
      <c r="F508" s="74"/>
      <c r="G508" s="74"/>
      <c r="H508" s="74"/>
      <c r="I508" s="74"/>
      <c r="J508" s="74"/>
      <c r="K508" s="74"/>
      <c r="L508" s="57"/>
    </row>
    <row r="509" spans="2:12" ht="13.95" hidden="1" customHeight="1" x14ac:dyDescent="0.3">
      <c r="B509" s="12" t="s">
        <v>81</v>
      </c>
      <c r="C509" s="12" t="s">
        <v>124</v>
      </c>
      <c r="D509" s="74"/>
      <c r="E509" s="74"/>
      <c r="F509" s="74"/>
      <c r="G509" s="74"/>
      <c r="H509" s="74"/>
      <c r="I509" s="74"/>
      <c r="J509" s="74"/>
      <c r="K509" s="74"/>
      <c r="L509" s="57"/>
    </row>
    <row r="510" spans="2:12" ht="13.95" hidden="1" customHeight="1" x14ac:dyDescent="0.3">
      <c r="B510" s="12" t="s">
        <v>82</v>
      </c>
      <c r="C510" s="12" t="s">
        <v>124</v>
      </c>
      <c r="D510" s="74"/>
      <c r="E510" s="74"/>
      <c r="F510" s="74"/>
      <c r="G510" s="74"/>
      <c r="H510" s="74"/>
      <c r="I510" s="74"/>
      <c r="J510" s="74"/>
      <c r="K510" s="74"/>
      <c r="L510" s="57"/>
    </row>
    <row r="511" spans="2:12" ht="13.95" hidden="1" customHeight="1" x14ac:dyDescent="0.3">
      <c r="B511" s="12" t="s">
        <v>83</v>
      </c>
      <c r="C511" s="12" t="s">
        <v>124</v>
      </c>
      <c r="D511" s="74"/>
      <c r="E511" s="74"/>
      <c r="F511" s="74"/>
      <c r="G511" s="74"/>
      <c r="H511" s="74"/>
      <c r="I511" s="74"/>
      <c r="J511" s="74"/>
      <c r="K511" s="74"/>
      <c r="L511" s="57"/>
    </row>
    <row r="512" spans="2:12" ht="13.95" hidden="1" customHeight="1" x14ac:dyDescent="0.3">
      <c r="B512" s="12" t="s">
        <v>84</v>
      </c>
      <c r="C512" s="12" t="s">
        <v>124</v>
      </c>
      <c r="D512" s="74"/>
      <c r="E512" s="74"/>
      <c r="F512" s="74"/>
      <c r="G512" s="74"/>
      <c r="H512" s="74"/>
      <c r="I512" s="74"/>
      <c r="J512" s="74"/>
      <c r="K512" s="74"/>
      <c r="L512" s="57"/>
    </row>
    <row r="513" spans="2:12" ht="13.95" hidden="1" customHeight="1" x14ac:dyDescent="0.3">
      <c r="B513" s="12" t="s">
        <v>85</v>
      </c>
      <c r="C513" s="12" t="s">
        <v>124</v>
      </c>
      <c r="D513" s="74"/>
      <c r="E513" s="74"/>
      <c r="F513" s="74"/>
      <c r="G513" s="74"/>
      <c r="H513" s="74"/>
      <c r="I513" s="74"/>
      <c r="J513" s="74"/>
      <c r="K513" s="74"/>
      <c r="L513" s="57"/>
    </row>
    <row r="514" spans="2:12" ht="13.95" hidden="1" customHeight="1" x14ac:dyDescent="0.3">
      <c r="B514" s="12" t="s">
        <v>86</v>
      </c>
      <c r="C514" s="12" t="s">
        <v>124</v>
      </c>
      <c r="D514" s="74"/>
      <c r="E514" s="74"/>
      <c r="F514" s="74"/>
      <c r="G514" s="74"/>
      <c r="H514" s="74"/>
      <c r="I514" s="74"/>
      <c r="J514" s="74"/>
      <c r="K514" s="74"/>
      <c r="L514" s="57"/>
    </row>
    <row r="515" spans="2:12" ht="13.95" hidden="1" customHeight="1" x14ac:dyDescent="0.3">
      <c r="B515" s="12" t="s">
        <v>87</v>
      </c>
      <c r="C515" s="12" t="s">
        <v>124</v>
      </c>
      <c r="D515" s="74"/>
      <c r="E515" s="74"/>
      <c r="F515" s="74"/>
      <c r="G515" s="74"/>
      <c r="H515" s="74"/>
      <c r="I515" s="74"/>
      <c r="J515" s="74"/>
      <c r="K515" s="74"/>
      <c r="L515" s="57"/>
    </row>
    <row r="516" spans="2:12" ht="13.95" hidden="1" customHeight="1" x14ac:dyDescent="0.3">
      <c r="B516" s="12" t="s">
        <v>88</v>
      </c>
      <c r="C516" s="12" t="s">
        <v>124</v>
      </c>
      <c r="D516" s="74"/>
      <c r="E516" s="74"/>
      <c r="F516" s="74"/>
      <c r="G516" s="74"/>
      <c r="H516" s="74"/>
      <c r="I516" s="74"/>
      <c r="J516" s="74"/>
      <c r="K516" s="74"/>
      <c r="L516" s="57"/>
    </row>
    <row r="517" spans="2:12" ht="13.95" hidden="1" customHeight="1" x14ac:dyDescent="0.3">
      <c r="B517" s="12" t="s">
        <v>89</v>
      </c>
      <c r="C517" s="12" t="s">
        <v>124</v>
      </c>
      <c r="D517" s="74"/>
      <c r="E517" s="74"/>
      <c r="F517" s="74"/>
      <c r="G517" s="74"/>
      <c r="H517" s="74"/>
      <c r="I517" s="74"/>
      <c r="J517" s="74"/>
      <c r="K517" s="74"/>
      <c r="L517" s="57"/>
    </row>
    <row r="518" spans="2:12" ht="13.95" hidden="1" customHeight="1" x14ac:dyDescent="0.3">
      <c r="B518" s="12" t="s">
        <v>90</v>
      </c>
      <c r="C518" s="12" t="s">
        <v>124</v>
      </c>
      <c r="D518" s="74"/>
      <c r="E518" s="74"/>
      <c r="F518" s="74"/>
      <c r="G518" s="74"/>
      <c r="H518" s="74"/>
      <c r="I518" s="74"/>
      <c r="J518" s="74"/>
      <c r="K518" s="74"/>
      <c r="L518" s="57"/>
    </row>
    <row r="519" spans="2:12" ht="13.95" hidden="1" customHeight="1" x14ac:dyDescent="0.3">
      <c r="B519" s="12" t="s">
        <v>91</v>
      </c>
      <c r="C519" s="12" t="s">
        <v>124</v>
      </c>
      <c r="D519" s="74"/>
      <c r="E519" s="74"/>
      <c r="F519" s="74"/>
      <c r="G519" s="74"/>
      <c r="H519" s="74"/>
      <c r="I519" s="74"/>
      <c r="J519" s="74"/>
      <c r="K519" s="74"/>
      <c r="L519" s="57"/>
    </row>
    <row r="520" spans="2:12" ht="13.95" hidden="1" customHeight="1" x14ac:dyDescent="0.3">
      <c r="B520" s="12" t="s">
        <v>92</v>
      </c>
      <c r="C520" s="12" t="s">
        <v>124</v>
      </c>
      <c r="D520" s="74"/>
      <c r="E520" s="74"/>
      <c r="F520" s="74"/>
      <c r="G520" s="74"/>
      <c r="H520" s="74"/>
      <c r="I520" s="74"/>
      <c r="J520" s="74"/>
      <c r="K520" s="74"/>
      <c r="L520" s="57"/>
    </row>
    <row r="521" spans="2:12" ht="13.95" hidden="1" customHeight="1" x14ac:dyDescent="0.3">
      <c r="B521" s="12" t="s">
        <v>93</v>
      </c>
      <c r="C521" s="12" t="s">
        <v>124</v>
      </c>
      <c r="D521" s="74"/>
      <c r="E521" s="74"/>
      <c r="F521" s="74"/>
      <c r="G521" s="74"/>
      <c r="H521" s="74"/>
      <c r="I521" s="74"/>
      <c r="J521" s="74"/>
      <c r="K521" s="74"/>
      <c r="L521" s="57"/>
    </row>
    <row r="522" spans="2:12" ht="13.95" hidden="1" customHeight="1" x14ac:dyDescent="0.3">
      <c r="B522" s="12" t="s">
        <v>94</v>
      </c>
      <c r="C522" s="12" t="s">
        <v>124</v>
      </c>
      <c r="D522" s="74"/>
      <c r="E522" s="74"/>
      <c r="F522" s="74"/>
      <c r="G522" s="74"/>
      <c r="H522" s="74"/>
      <c r="I522" s="74"/>
      <c r="J522" s="74"/>
      <c r="K522" s="74"/>
      <c r="L522" s="57"/>
    </row>
    <row r="523" spans="2:12" ht="13.95" hidden="1" customHeight="1" x14ac:dyDescent="0.3">
      <c r="B523" s="12" t="s">
        <v>95</v>
      </c>
      <c r="C523" s="12" t="s">
        <v>124</v>
      </c>
      <c r="D523" s="74"/>
      <c r="E523" s="74"/>
      <c r="F523" s="74"/>
      <c r="G523" s="74"/>
      <c r="H523" s="74"/>
      <c r="I523" s="74"/>
      <c r="J523" s="74"/>
      <c r="K523" s="74"/>
      <c r="L523" s="57"/>
    </row>
    <row r="524" spans="2:12" ht="13.95" hidden="1" customHeight="1" x14ac:dyDescent="0.3">
      <c r="B524" s="12" t="s">
        <v>96</v>
      </c>
      <c r="C524" s="12" t="s">
        <v>124</v>
      </c>
      <c r="D524" s="74"/>
      <c r="E524" s="74"/>
      <c r="F524" s="74"/>
      <c r="G524" s="74"/>
      <c r="H524" s="74"/>
      <c r="I524" s="74"/>
      <c r="J524" s="74"/>
      <c r="K524" s="74"/>
      <c r="L524" s="57"/>
    </row>
    <row r="525" spans="2:12" ht="13.95" hidden="1" customHeight="1" x14ac:dyDescent="0.3">
      <c r="B525" s="12" t="s">
        <v>97</v>
      </c>
      <c r="C525" s="12" t="s">
        <v>124</v>
      </c>
      <c r="D525" s="74"/>
      <c r="E525" s="74"/>
      <c r="F525" s="74"/>
      <c r="G525" s="74"/>
      <c r="H525" s="74"/>
      <c r="I525" s="74"/>
      <c r="J525" s="74"/>
      <c r="K525" s="74"/>
      <c r="L525" s="57"/>
    </row>
    <row r="526" spans="2:12" ht="13.95" hidden="1" customHeight="1" x14ac:dyDescent="0.3">
      <c r="B526" s="12" t="s">
        <v>98</v>
      </c>
      <c r="C526" s="12" t="s">
        <v>124</v>
      </c>
      <c r="D526" s="74"/>
      <c r="E526" s="74"/>
      <c r="F526" s="74"/>
      <c r="G526" s="74"/>
      <c r="H526" s="74"/>
      <c r="I526" s="74"/>
      <c r="J526" s="74"/>
      <c r="K526" s="74"/>
      <c r="L526" s="57"/>
    </row>
    <row r="527" spans="2:12" ht="13.95" hidden="1" customHeight="1" x14ac:dyDescent="0.3">
      <c r="B527" s="12" t="s">
        <v>99</v>
      </c>
      <c r="C527" s="12" t="s">
        <v>124</v>
      </c>
      <c r="D527" s="74"/>
      <c r="E527" s="74"/>
      <c r="F527" s="74"/>
      <c r="G527" s="74"/>
      <c r="H527" s="74"/>
      <c r="I527" s="74"/>
      <c r="J527" s="74"/>
      <c r="K527" s="74"/>
      <c r="L527" s="57"/>
    </row>
    <row r="528" spans="2:12" ht="13.95" hidden="1" customHeight="1" x14ac:dyDescent="0.3">
      <c r="B528" s="12" t="s">
        <v>100</v>
      </c>
      <c r="C528" s="12" t="s">
        <v>124</v>
      </c>
      <c r="D528" s="74"/>
      <c r="E528" s="74"/>
      <c r="F528" s="74"/>
      <c r="G528" s="74"/>
      <c r="H528" s="74"/>
      <c r="I528" s="74"/>
      <c r="J528" s="74"/>
      <c r="K528" s="74"/>
      <c r="L528" s="57"/>
    </row>
    <row r="529" spans="2:12" ht="13.95" hidden="1" customHeight="1" x14ac:dyDescent="0.3">
      <c r="B529" s="12" t="s">
        <v>101</v>
      </c>
      <c r="C529" s="12" t="s">
        <v>124</v>
      </c>
      <c r="D529" s="74"/>
      <c r="E529" s="74"/>
      <c r="F529" s="74"/>
      <c r="G529" s="74"/>
      <c r="H529" s="74"/>
      <c r="I529" s="74"/>
      <c r="J529" s="74"/>
      <c r="K529" s="74"/>
      <c r="L529" s="57"/>
    </row>
    <row r="530" spans="2:12" ht="13.95" hidden="1" customHeight="1" x14ac:dyDescent="0.3">
      <c r="B530" s="12" t="s">
        <v>102</v>
      </c>
      <c r="C530" s="12" t="s">
        <v>124</v>
      </c>
      <c r="D530" s="74"/>
      <c r="E530" s="74"/>
      <c r="F530" s="74"/>
      <c r="G530" s="74"/>
      <c r="H530" s="74"/>
      <c r="I530" s="74"/>
      <c r="J530" s="74"/>
      <c r="K530" s="74"/>
      <c r="L530" s="57"/>
    </row>
    <row r="531" spans="2:12" ht="13.95" hidden="1" customHeight="1" x14ac:dyDescent="0.3">
      <c r="B531" s="12" t="s">
        <v>103</v>
      </c>
      <c r="C531" s="12" t="s">
        <v>124</v>
      </c>
      <c r="D531" s="74"/>
      <c r="E531" s="74"/>
      <c r="F531" s="74"/>
      <c r="G531" s="74"/>
      <c r="H531" s="74"/>
      <c r="I531" s="74"/>
      <c r="J531" s="74"/>
      <c r="K531" s="74"/>
      <c r="L531" s="57"/>
    </row>
    <row r="532" spans="2:12" ht="13.95" hidden="1" customHeight="1" x14ac:dyDescent="0.3">
      <c r="B532" s="12" t="s">
        <v>104</v>
      </c>
      <c r="C532" s="12" t="s">
        <v>124</v>
      </c>
      <c r="D532" s="74"/>
      <c r="E532" s="74"/>
      <c r="F532" s="74"/>
      <c r="G532" s="74"/>
      <c r="H532" s="74"/>
      <c r="I532" s="74"/>
      <c r="J532" s="74"/>
      <c r="K532" s="74"/>
      <c r="L532" s="57"/>
    </row>
    <row r="533" spans="2:12" ht="13.95" hidden="1" customHeight="1" x14ac:dyDescent="0.3">
      <c r="B533" s="12" t="s">
        <v>105</v>
      </c>
      <c r="C533" s="12" t="s">
        <v>124</v>
      </c>
      <c r="D533" s="74"/>
      <c r="E533" s="74"/>
      <c r="F533" s="74"/>
      <c r="G533" s="74"/>
      <c r="H533" s="74"/>
      <c r="I533" s="74"/>
      <c r="J533" s="74"/>
      <c r="K533" s="74"/>
      <c r="L533" s="57"/>
    </row>
    <row r="534" spans="2:12" ht="13.95" hidden="1" customHeight="1" x14ac:dyDescent="0.3">
      <c r="B534" s="12" t="s">
        <v>106</v>
      </c>
      <c r="C534" s="12" t="s">
        <v>124</v>
      </c>
      <c r="D534" s="74"/>
      <c r="E534" s="74"/>
      <c r="F534" s="74"/>
      <c r="G534" s="74"/>
      <c r="H534" s="74"/>
      <c r="I534" s="74"/>
      <c r="J534" s="74"/>
      <c r="K534" s="74"/>
      <c r="L534" s="57"/>
    </row>
    <row r="535" spans="2:12" ht="13.95" hidden="1" customHeight="1" x14ac:dyDescent="0.3">
      <c r="B535" s="12" t="s">
        <v>107</v>
      </c>
      <c r="C535" s="12" t="s">
        <v>124</v>
      </c>
      <c r="D535" s="74"/>
      <c r="E535" s="74"/>
      <c r="F535" s="74"/>
      <c r="G535" s="74"/>
      <c r="H535" s="74"/>
      <c r="I535" s="74"/>
      <c r="J535" s="74"/>
      <c r="K535" s="74"/>
      <c r="L535" s="57"/>
    </row>
    <row r="536" spans="2:12" ht="13.95" hidden="1" customHeight="1" x14ac:dyDescent="0.3">
      <c r="B536" s="12" t="s">
        <v>108</v>
      </c>
      <c r="C536" s="12" t="s">
        <v>124</v>
      </c>
      <c r="D536" s="74"/>
      <c r="E536" s="74"/>
      <c r="F536" s="74"/>
      <c r="G536" s="74"/>
      <c r="H536" s="74"/>
      <c r="I536" s="74"/>
      <c r="J536" s="74"/>
      <c r="K536" s="74"/>
      <c r="L536" s="57"/>
    </row>
    <row r="537" spans="2:12" ht="13.95" hidden="1" customHeight="1" x14ac:dyDescent="0.3">
      <c r="B537" s="12" t="s">
        <v>109</v>
      </c>
      <c r="C537" s="12" t="s">
        <v>124</v>
      </c>
      <c r="D537" s="74"/>
      <c r="E537" s="74"/>
      <c r="F537" s="74"/>
      <c r="G537" s="74"/>
      <c r="H537" s="74"/>
      <c r="I537" s="74"/>
      <c r="J537" s="74"/>
      <c r="K537" s="74"/>
      <c r="L537" s="57"/>
    </row>
    <row r="538" spans="2:12" ht="13.95" hidden="1" customHeight="1" x14ac:dyDescent="0.3">
      <c r="B538" s="12" t="s">
        <v>110</v>
      </c>
      <c r="C538" s="12" t="s">
        <v>124</v>
      </c>
      <c r="D538" s="74"/>
      <c r="E538" s="74"/>
      <c r="F538" s="74"/>
      <c r="G538" s="74"/>
      <c r="H538" s="74"/>
      <c r="I538" s="74"/>
      <c r="J538" s="74"/>
      <c r="K538" s="74"/>
      <c r="L538" s="57"/>
    </row>
    <row r="539" spans="2:12" ht="13.95" hidden="1" customHeight="1" x14ac:dyDescent="0.3">
      <c r="B539" s="12" t="s">
        <v>111</v>
      </c>
      <c r="C539" s="12" t="s">
        <v>124</v>
      </c>
      <c r="D539" s="74"/>
      <c r="E539" s="74"/>
      <c r="F539" s="74"/>
      <c r="G539" s="74"/>
      <c r="H539" s="74"/>
      <c r="I539" s="74"/>
      <c r="J539" s="74"/>
      <c r="K539" s="74"/>
      <c r="L539" s="57"/>
    </row>
    <row r="540" spans="2:12" ht="13.95" hidden="1" customHeight="1" x14ac:dyDescent="0.3">
      <c r="B540" s="12" t="s">
        <v>112</v>
      </c>
      <c r="C540" s="12" t="s">
        <v>124</v>
      </c>
      <c r="D540" s="74"/>
      <c r="E540" s="74"/>
      <c r="F540" s="74"/>
      <c r="G540" s="74"/>
      <c r="H540" s="74"/>
      <c r="I540" s="74"/>
      <c r="J540" s="74"/>
      <c r="K540" s="74"/>
      <c r="L540" s="57"/>
    </row>
    <row r="541" spans="2:12" ht="13.95" hidden="1" customHeight="1" x14ac:dyDescent="0.3">
      <c r="B541" s="12" t="s">
        <v>113</v>
      </c>
      <c r="C541" s="12" t="s">
        <v>124</v>
      </c>
      <c r="D541" s="74"/>
      <c r="E541" s="74"/>
      <c r="F541" s="74"/>
      <c r="G541" s="74"/>
      <c r="H541" s="74"/>
      <c r="I541" s="74"/>
      <c r="J541" s="74"/>
      <c r="K541" s="74"/>
      <c r="L541" s="57"/>
    </row>
    <row r="542" spans="2:12" ht="13.95" hidden="1" customHeight="1" x14ac:dyDescent="0.3">
      <c r="B542" s="12" t="s">
        <v>114</v>
      </c>
      <c r="C542" s="12" t="s">
        <v>124</v>
      </c>
      <c r="D542" s="74"/>
      <c r="E542" s="74"/>
      <c r="F542" s="74"/>
      <c r="G542" s="74"/>
      <c r="H542" s="74"/>
      <c r="I542" s="74"/>
      <c r="J542" s="74"/>
      <c r="K542" s="74"/>
      <c r="L542" s="57"/>
    </row>
    <row r="543" spans="2:12" ht="13.95" hidden="1" customHeight="1" x14ac:dyDescent="0.3">
      <c r="B543" s="12" t="s">
        <v>115</v>
      </c>
      <c r="C543" s="12" t="s">
        <v>124</v>
      </c>
      <c r="D543" s="74"/>
      <c r="E543" s="74"/>
      <c r="F543" s="74"/>
      <c r="G543" s="74"/>
      <c r="H543" s="74"/>
      <c r="I543" s="74"/>
      <c r="J543" s="74"/>
      <c r="K543" s="74"/>
      <c r="L543" s="57"/>
    </row>
    <row r="544" spans="2:12" ht="13.95" hidden="1" customHeight="1" x14ac:dyDescent="0.3">
      <c r="B544" s="12" t="s">
        <v>62</v>
      </c>
      <c r="C544" s="12" t="s">
        <v>125</v>
      </c>
      <c r="D544" s="74"/>
      <c r="E544" s="74"/>
      <c r="F544" s="74"/>
      <c r="G544" s="74"/>
      <c r="H544" s="74"/>
      <c r="I544" s="74"/>
      <c r="J544" s="74"/>
      <c r="K544" s="74"/>
      <c r="L544" s="57"/>
    </row>
    <row r="545" spans="2:12" ht="13.95" hidden="1" customHeight="1" x14ac:dyDescent="0.3">
      <c r="B545" s="12" t="s">
        <v>64</v>
      </c>
      <c r="C545" s="12" t="s">
        <v>125</v>
      </c>
      <c r="D545" s="74"/>
      <c r="E545" s="74"/>
      <c r="F545" s="74"/>
      <c r="G545" s="74"/>
      <c r="H545" s="74"/>
      <c r="I545" s="74"/>
      <c r="J545" s="74"/>
      <c r="K545" s="74"/>
      <c r="L545" s="57"/>
    </row>
    <row r="546" spans="2:12" ht="13.95" hidden="1" customHeight="1" x14ac:dyDescent="0.3">
      <c r="B546" s="12" t="s">
        <v>65</v>
      </c>
      <c r="C546" s="12" t="s">
        <v>125</v>
      </c>
      <c r="D546" s="74"/>
      <c r="E546" s="74"/>
      <c r="F546" s="74"/>
      <c r="G546" s="74"/>
      <c r="H546" s="74"/>
      <c r="I546" s="74"/>
      <c r="J546" s="74"/>
      <c r="K546" s="74"/>
      <c r="L546" s="57"/>
    </row>
    <row r="547" spans="2:12" ht="13.95" hidden="1" customHeight="1" x14ac:dyDescent="0.3">
      <c r="B547" s="12" t="s">
        <v>66</v>
      </c>
      <c r="C547" s="12" t="s">
        <v>125</v>
      </c>
      <c r="D547" s="74"/>
      <c r="E547" s="74"/>
      <c r="F547" s="74"/>
      <c r="G547" s="74"/>
      <c r="H547" s="74"/>
      <c r="I547" s="74"/>
      <c r="J547" s="74"/>
      <c r="K547" s="74"/>
      <c r="L547" s="57"/>
    </row>
    <row r="548" spans="2:12" ht="13.95" hidden="1" customHeight="1" x14ac:dyDescent="0.3">
      <c r="B548" s="12" t="s">
        <v>67</v>
      </c>
      <c r="C548" s="12" t="s">
        <v>125</v>
      </c>
      <c r="D548" s="74"/>
      <c r="E548" s="74"/>
      <c r="F548" s="74"/>
      <c r="G548" s="74"/>
      <c r="H548" s="74"/>
      <c r="I548" s="74"/>
      <c r="J548" s="74"/>
      <c r="K548" s="74"/>
      <c r="L548" s="57"/>
    </row>
    <row r="549" spans="2:12" ht="13.95" hidden="1" customHeight="1" x14ac:dyDescent="0.3">
      <c r="B549" s="12" t="s">
        <v>68</v>
      </c>
      <c r="C549" s="12" t="s">
        <v>125</v>
      </c>
      <c r="D549" s="74"/>
      <c r="E549" s="74"/>
      <c r="F549" s="74"/>
      <c r="G549" s="74"/>
      <c r="H549" s="74"/>
      <c r="I549" s="74"/>
      <c r="J549" s="74"/>
      <c r="K549" s="74"/>
      <c r="L549" s="57"/>
    </row>
    <row r="550" spans="2:12" ht="13.95" hidden="1" customHeight="1" x14ac:dyDescent="0.3">
      <c r="B550" s="12" t="s">
        <v>69</v>
      </c>
      <c r="C550" s="12" t="s">
        <v>125</v>
      </c>
      <c r="D550" s="74"/>
      <c r="E550" s="74"/>
      <c r="F550" s="74"/>
      <c r="G550" s="74"/>
      <c r="H550" s="74"/>
      <c r="I550" s="74"/>
      <c r="J550" s="74"/>
      <c r="K550" s="74"/>
      <c r="L550" s="57"/>
    </row>
    <row r="551" spans="2:12" ht="13.95" hidden="1" customHeight="1" x14ac:dyDescent="0.3">
      <c r="B551" s="12" t="s">
        <v>70</v>
      </c>
      <c r="C551" s="12" t="s">
        <v>125</v>
      </c>
      <c r="D551" s="74"/>
      <c r="E551" s="74"/>
      <c r="F551" s="74"/>
      <c r="G551" s="74"/>
      <c r="H551" s="74"/>
      <c r="I551" s="74"/>
      <c r="J551" s="74"/>
      <c r="K551" s="74"/>
      <c r="L551" s="57"/>
    </row>
    <row r="552" spans="2:12" ht="13.95" hidden="1" customHeight="1" x14ac:dyDescent="0.3">
      <c r="B552" s="12" t="s">
        <v>71</v>
      </c>
      <c r="C552" s="12" t="s">
        <v>125</v>
      </c>
      <c r="D552" s="74"/>
      <c r="E552" s="74"/>
      <c r="F552" s="74"/>
      <c r="G552" s="74"/>
      <c r="H552" s="74"/>
      <c r="I552" s="74"/>
      <c r="J552" s="74"/>
      <c r="K552" s="74"/>
      <c r="L552" s="57"/>
    </row>
    <row r="553" spans="2:12" ht="13.95" hidden="1" customHeight="1" x14ac:dyDescent="0.3">
      <c r="B553" s="12" t="s">
        <v>72</v>
      </c>
      <c r="C553" s="12" t="s">
        <v>125</v>
      </c>
      <c r="D553" s="74"/>
      <c r="E553" s="74"/>
      <c r="F553" s="74"/>
      <c r="G553" s="74"/>
      <c r="H553" s="74"/>
      <c r="I553" s="74"/>
      <c r="J553" s="74"/>
      <c r="K553" s="74"/>
      <c r="L553" s="57"/>
    </row>
    <row r="554" spans="2:12" ht="13.95" hidden="1" customHeight="1" x14ac:dyDescent="0.3">
      <c r="B554" s="12" t="s">
        <v>73</v>
      </c>
      <c r="C554" s="12" t="s">
        <v>125</v>
      </c>
      <c r="D554" s="74"/>
      <c r="E554" s="74"/>
      <c r="F554" s="74"/>
      <c r="G554" s="74"/>
      <c r="H554" s="74"/>
      <c r="I554" s="74"/>
      <c r="J554" s="74"/>
      <c r="K554" s="74"/>
      <c r="L554" s="57"/>
    </row>
    <row r="555" spans="2:12" ht="13.95" hidden="1" customHeight="1" x14ac:dyDescent="0.3">
      <c r="B555" s="12" t="s">
        <v>74</v>
      </c>
      <c r="C555" s="12" t="s">
        <v>125</v>
      </c>
      <c r="D555" s="74"/>
      <c r="E555" s="74"/>
      <c r="F555" s="74"/>
      <c r="G555" s="74"/>
      <c r="H555" s="74"/>
      <c r="I555" s="74"/>
      <c r="J555" s="74"/>
      <c r="K555" s="74"/>
      <c r="L555" s="57"/>
    </row>
    <row r="556" spans="2:12" ht="13.95" hidden="1" customHeight="1" x14ac:dyDescent="0.3">
      <c r="B556" s="12" t="s">
        <v>75</v>
      </c>
      <c r="C556" s="12" t="s">
        <v>125</v>
      </c>
      <c r="D556" s="74"/>
      <c r="E556" s="74"/>
      <c r="F556" s="74"/>
      <c r="G556" s="74"/>
      <c r="H556" s="74"/>
      <c r="I556" s="74"/>
      <c r="J556" s="74"/>
      <c r="K556" s="74"/>
      <c r="L556" s="57"/>
    </row>
    <row r="557" spans="2:12" ht="13.95" hidden="1" customHeight="1" x14ac:dyDescent="0.3">
      <c r="B557" s="12" t="s">
        <v>76</v>
      </c>
      <c r="C557" s="12" t="s">
        <v>125</v>
      </c>
      <c r="D557" s="74"/>
      <c r="E557" s="74"/>
      <c r="F557" s="74"/>
      <c r="G557" s="74"/>
      <c r="H557" s="74"/>
      <c r="I557" s="74"/>
      <c r="J557" s="74"/>
      <c r="K557" s="74"/>
      <c r="L557" s="57"/>
    </row>
    <row r="558" spans="2:12" ht="13.95" hidden="1" customHeight="1" x14ac:dyDescent="0.3">
      <c r="B558" s="12" t="s">
        <v>77</v>
      </c>
      <c r="C558" s="12" t="s">
        <v>125</v>
      </c>
      <c r="D558" s="74"/>
      <c r="E558" s="74"/>
      <c r="F558" s="74"/>
      <c r="G558" s="74"/>
      <c r="H558" s="74"/>
      <c r="I558" s="74"/>
      <c r="J558" s="74"/>
      <c r="K558" s="74"/>
      <c r="L558" s="57"/>
    </row>
    <row r="559" spans="2:12" ht="13.95" hidden="1" customHeight="1" x14ac:dyDescent="0.3">
      <c r="B559" s="12" t="s">
        <v>78</v>
      </c>
      <c r="C559" s="12" t="s">
        <v>125</v>
      </c>
      <c r="D559" s="74"/>
      <c r="E559" s="74"/>
      <c r="F559" s="74"/>
      <c r="G559" s="74"/>
      <c r="H559" s="74"/>
      <c r="I559" s="74"/>
      <c r="J559" s="74"/>
      <c r="K559" s="74"/>
      <c r="L559" s="57"/>
    </row>
    <row r="560" spans="2:12" ht="13.95" hidden="1" customHeight="1" x14ac:dyDescent="0.3">
      <c r="B560" s="12" t="s">
        <v>79</v>
      </c>
      <c r="C560" s="12" t="s">
        <v>125</v>
      </c>
      <c r="D560" s="74"/>
      <c r="E560" s="74"/>
      <c r="F560" s="74"/>
      <c r="G560" s="74"/>
      <c r="H560" s="74"/>
      <c r="I560" s="74"/>
      <c r="J560" s="74"/>
      <c r="K560" s="74"/>
      <c r="L560" s="57"/>
    </row>
    <row r="561" spans="2:12" ht="13.95" hidden="1" customHeight="1" x14ac:dyDescent="0.3">
      <c r="B561" s="12" t="s">
        <v>80</v>
      </c>
      <c r="C561" s="12" t="s">
        <v>125</v>
      </c>
      <c r="D561" s="74"/>
      <c r="E561" s="74"/>
      <c r="F561" s="74"/>
      <c r="G561" s="74"/>
      <c r="H561" s="74"/>
      <c r="I561" s="74"/>
      <c r="J561" s="74"/>
      <c r="K561" s="74"/>
      <c r="L561" s="57"/>
    </row>
    <row r="562" spans="2:12" ht="13.95" hidden="1" customHeight="1" x14ac:dyDescent="0.3">
      <c r="B562" s="12" t="s">
        <v>81</v>
      </c>
      <c r="C562" s="12" t="s">
        <v>125</v>
      </c>
      <c r="D562" s="74"/>
      <c r="E562" s="74"/>
      <c r="F562" s="74"/>
      <c r="G562" s="74"/>
      <c r="H562" s="74"/>
      <c r="I562" s="74"/>
      <c r="J562" s="74"/>
      <c r="K562" s="74"/>
      <c r="L562" s="57"/>
    </row>
    <row r="563" spans="2:12" ht="13.95" hidden="1" customHeight="1" x14ac:dyDescent="0.3">
      <c r="B563" s="12" t="s">
        <v>82</v>
      </c>
      <c r="C563" s="12" t="s">
        <v>125</v>
      </c>
      <c r="D563" s="74"/>
      <c r="E563" s="74"/>
      <c r="F563" s="74"/>
      <c r="G563" s="74"/>
      <c r="H563" s="74"/>
      <c r="I563" s="74"/>
      <c r="J563" s="74"/>
      <c r="K563" s="74"/>
      <c r="L563" s="57"/>
    </row>
    <row r="564" spans="2:12" ht="13.95" hidden="1" customHeight="1" x14ac:dyDescent="0.3">
      <c r="B564" s="12" t="s">
        <v>83</v>
      </c>
      <c r="C564" s="12" t="s">
        <v>125</v>
      </c>
      <c r="D564" s="74"/>
      <c r="E564" s="74"/>
      <c r="F564" s="74"/>
      <c r="G564" s="74"/>
      <c r="H564" s="74"/>
      <c r="I564" s="74"/>
      <c r="J564" s="74"/>
      <c r="K564" s="74"/>
      <c r="L564" s="57"/>
    </row>
    <row r="565" spans="2:12" ht="13.95" hidden="1" customHeight="1" x14ac:dyDescent="0.3">
      <c r="B565" s="12" t="s">
        <v>84</v>
      </c>
      <c r="C565" s="12" t="s">
        <v>125</v>
      </c>
      <c r="D565" s="74"/>
      <c r="E565" s="74"/>
      <c r="F565" s="74"/>
      <c r="G565" s="74"/>
      <c r="H565" s="74"/>
      <c r="I565" s="74"/>
      <c r="J565" s="74"/>
      <c r="K565" s="74"/>
      <c r="L565" s="57"/>
    </row>
    <row r="566" spans="2:12" ht="13.95" hidden="1" customHeight="1" x14ac:dyDescent="0.3">
      <c r="B566" s="12" t="s">
        <v>85</v>
      </c>
      <c r="C566" s="12" t="s">
        <v>125</v>
      </c>
      <c r="D566" s="74"/>
      <c r="E566" s="74"/>
      <c r="F566" s="74"/>
      <c r="G566" s="74"/>
      <c r="H566" s="74"/>
      <c r="I566" s="74"/>
      <c r="J566" s="74"/>
      <c r="K566" s="74"/>
      <c r="L566" s="57"/>
    </row>
    <row r="567" spans="2:12" ht="13.95" hidden="1" customHeight="1" x14ac:dyDescent="0.3">
      <c r="B567" s="12" t="s">
        <v>86</v>
      </c>
      <c r="C567" s="12" t="s">
        <v>125</v>
      </c>
      <c r="D567" s="74"/>
      <c r="E567" s="74"/>
      <c r="F567" s="74"/>
      <c r="G567" s="74"/>
      <c r="H567" s="74"/>
      <c r="I567" s="74"/>
      <c r="J567" s="74"/>
      <c r="K567" s="74"/>
      <c r="L567" s="57"/>
    </row>
    <row r="568" spans="2:12" ht="13.95" hidden="1" customHeight="1" x14ac:dyDescent="0.3">
      <c r="B568" s="12" t="s">
        <v>87</v>
      </c>
      <c r="C568" s="12" t="s">
        <v>125</v>
      </c>
      <c r="D568" s="74"/>
      <c r="E568" s="74"/>
      <c r="F568" s="74"/>
      <c r="G568" s="74"/>
      <c r="H568" s="74"/>
      <c r="I568" s="74"/>
      <c r="J568" s="74"/>
      <c r="K568" s="74"/>
      <c r="L568" s="57"/>
    </row>
    <row r="569" spans="2:12" ht="13.95" hidden="1" customHeight="1" x14ac:dyDescent="0.3">
      <c r="B569" s="12" t="s">
        <v>88</v>
      </c>
      <c r="C569" s="12" t="s">
        <v>125</v>
      </c>
      <c r="D569" s="74"/>
      <c r="E569" s="74"/>
      <c r="F569" s="74"/>
      <c r="G569" s="74"/>
      <c r="H569" s="74"/>
      <c r="I569" s="74"/>
      <c r="J569" s="74"/>
      <c r="K569" s="74"/>
      <c r="L569" s="57"/>
    </row>
    <row r="570" spans="2:12" ht="13.95" hidden="1" customHeight="1" x14ac:dyDescent="0.3">
      <c r="B570" s="12" t="s">
        <v>89</v>
      </c>
      <c r="C570" s="12" t="s">
        <v>125</v>
      </c>
      <c r="D570" s="74"/>
      <c r="E570" s="74"/>
      <c r="F570" s="74"/>
      <c r="G570" s="74"/>
      <c r="H570" s="74"/>
      <c r="I570" s="74"/>
      <c r="J570" s="74"/>
      <c r="K570" s="74"/>
      <c r="L570" s="57"/>
    </row>
    <row r="571" spans="2:12" ht="13.95" hidden="1" customHeight="1" x14ac:dyDescent="0.3">
      <c r="B571" s="12" t="s">
        <v>90</v>
      </c>
      <c r="C571" s="12" t="s">
        <v>125</v>
      </c>
      <c r="D571" s="74"/>
      <c r="E571" s="74"/>
      <c r="F571" s="74"/>
      <c r="G571" s="74"/>
      <c r="H571" s="74"/>
      <c r="I571" s="74"/>
      <c r="J571" s="74"/>
      <c r="K571" s="74"/>
      <c r="L571" s="57"/>
    </row>
    <row r="572" spans="2:12" ht="13.95" hidden="1" customHeight="1" x14ac:dyDescent="0.3">
      <c r="B572" s="12" t="s">
        <v>91</v>
      </c>
      <c r="C572" s="12" t="s">
        <v>125</v>
      </c>
      <c r="D572" s="74"/>
      <c r="E572" s="74"/>
      <c r="F572" s="74"/>
      <c r="G572" s="74"/>
      <c r="H572" s="74"/>
      <c r="I572" s="74"/>
      <c r="J572" s="74"/>
      <c r="K572" s="74"/>
      <c r="L572" s="57"/>
    </row>
    <row r="573" spans="2:12" ht="13.95" hidden="1" customHeight="1" x14ac:dyDescent="0.3">
      <c r="B573" s="12" t="s">
        <v>92</v>
      </c>
      <c r="C573" s="12" t="s">
        <v>125</v>
      </c>
      <c r="D573" s="74"/>
      <c r="E573" s="74"/>
      <c r="F573" s="74"/>
      <c r="G573" s="74"/>
      <c r="H573" s="74"/>
      <c r="I573" s="74"/>
      <c r="J573" s="74"/>
      <c r="K573" s="74"/>
      <c r="L573" s="57"/>
    </row>
    <row r="574" spans="2:12" ht="13.95" hidden="1" customHeight="1" x14ac:dyDescent="0.3">
      <c r="B574" s="12" t="s">
        <v>93</v>
      </c>
      <c r="C574" s="12" t="s">
        <v>125</v>
      </c>
      <c r="D574" s="74"/>
      <c r="E574" s="74"/>
      <c r="F574" s="74"/>
      <c r="G574" s="74"/>
      <c r="H574" s="74"/>
      <c r="I574" s="74"/>
      <c r="J574" s="74"/>
      <c r="K574" s="74"/>
      <c r="L574" s="57"/>
    </row>
    <row r="575" spans="2:12" ht="13.95" hidden="1" customHeight="1" x14ac:dyDescent="0.3">
      <c r="B575" s="12" t="s">
        <v>94</v>
      </c>
      <c r="C575" s="12" t="s">
        <v>125</v>
      </c>
      <c r="D575" s="74"/>
      <c r="E575" s="74"/>
      <c r="F575" s="74"/>
      <c r="G575" s="74"/>
      <c r="H575" s="74"/>
      <c r="I575" s="74"/>
      <c r="J575" s="74"/>
      <c r="K575" s="74"/>
      <c r="L575" s="57"/>
    </row>
    <row r="576" spans="2:12" ht="13.95" hidden="1" customHeight="1" x14ac:dyDescent="0.3">
      <c r="B576" s="12" t="s">
        <v>95</v>
      </c>
      <c r="C576" s="12" t="s">
        <v>125</v>
      </c>
      <c r="D576" s="74"/>
      <c r="E576" s="74"/>
      <c r="F576" s="74"/>
      <c r="G576" s="74"/>
      <c r="H576" s="74"/>
      <c r="I576" s="74"/>
      <c r="J576" s="74"/>
      <c r="K576" s="74"/>
      <c r="L576" s="57"/>
    </row>
    <row r="577" spans="2:12" ht="13.95" hidden="1" customHeight="1" x14ac:dyDescent="0.3">
      <c r="B577" s="12" t="s">
        <v>96</v>
      </c>
      <c r="C577" s="12" t="s">
        <v>125</v>
      </c>
      <c r="D577" s="74"/>
      <c r="E577" s="74"/>
      <c r="F577" s="74"/>
      <c r="G577" s="74"/>
      <c r="H577" s="74"/>
      <c r="I577" s="74"/>
      <c r="J577" s="74"/>
      <c r="K577" s="74"/>
      <c r="L577" s="57"/>
    </row>
    <row r="578" spans="2:12" ht="13.95" hidden="1" customHeight="1" x14ac:dyDescent="0.3">
      <c r="B578" s="12" t="s">
        <v>97</v>
      </c>
      <c r="C578" s="12" t="s">
        <v>125</v>
      </c>
      <c r="D578" s="74"/>
      <c r="E578" s="74"/>
      <c r="F578" s="74"/>
      <c r="G578" s="74"/>
      <c r="H578" s="74"/>
      <c r="I578" s="74"/>
      <c r="J578" s="74"/>
      <c r="K578" s="74"/>
      <c r="L578" s="57"/>
    </row>
    <row r="579" spans="2:12" ht="13.95" hidden="1" customHeight="1" x14ac:dyDescent="0.3">
      <c r="B579" s="12" t="s">
        <v>98</v>
      </c>
      <c r="C579" s="12" t="s">
        <v>125</v>
      </c>
      <c r="D579" s="74"/>
      <c r="E579" s="74"/>
      <c r="F579" s="74"/>
      <c r="G579" s="74"/>
      <c r="H579" s="74"/>
      <c r="I579" s="74"/>
      <c r="J579" s="74"/>
      <c r="K579" s="74"/>
      <c r="L579" s="57"/>
    </row>
    <row r="580" spans="2:12" ht="13.95" hidden="1" customHeight="1" x14ac:dyDescent="0.3">
      <c r="B580" s="12" t="s">
        <v>99</v>
      </c>
      <c r="C580" s="12" t="s">
        <v>125</v>
      </c>
      <c r="D580" s="74"/>
      <c r="E580" s="74"/>
      <c r="F580" s="74"/>
      <c r="G580" s="74"/>
      <c r="H580" s="74"/>
      <c r="I580" s="74"/>
      <c r="J580" s="74"/>
      <c r="K580" s="74"/>
      <c r="L580" s="57"/>
    </row>
    <row r="581" spans="2:12" ht="13.95" hidden="1" customHeight="1" x14ac:dyDescent="0.3">
      <c r="B581" s="12" t="s">
        <v>100</v>
      </c>
      <c r="C581" s="12" t="s">
        <v>125</v>
      </c>
      <c r="D581" s="74"/>
      <c r="E581" s="74"/>
      <c r="F581" s="74"/>
      <c r="G581" s="74"/>
      <c r="H581" s="74"/>
      <c r="I581" s="74"/>
      <c r="J581" s="74"/>
      <c r="K581" s="74"/>
      <c r="L581" s="57"/>
    </row>
    <row r="582" spans="2:12" ht="13.95" hidden="1" customHeight="1" x14ac:dyDescent="0.3">
      <c r="B582" s="12" t="s">
        <v>101</v>
      </c>
      <c r="C582" s="12" t="s">
        <v>125</v>
      </c>
      <c r="D582" s="74"/>
      <c r="E582" s="74"/>
      <c r="F582" s="74"/>
      <c r="G582" s="74"/>
      <c r="H582" s="74"/>
      <c r="I582" s="74"/>
      <c r="J582" s="74"/>
      <c r="K582" s="74"/>
      <c r="L582" s="57"/>
    </row>
    <row r="583" spans="2:12" ht="13.95" hidden="1" customHeight="1" x14ac:dyDescent="0.3">
      <c r="B583" s="12" t="s">
        <v>102</v>
      </c>
      <c r="C583" s="12" t="s">
        <v>125</v>
      </c>
      <c r="D583" s="74"/>
      <c r="E583" s="74"/>
      <c r="F583" s="74"/>
      <c r="G583" s="74"/>
      <c r="H583" s="74"/>
      <c r="I583" s="74"/>
      <c r="J583" s="74"/>
      <c r="K583" s="74"/>
      <c r="L583" s="57"/>
    </row>
    <row r="584" spans="2:12" ht="13.95" hidden="1" customHeight="1" x14ac:dyDescent="0.3">
      <c r="B584" s="12" t="s">
        <v>103</v>
      </c>
      <c r="C584" s="12" t="s">
        <v>125</v>
      </c>
      <c r="D584" s="74"/>
      <c r="E584" s="74"/>
      <c r="F584" s="74"/>
      <c r="G584" s="74"/>
      <c r="H584" s="74"/>
      <c r="I584" s="74"/>
      <c r="J584" s="74"/>
      <c r="K584" s="74"/>
      <c r="L584" s="57"/>
    </row>
    <row r="585" spans="2:12" ht="13.95" hidden="1" customHeight="1" x14ac:dyDescent="0.3">
      <c r="B585" s="12" t="s">
        <v>104</v>
      </c>
      <c r="C585" s="12" t="s">
        <v>125</v>
      </c>
      <c r="D585" s="74"/>
      <c r="E585" s="74"/>
      <c r="F585" s="74"/>
      <c r="G585" s="74"/>
      <c r="H585" s="74"/>
      <c r="I585" s="74"/>
      <c r="J585" s="74"/>
      <c r="K585" s="74"/>
      <c r="L585" s="57"/>
    </row>
    <row r="586" spans="2:12" ht="13.95" hidden="1" customHeight="1" x14ac:dyDescent="0.3">
      <c r="B586" s="12" t="s">
        <v>105</v>
      </c>
      <c r="C586" s="12" t="s">
        <v>125</v>
      </c>
      <c r="D586" s="74"/>
      <c r="E586" s="74"/>
      <c r="F586" s="74"/>
      <c r="G586" s="74"/>
      <c r="H586" s="74"/>
      <c r="I586" s="74"/>
      <c r="J586" s="74"/>
      <c r="K586" s="74"/>
      <c r="L586" s="57"/>
    </row>
    <row r="587" spans="2:12" ht="13.95" hidden="1" customHeight="1" x14ac:dyDescent="0.3">
      <c r="B587" s="12" t="s">
        <v>106</v>
      </c>
      <c r="C587" s="12" t="s">
        <v>125</v>
      </c>
      <c r="D587" s="74"/>
      <c r="E587" s="74"/>
      <c r="F587" s="74"/>
      <c r="G587" s="74"/>
      <c r="H587" s="74"/>
      <c r="I587" s="74"/>
      <c r="J587" s="74"/>
      <c r="K587" s="74"/>
      <c r="L587" s="57"/>
    </row>
    <row r="588" spans="2:12" ht="13.95" hidden="1" customHeight="1" x14ac:dyDescent="0.3">
      <c r="B588" s="12" t="s">
        <v>107</v>
      </c>
      <c r="C588" s="12" t="s">
        <v>125</v>
      </c>
      <c r="D588" s="74"/>
      <c r="E588" s="74"/>
      <c r="F588" s="74"/>
      <c r="G588" s="74"/>
      <c r="H588" s="74"/>
      <c r="I588" s="74"/>
      <c r="J588" s="74"/>
      <c r="K588" s="74"/>
      <c r="L588" s="57"/>
    </row>
    <row r="589" spans="2:12" ht="13.95" hidden="1" customHeight="1" x14ac:dyDescent="0.3">
      <c r="B589" s="12" t="s">
        <v>108</v>
      </c>
      <c r="C589" s="12" t="s">
        <v>125</v>
      </c>
      <c r="D589" s="74"/>
      <c r="E589" s="74"/>
      <c r="F589" s="74"/>
      <c r="G589" s="74"/>
      <c r="H589" s="74"/>
      <c r="I589" s="74"/>
      <c r="J589" s="74"/>
      <c r="K589" s="74"/>
      <c r="L589" s="57"/>
    </row>
    <row r="590" spans="2:12" ht="13.95" hidden="1" customHeight="1" x14ac:dyDescent="0.3">
      <c r="B590" s="12" t="s">
        <v>109</v>
      </c>
      <c r="C590" s="12" t="s">
        <v>125</v>
      </c>
      <c r="D590" s="74"/>
      <c r="E590" s="74"/>
      <c r="F590" s="74"/>
      <c r="G590" s="74"/>
      <c r="H590" s="74"/>
      <c r="I590" s="74"/>
      <c r="J590" s="74"/>
      <c r="K590" s="74"/>
      <c r="L590" s="57"/>
    </row>
    <row r="591" spans="2:12" ht="13.95" hidden="1" customHeight="1" x14ac:dyDescent="0.3">
      <c r="B591" s="12" t="s">
        <v>110</v>
      </c>
      <c r="C591" s="12" t="s">
        <v>125</v>
      </c>
      <c r="D591" s="74"/>
      <c r="E591" s="74"/>
      <c r="F591" s="74"/>
      <c r="G591" s="74"/>
      <c r="H591" s="74"/>
      <c r="I591" s="74"/>
      <c r="J591" s="74"/>
      <c r="K591" s="74"/>
      <c r="L591" s="57"/>
    </row>
    <row r="592" spans="2:12" ht="13.95" hidden="1" customHeight="1" x14ac:dyDescent="0.3">
      <c r="B592" s="12" t="s">
        <v>111</v>
      </c>
      <c r="C592" s="12" t="s">
        <v>125</v>
      </c>
      <c r="D592" s="74"/>
      <c r="E592" s="74"/>
      <c r="F592" s="74"/>
      <c r="G592" s="74"/>
      <c r="H592" s="74"/>
      <c r="I592" s="74"/>
      <c r="J592" s="74"/>
      <c r="K592" s="74"/>
      <c r="L592" s="57"/>
    </row>
    <row r="593" spans="2:12" ht="13.95" hidden="1" customHeight="1" x14ac:dyDescent="0.3">
      <c r="B593" s="12" t="s">
        <v>112</v>
      </c>
      <c r="C593" s="12" t="s">
        <v>125</v>
      </c>
      <c r="D593" s="74"/>
      <c r="E593" s="74"/>
      <c r="F593" s="74"/>
      <c r="G593" s="74"/>
      <c r="H593" s="74"/>
      <c r="I593" s="74"/>
      <c r="J593" s="74"/>
      <c r="K593" s="74"/>
      <c r="L593" s="57"/>
    </row>
    <row r="594" spans="2:12" ht="13.95" hidden="1" customHeight="1" x14ac:dyDescent="0.3">
      <c r="B594" s="12" t="s">
        <v>113</v>
      </c>
      <c r="C594" s="12" t="s">
        <v>125</v>
      </c>
      <c r="D594" s="74"/>
      <c r="E594" s="74"/>
      <c r="F594" s="74"/>
      <c r="G594" s="74"/>
      <c r="H594" s="74"/>
      <c r="I594" s="74"/>
      <c r="J594" s="74"/>
      <c r="K594" s="74"/>
      <c r="L594" s="57"/>
    </row>
    <row r="595" spans="2:12" ht="13.95" hidden="1" customHeight="1" x14ac:dyDescent="0.3">
      <c r="B595" s="12" t="s">
        <v>114</v>
      </c>
      <c r="C595" s="12" t="s">
        <v>125</v>
      </c>
      <c r="D595" s="74"/>
      <c r="E595" s="74"/>
      <c r="F595" s="74"/>
      <c r="G595" s="74"/>
      <c r="H595" s="74"/>
      <c r="I595" s="74"/>
      <c r="J595" s="74"/>
      <c r="K595" s="74"/>
      <c r="L595" s="57"/>
    </row>
    <row r="596" spans="2:12" ht="13.95" hidden="1" customHeight="1" x14ac:dyDescent="0.3">
      <c r="B596" s="12" t="s">
        <v>115</v>
      </c>
      <c r="C596" s="12" t="s">
        <v>125</v>
      </c>
      <c r="D596" s="74"/>
      <c r="E596" s="74"/>
      <c r="F596" s="74"/>
      <c r="G596" s="74"/>
      <c r="H596" s="74"/>
      <c r="I596" s="74"/>
      <c r="J596" s="74"/>
      <c r="K596" s="74"/>
      <c r="L596" s="57"/>
    </row>
    <row r="597" spans="2:12" ht="13.95" hidden="1" customHeight="1" x14ac:dyDescent="0.3">
      <c r="B597" s="12" t="s">
        <v>62</v>
      </c>
      <c r="C597" s="12" t="s">
        <v>126</v>
      </c>
      <c r="D597" s="74"/>
      <c r="E597" s="74"/>
      <c r="F597" s="74"/>
      <c r="G597" s="74"/>
      <c r="H597" s="74"/>
      <c r="I597" s="74"/>
      <c r="J597" s="74"/>
      <c r="K597" s="74"/>
      <c r="L597" s="57"/>
    </row>
    <row r="598" spans="2:12" ht="13.95" hidden="1" customHeight="1" x14ac:dyDescent="0.3">
      <c r="B598" s="12" t="s">
        <v>64</v>
      </c>
      <c r="C598" s="12" t="s">
        <v>126</v>
      </c>
      <c r="D598" s="74"/>
      <c r="E598" s="74"/>
      <c r="F598" s="74"/>
      <c r="G598" s="74"/>
      <c r="H598" s="74"/>
      <c r="I598" s="74"/>
      <c r="J598" s="74"/>
      <c r="K598" s="74"/>
      <c r="L598" s="57"/>
    </row>
    <row r="599" spans="2:12" ht="13.95" hidden="1" customHeight="1" x14ac:dyDescent="0.3">
      <c r="B599" s="12" t="s">
        <v>65</v>
      </c>
      <c r="C599" s="12" t="s">
        <v>126</v>
      </c>
      <c r="D599" s="74"/>
      <c r="E599" s="74"/>
      <c r="F599" s="74"/>
      <c r="G599" s="74"/>
      <c r="H599" s="74"/>
      <c r="I599" s="74"/>
      <c r="J599" s="74"/>
      <c r="K599" s="74"/>
      <c r="L599" s="57"/>
    </row>
    <row r="600" spans="2:12" ht="13.95" hidden="1" customHeight="1" x14ac:dyDescent="0.3">
      <c r="B600" s="12" t="s">
        <v>66</v>
      </c>
      <c r="C600" s="12" t="s">
        <v>126</v>
      </c>
      <c r="D600" s="74"/>
      <c r="E600" s="74"/>
      <c r="F600" s="74"/>
      <c r="G600" s="74"/>
      <c r="H600" s="74"/>
      <c r="I600" s="74"/>
      <c r="J600" s="74"/>
      <c r="K600" s="74"/>
      <c r="L600" s="57"/>
    </row>
    <row r="601" spans="2:12" ht="13.95" hidden="1" customHeight="1" x14ac:dyDescent="0.3">
      <c r="B601" s="12" t="s">
        <v>67</v>
      </c>
      <c r="C601" s="12" t="s">
        <v>126</v>
      </c>
      <c r="D601" s="74"/>
      <c r="E601" s="74"/>
      <c r="F601" s="74"/>
      <c r="G601" s="74"/>
      <c r="H601" s="74"/>
      <c r="I601" s="74"/>
      <c r="J601" s="74"/>
      <c r="K601" s="74"/>
      <c r="L601" s="57"/>
    </row>
    <row r="602" spans="2:12" ht="13.95" hidden="1" customHeight="1" x14ac:dyDescent="0.3">
      <c r="B602" s="12" t="s">
        <v>68</v>
      </c>
      <c r="C602" s="12" t="s">
        <v>126</v>
      </c>
      <c r="D602" s="74"/>
      <c r="E602" s="74"/>
      <c r="F602" s="74"/>
      <c r="G602" s="74"/>
      <c r="H602" s="74"/>
      <c r="I602" s="74"/>
      <c r="J602" s="74"/>
      <c r="K602" s="74"/>
      <c r="L602" s="57"/>
    </row>
    <row r="603" spans="2:12" ht="13.95" hidden="1" customHeight="1" x14ac:dyDescent="0.3">
      <c r="B603" s="12" t="s">
        <v>69</v>
      </c>
      <c r="C603" s="12" t="s">
        <v>126</v>
      </c>
      <c r="D603" s="74"/>
      <c r="E603" s="74"/>
      <c r="F603" s="74"/>
      <c r="G603" s="74"/>
      <c r="H603" s="74"/>
      <c r="I603" s="74"/>
      <c r="J603" s="74"/>
      <c r="K603" s="74"/>
      <c r="L603" s="57"/>
    </row>
    <row r="604" spans="2:12" ht="13.95" hidden="1" customHeight="1" x14ac:dyDescent="0.3">
      <c r="B604" s="12" t="s">
        <v>70</v>
      </c>
      <c r="C604" s="12" t="s">
        <v>126</v>
      </c>
      <c r="D604" s="74"/>
      <c r="E604" s="74"/>
      <c r="F604" s="74"/>
      <c r="G604" s="74"/>
      <c r="H604" s="74"/>
      <c r="I604" s="74"/>
      <c r="J604" s="74"/>
      <c r="K604" s="74"/>
      <c r="L604" s="57"/>
    </row>
    <row r="605" spans="2:12" ht="13.95" hidden="1" customHeight="1" x14ac:dyDescent="0.3">
      <c r="B605" s="12" t="s">
        <v>71</v>
      </c>
      <c r="C605" s="12" t="s">
        <v>126</v>
      </c>
      <c r="D605" s="74"/>
      <c r="E605" s="74"/>
      <c r="F605" s="74"/>
      <c r="G605" s="74"/>
      <c r="H605" s="74"/>
      <c r="I605" s="74"/>
      <c r="J605" s="74"/>
      <c r="K605" s="74"/>
      <c r="L605" s="57"/>
    </row>
    <row r="606" spans="2:12" ht="13.95" hidden="1" customHeight="1" x14ac:dyDescent="0.3">
      <c r="B606" s="12" t="s">
        <v>72</v>
      </c>
      <c r="C606" s="12" t="s">
        <v>126</v>
      </c>
      <c r="D606" s="74"/>
      <c r="E606" s="74"/>
      <c r="F606" s="74"/>
      <c r="G606" s="74"/>
      <c r="H606" s="74"/>
      <c r="I606" s="74"/>
      <c r="J606" s="74"/>
      <c r="K606" s="74"/>
      <c r="L606" s="57"/>
    </row>
    <row r="607" spans="2:12" ht="13.95" hidden="1" customHeight="1" x14ac:dyDescent="0.3">
      <c r="B607" s="12" t="s">
        <v>73</v>
      </c>
      <c r="C607" s="12" t="s">
        <v>126</v>
      </c>
      <c r="D607" s="74"/>
      <c r="E607" s="74"/>
      <c r="F607" s="74"/>
      <c r="G607" s="74"/>
      <c r="H607" s="74"/>
      <c r="I607" s="74"/>
      <c r="J607" s="74"/>
      <c r="K607" s="74"/>
      <c r="L607" s="57"/>
    </row>
    <row r="608" spans="2:12" ht="13.95" hidden="1" customHeight="1" x14ac:dyDescent="0.3">
      <c r="B608" s="12" t="s">
        <v>74</v>
      </c>
      <c r="C608" s="12" t="s">
        <v>126</v>
      </c>
      <c r="D608" s="74"/>
      <c r="E608" s="74"/>
      <c r="F608" s="74"/>
      <c r="G608" s="74"/>
      <c r="H608" s="74"/>
      <c r="I608" s="74"/>
      <c r="J608" s="74"/>
      <c r="K608" s="74"/>
      <c r="L608" s="57"/>
    </row>
    <row r="609" spans="2:12" ht="13.95" hidden="1" customHeight="1" x14ac:dyDescent="0.3">
      <c r="B609" s="12" t="s">
        <v>75</v>
      </c>
      <c r="C609" s="12" t="s">
        <v>126</v>
      </c>
      <c r="D609" s="74"/>
      <c r="E609" s="74"/>
      <c r="F609" s="74"/>
      <c r="G609" s="74"/>
      <c r="H609" s="74"/>
      <c r="I609" s="74"/>
      <c r="J609" s="74"/>
      <c r="K609" s="74"/>
      <c r="L609" s="57"/>
    </row>
    <row r="610" spans="2:12" ht="13.95" hidden="1" customHeight="1" x14ac:dyDescent="0.3">
      <c r="B610" s="12" t="s">
        <v>76</v>
      </c>
      <c r="C610" s="12" t="s">
        <v>126</v>
      </c>
      <c r="D610" s="74"/>
      <c r="E610" s="74"/>
      <c r="F610" s="74"/>
      <c r="G610" s="74"/>
      <c r="H610" s="74"/>
      <c r="I610" s="74"/>
      <c r="J610" s="74"/>
      <c r="K610" s="74"/>
      <c r="L610" s="57"/>
    </row>
    <row r="611" spans="2:12" ht="13.95" hidden="1" customHeight="1" x14ac:dyDescent="0.3">
      <c r="B611" s="12" t="s">
        <v>77</v>
      </c>
      <c r="C611" s="12" t="s">
        <v>126</v>
      </c>
      <c r="D611" s="74"/>
      <c r="E611" s="74"/>
      <c r="F611" s="74"/>
      <c r="G611" s="74"/>
      <c r="H611" s="74"/>
      <c r="I611" s="74"/>
      <c r="J611" s="74"/>
      <c r="K611" s="74"/>
      <c r="L611" s="57"/>
    </row>
    <row r="612" spans="2:12" ht="13.95" hidden="1" customHeight="1" x14ac:dyDescent="0.3">
      <c r="B612" s="12" t="s">
        <v>78</v>
      </c>
      <c r="C612" s="12" t="s">
        <v>126</v>
      </c>
      <c r="D612" s="74"/>
      <c r="E612" s="74"/>
      <c r="F612" s="74"/>
      <c r="G612" s="74"/>
      <c r="H612" s="74"/>
      <c r="I612" s="74"/>
      <c r="J612" s="74"/>
      <c r="K612" s="74"/>
      <c r="L612" s="57"/>
    </row>
    <row r="613" spans="2:12" ht="13.95" hidden="1" customHeight="1" x14ac:dyDescent="0.3">
      <c r="B613" s="12" t="s">
        <v>79</v>
      </c>
      <c r="C613" s="12" t="s">
        <v>126</v>
      </c>
      <c r="D613" s="74"/>
      <c r="E613" s="74"/>
      <c r="F613" s="74"/>
      <c r="G613" s="74"/>
      <c r="H613" s="74"/>
      <c r="I613" s="74"/>
      <c r="J613" s="74"/>
      <c r="K613" s="74"/>
      <c r="L613" s="57"/>
    </row>
    <row r="614" spans="2:12" ht="13.95" hidden="1" customHeight="1" x14ac:dyDescent="0.3">
      <c r="B614" s="12" t="s">
        <v>80</v>
      </c>
      <c r="C614" s="12" t="s">
        <v>126</v>
      </c>
      <c r="D614" s="74"/>
      <c r="E614" s="74"/>
      <c r="F614" s="74"/>
      <c r="G614" s="74"/>
      <c r="H614" s="74"/>
      <c r="I614" s="74"/>
      <c r="J614" s="74"/>
      <c r="K614" s="74"/>
      <c r="L614" s="57"/>
    </row>
    <row r="615" spans="2:12" ht="13.95" hidden="1" customHeight="1" x14ac:dyDescent="0.3">
      <c r="B615" s="12" t="s">
        <v>81</v>
      </c>
      <c r="C615" s="12" t="s">
        <v>126</v>
      </c>
      <c r="D615" s="74"/>
      <c r="E615" s="74"/>
      <c r="F615" s="74"/>
      <c r="G615" s="74"/>
      <c r="H615" s="74"/>
      <c r="I615" s="74"/>
      <c r="J615" s="74"/>
      <c r="K615" s="74"/>
      <c r="L615" s="57"/>
    </row>
    <row r="616" spans="2:12" ht="13.95" hidden="1" customHeight="1" x14ac:dyDescent="0.3">
      <c r="B616" s="12" t="s">
        <v>82</v>
      </c>
      <c r="C616" s="12" t="s">
        <v>126</v>
      </c>
      <c r="D616" s="74"/>
      <c r="E616" s="74"/>
      <c r="F616" s="74"/>
      <c r="G616" s="74"/>
      <c r="H616" s="74"/>
      <c r="I616" s="74"/>
      <c r="J616" s="74"/>
      <c r="K616" s="74"/>
      <c r="L616" s="57"/>
    </row>
    <row r="617" spans="2:12" ht="13.95" hidden="1" customHeight="1" x14ac:dyDescent="0.3">
      <c r="B617" s="12" t="s">
        <v>83</v>
      </c>
      <c r="C617" s="12" t="s">
        <v>126</v>
      </c>
      <c r="D617" s="74"/>
      <c r="E617" s="74"/>
      <c r="F617" s="74"/>
      <c r="G617" s="74"/>
      <c r="H617" s="74"/>
      <c r="I617" s="74"/>
      <c r="J617" s="74"/>
      <c r="K617" s="74"/>
      <c r="L617" s="57"/>
    </row>
    <row r="618" spans="2:12" ht="13.95" hidden="1" customHeight="1" x14ac:dyDescent="0.3">
      <c r="B618" s="12" t="s">
        <v>84</v>
      </c>
      <c r="C618" s="12" t="s">
        <v>126</v>
      </c>
      <c r="D618" s="74"/>
      <c r="E618" s="74"/>
      <c r="F618" s="74"/>
      <c r="G618" s="74"/>
      <c r="H618" s="74"/>
      <c r="I618" s="74"/>
      <c r="J618" s="74"/>
      <c r="K618" s="74"/>
      <c r="L618" s="57"/>
    </row>
    <row r="619" spans="2:12" ht="13.95" hidden="1" customHeight="1" x14ac:dyDescent="0.3">
      <c r="B619" s="12" t="s">
        <v>85</v>
      </c>
      <c r="C619" s="12" t="s">
        <v>126</v>
      </c>
      <c r="D619" s="74"/>
      <c r="E619" s="74"/>
      <c r="F619" s="74"/>
      <c r="G619" s="74"/>
      <c r="H619" s="74"/>
      <c r="I619" s="74"/>
      <c r="J619" s="74"/>
      <c r="K619" s="74"/>
      <c r="L619" s="57"/>
    </row>
    <row r="620" spans="2:12" ht="13.95" hidden="1" customHeight="1" x14ac:dyDescent="0.3">
      <c r="B620" s="12" t="s">
        <v>86</v>
      </c>
      <c r="C620" s="12" t="s">
        <v>126</v>
      </c>
      <c r="D620" s="74"/>
      <c r="E620" s="74"/>
      <c r="F620" s="74"/>
      <c r="G620" s="74"/>
      <c r="H620" s="74"/>
      <c r="I620" s="74"/>
      <c r="J620" s="74"/>
      <c r="K620" s="74"/>
      <c r="L620" s="57"/>
    </row>
    <row r="621" spans="2:12" ht="13.95" hidden="1" customHeight="1" x14ac:dyDescent="0.3">
      <c r="B621" s="12" t="s">
        <v>87</v>
      </c>
      <c r="C621" s="12" t="s">
        <v>126</v>
      </c>
      <c r="D621" s="74"/>
      <c r="E621" s="74"/>
      <c r="F621" s="74"/>
      <c r="G621" s="74"/>
      <c r="H621" s="74"/>
      <c r="I621" s="74"/>
      <c r="J621" s="74"/>
      <c r="K621" s="74"/>
      <c r="L621" s="57"/>
    </row>
    <row r="622" spans="2:12" ht="13.95" hidden="1" customHeight="1" x14ac:dyDescent="0.3">
      <c r="B622" s="12" t="s">
        <v>88</v>
      </c>
      <c r="C622" s="12" t="s">
        <v>126</v>
      </c>
      <c r="D622" s="74"/>
      <c r="E622" s="74"/>
      <c r="F622" s="74"/>
      <c r="G622" s="74"/>
      <c r="H622" s="74"/>
      <c r="I622" s="74"/>
      <c r="J622" s="74"/>
      <c r="K622" s="74"/>
      <c r="L622" s="57"/>
    </row>
    <row r="623" spans="2:12" ht="13.95" hidden="1" customHeight="1" x14ac:dyDescent="0.3">
      <c r="B623" s="12" t="s">
        <v>89</v>
      </c>
      <c r="C623" s="12" t="s">
        <v>126</v>
      </c>
      <c r="D623" s="74"/>
      <c r="E623" s="74"/>
      <c r="F623" s="74"/>
      <c r="G623" s="74"/>
      <c r="H623" s="74"/>
      <c r="I623" s="74"/>
      <c r="J623" s="74"/>
      <c r="K623" s="74"/>
      <c r="L623" s="57"/>
    </row>
    <row r="624" spans="2:12" ht="13.95" hidden="1" customHeight="1" x14ac:dyDescent="0.3">
      <c r="B624" s="12" t="s">
        <v>90</v>
      </c>
      <c r="C624" s="12" t="s">
        <v>126</v>
      </c>
      <c r="D624" s="74"/>
      <c r="E624" s="74"/>
      <c r="F624" s="74"/>
      <c r="G624" s="74"/>
      <c r="H624" s="74"/>
      <c r="I624" s="74"/>
      <c r="J624" s="74"/>
      <c r="K624" s="74"/>
      <c r="L624" s="57"/>
    </row>
    <row r="625" spans="2:12" ht="13.95" hidden="1" customHeight="1" x14ac:dyDescent="0.3">
      <c r="B625" s="12" t="s">
        <v>91</v>
      </c>
      <c r="C625" s="12" t="s">
        <v>126</v>
      </c>
      <c r="D625" s="74"/>
      <c r="E625" s="74"/>
      <c r="F625" s="74"/>
      <c r="G625" s="74"/>
      <c r="H625" s="74"/>
      <c r="I625" s="74"/>
      <c r="J625" s="74"/>
      <c r="K625" s="74"/>
      <c r="L625" s="57"/>
    </row>
    <row r="626" spans="2:12" ht="13.95" hidden="1" customHeight="1" x14ac:dyDescent="0.3">
      <c r="B626" s="12" t="s">
        <v>92</v>
      </c>
      <c r="C626" s="12" t="s">
        <v>126</v>
      </c>
      <c r="D626" s="74"/>
      <c r="E626" s="74"/>
      <c r="F626" s="74"/>
      <c r="G626" s="74"/>
      <c r="H626" s="74"/>
      <c r="I626" s="74"/>
      <c r="J626" s="74"/>
      <c r="K626" s="74"/>
      <c r="L626" s="57"/>
    </row>
    <row r="627" spans="2:12" ht="13.95" hidden="1" customHeight="1" x14ac:dyDescent="0.3">
      <c r="B627" s="12" t="s">
        <v>93</v>
      </c>
      <c r="C627" s="12" t="s">
        <v>126</v>
      </c>
      <c r="D627" s="74"/>
      <c r="E627" s="74"/>
      <c r="F627" s="74"/>
      <c r="G627" s="74"/>
      <c r="H627" s="74"/>
      <c r="I627" s="74"/>
      <c r="J627" s="74"/>
      <c r="K627" s="74"/>
      <c r="L627" s="57"/>
    </row>
    <row r="628" spans="2:12" ht="13.95" hidden="1" customHeight="1" x14ac:dyDescent="0.3">
      <c r="B628" s="12" t="s">
        <v>94</v>
      </c>
      <c r="C628" s="12" t="s">
        <v>126</v>
      </c>
      <c r="D628" s="74"/>
      <c r="E628" s="74"/>
      <c r="F628" s="74"/>
      <c r="G628" s="74"/>
      <c r="H628" s="74"/>
      <c r="I628" s="74"/>
      <c r="J628" s="74"/>
      <c r="K628" s="74"/>
      <c r="L628" s="57"/>
    </row>
    <row r="629" spans="2:12" ht="13.95" hidden="1" customHeight="1" x14ac:dyDescent="0.3">
      <c r="B629" s="12" t="s">
        <v>95</v>
      </c>
      <c r="C629" s="12" t="s">
        <v>126</v>
      </c>
      <c r="D629" s="74"/>
      <c r="E629" s="74"/>
      <c r="F629" s="74"/>
      <c r="G629" s="74"/>
      <c r="H629" s="74"/>
      <c r="I629" s="74"/>
      <c r="J629" s="74"/>
      <c r="K629" s="74"/>
      <c r="L629" s="57"/>
    </row>
    <row r="630" spans="2:12" ht="13.95" hidden="1" customHeight="1" x14ac:dyDescent="0.3">
      <c r="B630" s="12" t="s">
        <v>96</v>
      </c>
      <c r="C630" s="12" t="s">
        <v>126</v>
      </c>
      <c r="D630" s="74"/>
      <c r="E630" s="74"/>
      <c r="F630" s="74"/>
      <c r="G630" s="74"/>
      <c r="H630" s="74"/>
      <c r="I630" s="74"/>
      <c r="J630" s="74"/>
      <c r="K630" s="74"/>
      <c r="L630" s="57"/>
    </row>
    <row r="631" spans="2:12" ht="13.95" hidden="1" customHeight="1" x14ac:dyDescent="0.3">
      <c r="B631" s="12" t="s">
        <v>97</v>
      </c>
      <c r="C631" s="12" t="s">
        <v>126</v>
      </c>
      <c r="D631" s="74"/>
      <c r="E631" s="74"/>
      <c r="F631" s="74"/>
      <c r="G631" s="74"/>
      <c r="H631" s="74"/>
      <c r="I631" s="74"/>
      <c r="J631" s="74"/>
      <c r="K631" s="74"/>
      <c r="L631" s="57"/>
    </row>
    <row r="632" spans="2:12" ht="13.95" hidden="1" customHeight="1" x14ac:dyDescent="0.3">
      <c r="B632" s="12" t="s">
        <v>98</v>
      </c>
      <c r="C632" s="12" t="s">
        <v>126</v>
      </c>
      <c r="D632" s="74"/>
      <c r="E632" s="74"/>
      <c r="F632" s="74"/>
      <c r="G632" s="74"/>
      <c r="H632" s="74"/>
      <c r="I632" s="74"/>
      <c r="J632" s="74"/>
      <c r="K632" s="74"/>
      <c r="L632" s="57"/>
    </row>
    <row r="633" spans="2:12" ht="13.95" hidden="1" customHeight="1" x14ac:dyDescent="0.3">
      <c r="B633" s="12" t="s">
        <v>99</v>
      </c>
      <c r="C633" s="12" t="s">
        <v>126</v>
      </c>
      <c r="D633" s="74"/>
      <c r="E633" s="74"/>
      <c r="F633" s="74"/>
      <c r="G633" s="74"/>
      <c r="H633" s="74"/>
      <c r="I633" s="74"/>
      <c r="J633" s="74"/>
      <c r="K633" s="74"/>
      <c r="L633" s="57"/>
    </row>
    <row r="634" spans="2:12" ht="13.95" hidden="1" customHeight="1" x14ac:dyDescent="0.3">
      <c r="B634" s="12" t="s">
        <v>100</v>
      </c>
      <c r="C634" s="12" t="s">
        <v>126</v>
      </c>
      <c r="D634" s="74"/>
      <c r="E634" s="74"/>
      <c r="F634" s="74"/>
      <c r="G634" s="74"/>
      <c r="H634" s="74"/>
      <c r="I634" s="74"/>
      <c r="J634" s="74"/>
      <c r="K634" s="74"/>
      <c r="L634" s="57"/>
    </row>
    <row r="635" spans="2:12" ht="13.95" hidden="1" customHeight="1" x14ac:dyDescent="0.3">
      <c r="B635" s="12" t="s">
        <v>101</v>
      </c>
      <c r="C635" s="12" t="s">
        <v>126</v>
      </c>
      <c r="D635" s="74"/>
      <c r="E635" s="74"/>
      <c r="F635" s="74"/>
      <c r="G635" s="74"/>
      <c r="H635" s="74"/>
      <c r="I635" s="74"/>
      <c r="J635" s="74"/>
      <c r="K635" s="74"/>
      <c r="L635" s="57"/>
    </row>
    <row r="636" spans="2:12" ht="13.95" hidden="1" customHeight="1" x14ac:dyDescent="0.3">
      <c r="B636" s="12" t="s">
        <v>102</v>
      </c>
      <c r="C636" s="12" t="s">
        <v>126</v>
      </c>
      <c r="D636" s="74"/>
      <c r="E636" s="74"/>
      <c r="F636" s="74"/>
      <c r="G636" s="74"/>
      <c r="H636" s="74"/>
      <c r="I636" s="74"/>
      <c r="J636" s="74"/>
      <c r="K636" s="74"/>
      <c r="L636" s="57"/>
    </row>
    <row r="637" spans="2:12" ht="13.95" hidden="1" customHeight="1" x14ac:dyDescent="0.3">
      <c r="B637" s="12" t="s">
        <v>103</v>
      </c>
      <c r="C637" s="12" t="s">
        <v>126</v>
      </c>
      <c r="D637" s="74"/>
      <c r="E637" s="74"/>
      <c r="F637" s="74"/>
      <c r="G637" s="74"/>
      <c r="H637" s="74"/>
      <c r="I637" s="74"/>
      <c r="J637" s="74"/>
      <c r="K637" s="74"/>
      <c r="L637" s="57"/>
    </row>
    <row r="638" spans="2:12" ht="13.95" hidden="1" customHeight="1" x14ac:dyDescent="0.3">
      <c r="B638" s="12" t="s">
        <v>104</v>
      </c>
      <c r="C638" s="12" t="s">
        <v>126</v>
      </c>
      <c r="D638" s="74"/>
      <c r="E638" s="74"/>
      <c r="F638" s="74"/>
      <c r="G638" s="74"/>
      <c r="H638" s="74"/>
      <c r="I638" s="74"/>
      <c r="J638" s="74"/>
      <c r="K638" s="74"/>
      <c r="L638" s="57"/>
    </row>
    <row r="639" spans="2:12" ht="13.95" hidden="1" customHeight="1" x14ac:dyDescent="0.3">
      <c r="B639" s="12" t="s">
        <v>105</v>
      </c>
      <c r="C639" s="12" t="s">
        <v>126</v>
      </c>
      <c r="D639" s="74"/>
      <c r="E639" s="74"/>
      <c r="F639" s="74"/>
      <c r="G639" s="74"/>
      <c r="H639" s="74"/>
      <c r="I639" s="74"/>
      <c r="J639" s="74"/>
      <c r="K639" s="74"/>
      <c r="L639" s="57"/>
    </row>
    <row r="640" spans="2:12" ht="13.95" hidden="1" customHeight="1" x14ac:dyDescent="0.3">
      <c r="B640" s="12" t="s">
        <v>106</v>
      </c>
      <c r="C640" s="12" t="s">
        <v>126</v>
      </c>
      <c r="D640" s="74"/>
      <c r="E640" s="74"/>
      <c r="F640" s="74"/>
      <c r="G640" s="74"/>
      <c r="H640" s="74"/>
      <c r="I640" s="74"/>
      <c r="J640" s="74"/>
      <c r="K640" s="74"/>
      <c r="L640" s="57"/>
    </row>
    <row r="641" spans="2:12" ht="13.95" hidden="1" customHeight="1" x14ac:dyDescent="0.3">
      <c r="B641" s="12" t="s">
        <v>107</v>
      </c>
      <c r="C641" s="12" t="s">
        <v>126</v>
      </c>
      <c r="D641" s="74"/>
      <c r="E641" s="74"/>
      <c r="F641" s="74"/>
      <c r="G641" s="74"/>
      <c r="H641" s="74"/>
      <c r="I641" s="74"/>
      <c r="J641" s="74"/>
      <c r="K641" s="74"/>
      <c r="L641" s="57"/>
    </row>
    <row r="642" spans="2:12" ht="13.95" hidden="1" customHeight="1" x14ac:dyDescent="0.3">
      <c r="B642" s="12" t="s">
        <v>108</v>
      </c>
      <c r="C642" s="12" t="s">
        <v>126</v>
      </c>
      <c r="D642" s="74"/>
      <c r="E642" s="74"/>
      <c r="F642" s="74"/>
      <c r="G642" s="74"/>
      <c r="H642" s="74"/>
      <c r="I642" s="74"/>
      <c r="J642" s="74"/>
      <c r="K642" s="74"/>
      <c r="L642" s="57"/>
    </row>
    <row r="643" spans="2:12" ht="13.95" hidden="1" customHeight="1" x14ac:dyDescent="0.3">
      <c r="B643" s="12" t="s">
        <v>109</v>
      </c>
      <c r="C643" s="12" t="s">
        <v>126</v>
      </c>
      <c r="D643" s="74"/>
      <c r="E643" s="74"/>
      <c r="F643" s="74"/>
      <c r="G643" s="74"/>
      <c r="H643" s="74"/>
      <c r="I643" s="74"/>
      <c r="J643" s="74"/>
      <c r="K643" s="74"/>
      <c r="L643" s="57"/>
    </row>
    <row r="644" spans="2:12" ht="13.95" hidden="1" customHeight="1" x14ac:dyDescent="0.3">
      <c r="B644" s="12" t="s">
        <v>110</v>
      </c>
      <c r="C644" s="12" t="s">
        <v>126</v>
      </c>
      <c r="D644" s="74"/>
      <c r="E644" s="74"/>
      <c r="F644" s="74"/>
      <c r="G644" s="74"/>
      <c r="H644" s="74"/>
      <c r="I644" s="74"/>
      <c r="J644" s="74"/>
      <c r="K644" s="74"/>
      <c r="L644" s="57"/>
    </row>
    <row r="645" spans="2:12" ht="13.95" hidden="1" customHeight="1" x14ac:dyDescent="0.3">
      <c r="B645" s="12" t="s">
        <v>111</v>
      </c>
      <c r="C645" s="12" t="s">
        <v>126</v>
      </c>
      <c r="D645" s="74"/>
      <c r="E645" s="74"/>
      <c r="F645" s="74"/>
      <c r="G645" s="74"/>
      <c r="H645" s="74"/>
      <c r="I645" s="74"/>
      <c r="J645" s="74"/>
      <c r="K645" s="74"/>
      <c r="L645" s="57"/>
    </row>
    <row r="646" spans="2:12" ht="13.95" hidden="1" customHeight="1" x14ac:dyDescent="0.3">
      <c r="B646" s="12" t="s">
        <v>112</v>
      </c>
      <c r="C646" s="12" t="s">
        <v>126</v>
      </c>
      <c r="D646" s="74"/>
      <c r="E646" s="74"/>
      <c r="F646" s="74"/>
      <c r="G646" s="74"/>
      <c r="H646" s="74"/>
      <c r="I646" s="74"/>
      <c r="J646" s="74"/>
      <c r="K646" s="74"/>
      <c r="L646" s="57"/>
    </row>
    <row r="647" spans="2:12" ht="13.95" hidden="1" customHeight="1" x14ac:dyDescent="0.3">
      <c r="B647" s="12" t="s">
        <v>113</v>
      </c>
      <c r="C647" s="12" t="s">
        <v>126</v>
      </c>
      <c r="D647" s="74"/>
      <c r="E647" s="74"/>
      <c r="F647" s="74"/>
      <c r="G647" s="74"/>
      <c r="H647" s="74"/>
      <c r="I647" s="74"/>
      <c r="J647" s="74"/>
      <c r="K647" s="74"/>
      <c r="L647" s="57"/>
    </row>
    <row r="648" spans="2:12" ht="13.95" hidden="1" customHeight="1" x14ac:dyDescent="0.3">
      <c r="B648" s="12" t="s">
        <v>114</v>
      </c>
      <c r="C648" s="12" t="s">
        <v>126</v>
      </c>
      <c r="D648" s="74"/>
      <c r="E648" s="74"/>
      <c r="F648" s="74"/>
      <c r="G648" s="74"/>
      <c r="H648" s="74"/>
      <c r="I648" s="74"/>
      <c r="J648" s="74"/>
      <c r="K648" s="74"/>
      <c r="L648" s="57"/>
    </row>
    <row r="649" spans="2:12" ht="13.95" hidden="1" customHeight="1" x14ac:dyDescent="0.3">
      <c r="B649" s="12" t="s">
        <v>115</v>
      </c>
      <c r="C649" s="12" t="s">
        <v>126</v>
      </c>
      <c r="D649" s="74"/>
      <c r="E649" s="74"/>
      <c r="F649" s="74"/>
      <c r="G649" s="74"/>
      <c r="H649" s="74"/>
      <c r="I649" s="74"/>
      <c r="J649" s="74"/>
      <c r="K649" s="74"/>
      <c r="L649" s="57"/>
    </row>
    <row r="650" spans="2:12" ht="13.95" hidden="1" customHeight="1" x14ac:dyDescent="0.3">
      <c r="B650" s="12" t="s">
        <v>62</v>
      </c>
      <c r="C650" s="12" t="s">
        <v>127</v>
      </c>
      <c r="D650" s="74"/>
      <c r="E650" s="74"/>
      <c r="F650" s="74"/>
      <c r="G650" s="74"/>
      <c r="H650" s="74"/>
      <c r="I650" s="74"/>
      <c r="J650" s="74"/>
      <c r="K650" s="74"/>
      <c r="L650" s="57"/>
    </row>
    <row r="651" spans="2:12" ht="13.95" hidden="1" customHeight="1" x14ac:dyDescent="0.3">
      <c r="B651" s="12" t="s">
        <v>64</v>
      </c>
      <c r="C651" s="12" t="s">
        <v>127</v>
      </c>
      <c r="D651" s="74"/>
      <c r="E651" s="74"/>
      <c r="F651" s="74"/>
      <c r="G651" s="74"/>
      <c r="H651" s="74"/>
      <c r="I651" s="74"/>
      <c r="J651" s="74"/>
      <c r="K651" s="74"/>
      <c r="L651" s="57"/>
    </row>
    <row r="652" spans="2:12" ht="13.95" hidden="1" customHeight="1" x14ac:dyDescent="0.3">
      <c r="B652" s="12" t="s">
        <v>65</v>
      </c>
      <c r="C652" s="12" t="s">
        <v>127</v>
      </c>
      <c r="D652" s="74"/>
      <c r="E652" s="74"/>
      <c r="F652" s="74"/>
      <c r="G652" s="74"/>
      <c r="H652" s="74"/>
      <c r="I652" s="74"/>
      <c r="J652" s="74"/>
      <c r="K652" s="74"/>
      <c r="L652" s="57"/>
    </row>
    <row r="653" spans="2:12" ht="13.95" hidden="1" customHeight="1" x14ac:dyDescent="0.3">
      <c r="B653" s="12" t="s">
        <v>66</v>
      </c>
      <c r="C653" s="12" t="s">
        <v>127</v>
      </c>
      <c r="D653" s="74"/>
      <c r="E653" s="74"/>
      <c r="F653" s="74"/>
      <c r="G653" s="74"/>
      <c r="H653" s="74"/>
      <c r="I653" s="74"/>
      <c r="J653" s="74"/>
      <c r="K653" s="74"/>
      <c r="L653" s="57"/>
    </row>
    <row r="654" spans="2:12" ht="13.95" hidden="1" customHeight="1" x14ac:dyDescent="0.3">
      <c r="B654" s="12" t="s">
        <v>67</v>
      </c>
      <c r="C654" s="12" t="s">
        <v>127</v>
      </c>
      <c r="D654" s="74"/>
      <c r="E654" s="74"/>
      <c r="F654" s="74"/>
      <c r="G654" s="74"/>
      <c r="H654" s="74"/>
      <c r="I654" s="74"/>
      <c r="J654" s="74"/>
      <c r="K654" s="74"/>
      <c r="L654" s="57"/>
    </row>
    <row r="655" spans="2:12" ht="13.95" hidden="1" customHeight="1" x14ac:dyDescent="0.3">
      <c r="B655" s="12" t="s">
        <v>68</v>
      </c>
      <c r="C655" s="12" t="s">
        <v>127</v>
      </c>
      <c r="D655" s="74"/>
      <c r="E655" s="74"/>
      <c r="F655" s="74"/>
      <c r="G655" s="74"/>
      <c r="H655" s="74"/>
      <c r="I655" s="74"/>
      <c r="J655" s="74"/>
      <c r="K655" s="74"/>
      <c r="L655" s="57"/>
    </row>
    <row r="656" spans="2:12" ht="13.95" hidden="1" customHeight="1" x14ac:dyDescent="0.3">
      <c r="B656" s="12" t="s">
        <v>69</v>
      </c>
      <c r="C656" s="12" t="s">
        <v>127</v>
      </c>
      <c r="D656" s="74"/>
      <c r="E656" s="74"/>
      <c r="F656" s="74"/>
      <c r="G656" s="74"/>
      <c r="H656" s="74"/>
      <c r="I656" s="74"/>
      <c r="J656" s="74"/>
      <c r="K656" s="74"/>
      <c r="L656" s="57"/>
    </row>
    <row r="657" spans="2:12" ht="13.95" hidden="1" customHeight="1" x14ac:dyDescent="0.3">
      <c r="B657" s="12" t="s">
        <v>70</v>
      </c>
      <c r="C657" s="12" t="s">
        <v>127</v>
      </c>
      <c r="D657" s="74"/>
      <c r="E657" s="74"/>
      <c r="F657" s="74"/>
      <c r="G657" s="74"/>
      <c r="H657" s="74"/>
      <c r="I657" s="74"/>
      <c r="J657" s="74"/>
      <c r="K657" s="74"/>
      <c r="L657" s="57"/>
    </row>
    <row r="658" spans="2:12" ht="13.95" hidden="1" customHeight="1" x14ac:dyDescent="0.3">
      <c r="B658" s="12" t="s">
        <v>71</v>
      </c>
      <c r="C658" s="12" t="s">
        <v>127</v>
      </c>
      <c r="D658" s="74"/>
      <c r="E658" s="74"/>
      <c r="F658" s="74"/>
      <c r="G658" s="74"/>
      <c r="H658" s="74"/>
      <c r="I658" s="74"/>
      <c r="J658" s="74"/>
      <c r="K658" s="74"/>
      <c r="L658" s="57"/>
    </row>
    <row r="659" spans="2:12" ht="13.95" hidden="1" customHeight="1" x14ac:dyDescent="0.3">
      <c r="B659" s="12" t="s">
        <v>72</v>
      </c>
      <c r="C659" s="12" t="s">
        <v>127</v>
      </c>
      <c r="D659" s="74"/>
      <c r="E659" s="74"/>
      <c r="F659" s="74"/>
      <c r="G659" s="74"/>
      <c r="H659" s="74"/>
      <c r="I659" s="74"/>
      <c r="J659" s="74"/>
      <c r="K659" s="74"/>
      <c r="L659" s="57"/>
    </row>
    <row r="660" spans="2:12" ht="13.95" hidden="1" customHeight="1" x14ac:dyDescent="0.3">
      <c r="B660" s="12" t="s">
        <v>73</v>
      </c>
      <c r="C660" s="12" t="s">
        <v>127</v>
      </c>
      <c r="D660" s="74"/>
      <c r="E660" s="74"/>
      <c r="F660" s="74"/>
      <c r="G660" s="74"/>
      <c r="H660" s="74"/>
      <c r="I660" s="74"/>
      <c r="J660" s="74"/>
      <c r="K660" s="74"/>
      <c r="L660" s="57"/>
    </row>
    <row r="661" spans="2:12" ht="13.95" hidden="1" customHeight="1" x14ac:dyDescent="0.3">
      <c r="B661" s="12" t="s">
        <v>74</v>
      </c>
      <c r="C661" s="12" t="s">
        <v>127</v>
      </c>
      <c r="D661" s="74"/>
      <c r="E661" s="74"/>
      <c r="F661" s="74"/>
      <c r="G661" s="74"/>
      <c r="H661" s="74"/>
      <c r="I661" s="74"/>
      <c r="J661" s="74"/>
      <c r="K661" s="74"/>
      <c r="L661" s="57"/>
    </row>
    <row r="662" spans="2:12" ht="13.95" hidden="1" customHeight="1" x14ac:dyDescent="0.3">
      <c r="B662" s="12" t="s">
        <v>75</v>
      </c>
      <c r="C662" s="12" t="s">
        <v>127</v>
      </c>
      <c r="D662" s="74"/>
      <c r="E662" s="74"/>
      <c r="F662" s="74"/>
      <c r="G662" s="74"/>
      <c r="H662" s="74"/>
      <c r="I662" s="74"/>
      <c r="J662" s="74"/>
      <c r="K662" s="74"/>
      <c r="L662" s="57"/>
    </row>
    <row r="663" spans="2:12" ht="13.95" hidden="1" customHeight="1" x14ac:dyDescent="0.3">
      <c r="B663" s="12" t="s">
        <v>76</v>
      </c>
      <c r="C663" s="12" t="s">
        <v>127</v>
      </c>
      <c r="D663" s="74"/>
      <c r="E663" s="74"/>
      <c r="F663" s="74"/>
      <c r="G663" s="74"/>
      <c r="H663" s="74"/>
      <c r="I663" s="74"/>
      <c r="J663" s="74"/>
      <c r="K663" s="74"/>
      <c r="L663" s="57"/>
    </row>
    <row r="664" spans="2:12" ht="13.95" hidden="1" customHeight="1" x14ac:dyDescent="0.3">
      <c r="B664" s="12" t="s">
        <v>77</v>
      </c>
      <c r="C664" s="12" t="s">
        <v>127</v>
      </c>
      <c r="D664" s="74"/>
      <c r="E664" s="74"/>
      <c r="F664" s="74"/>
      <c r="G664" s="74"/>
      <c r="H664" s="74"/>
      <c r="I664" s="74"/>
      <c r="J664" s="74"/>
      <c r="K664" s="74"/>
      <c r="L664" s="57"/>
    </row>
    <row r="665" spans="2:12" ht="13.95" hidden="1" customHeight="1" x14ac:dyDescent="0.3">
      <c r="B665" s="12" t="s">
        <v>78</v>
      </c>
      <c r="C665" s="12" t="s">
        <v>127</v>
      </c>
      <c r="D665" s="74"/>
      <c r="E665" s="74"/>
      <c r="F665" s="74"/>
      <c r="G665" s="74"/>
      <c r="H665" s="74"/>
      <c r="I665" s="74"/>
      <c r="J665" s="74"/>
      <c r="K665" s="74"/>
      <c r="L665" s="57"/>
    </row>
    <row r="666" spans="2:12" ht="13.95" hidden="1" customHeight="1" x14ac:dyDescent="0.3">
      <c r="B666" s="12" t="s">
        <v>79</v>
      </c>
      <c r="C666" s="12" t="s">
        <v>127</v>
      </c>
      <c r="D666" s="74"/>
      <c r="E666" s="74"/>
      <c r="F666" s="74"/>
      <c r="G666" s="74"/>
      <c r="H666" s="74"/>
      <c r="I666" s="74"/>
      <c r="J666" s="74"/>
      <c r="K666" s="74"/>
      <c r="L666" s="57"/>
    </row>
    <row r="667" spans="2:12" ht="13.95" hidden="1" customHeight="1" x14ac:dyDescent="0.3">
      <c r="B667" s="12" t="s">
        <v>80</v>
      </c>
      <c r="C667" s="12" t="s">
        <v>127</v>
      </c>
      <c r="D667" s="74"/>
      <c r="E667" s="74"/>
      <c r="F667" s="74"/>
      <c r="G667" s="74"/>
      <c r="H667" s="74"/>
      <c r="I667" s="74"/>
      <c r="J667" s="74"/>
      <c r="K667" s="74"/>
      <c r="L667" s="57"/>
    </row>
    <row r="668" spans="2:12" ht="13.95" hidden="1" customHeight="1" x14ac:dyDescent="0.3">
      <c r="B668" s="12" t="s">
        <v>81</v>
      </c>
      <c r="C668" s="12" t="s">
        <v>127</v>
      </c>
      <c r="D668" s="74"/>
      <c r="E668" s="74"/>
      <c r="F668" s="74"/>
      <c r="G668" s="74"/>
      <c r="H668" s="74"/>
      <c r="I668" s="74"/>
      <c r="J668" s="74"/>
      <c r="K668" s="74"/>
      <c r="L668" s="57"/>
    </row>
    <row r="669" spans="2:12" ht="13.95" hidden="1" customHeight="1" x14ac:dyDescent="0.3">
      <c r="B669" s="12" t="s">
        <v>82</v>
      </c>
      <c r="C669" s="12" t="s">
        <v>127</v>
      </c>
      <c r="D669" s="74"/>
      <c r="E669" s="74"/>
      <c r="F669" s="74"/>
      <c r="G669" s="74"/>
      <c r="H669" s="74"/>
      <c r="I669" s="74"/>
      <c r="J669" s="74"/>
      <c r="K669" s="74"/>
      <c r="L669" s="57"/>
    </row>
    <row r="670" spans="2:12" ht="13.95" hidden="1" customHeight="1" x14ac:dyDescent="0.3">
      <c r="B670" s="12" t="s">
        <v>83</v>
      </c>
      <c r="C670" s="12" t="s">
        <v>127</v>
      </c>
      <c r="D670" s="74"/>
      <c r="E670" s="74"/>
      <c r="F670" s="74"/>
      <c r="G670" s="74"/>
      <c r="H670" s="74"/>
      <c r="I670" s="74"/>
      <c r="J670" s="74"/>
      <c r="K670" s="74"/>
      <c r="L670" s="57"/>
    </row>
    <row r="671" spans="2:12" ht="13.95" hidden="1" customHeight="1" x14ac:dyDescent="0.3">
      <c r="B671" s="12" t="s">
        <v>84</v>
      </c>
      <c r="C671" s="12" t="s">
        <v>127</v>
      </c>
      <c r="D671" s="74"/>
      <c r="E671" s="74"/>
      <c r="F671" s="74"/>
      <c r="G671" s="74"/>
      <c r="H671" s="74"/>
      <c r="I671" s="74"/>
      <c r="J671" s="74"/>
      <c r="K671" s="74"/>
      <c r="L671" s="57"/>
    </row>
    <row r="672" spans="2:12" ht="13.95" hidden="1" customHeight="1" x14ac:dyDescent="0.3">
      <c r="B672" s="12" t="s">
        <v>85</v>
      </c>
      <c r="C672" s="12" t="s">
        <v>127</v>
      </c>
      <c r="D672" s="74"/>
      <c r="E672" s="74"/>
      <c r="F672" s="74"/>
      <c r="G672" s="74"/>
      <c r="H672" s="74"/>
      <c r="I672" s="74"/>
      <c r="J672" s="74"/>
      <c r="K672" s="74"/>
      <c r="L672" s="57"/>
    </row>
    <row r="673" spans="2:12" ht="13.95" hidden="1" customHeight="1" x14ac:dyDescent="0.3">
      <c r="B673" s="12" t="s">
        <v>86</v>
      </c>
      <c r="C673" s="12" t="s">
        <v>127</v>
      </c>
      <c r="D673" s="74"/>
      <c r="E673" s="74"/>
      <c r="F673" s="74"/>
      <c r="G673" s="74"/>
      <c r="H673" s="74"/>
      <c r="I673" s="74"/>
      <c r="J673" s="74"/>
      <c r="K673" s="74"/>
      <c r="L673" s="57"/>
    </row>
    <row r="674" spans="2:12" ht="13.95" hidden="1" customHeight="1" x14ac:dyDescent="0.3">
      <c r="B674" s="12" t="s">
        <v>87</v>
      </c>
      <c r="C674" s="12" t="s">
        <v>127</v>
      </c>
      <c r="D674" s="74"/>
      <c r="E674" s="74"/>
      <c r="F674" s="74"/>
      <c r="G674" s="74"/>
      <c r="H674" s="74"/>
      <c r="I674" s="74"/>
      <c r="J674" s="74"/>
      <c r="K674" s="74"/>
      <c r="L674" s="57"/>
    </row>
    <row r="675" spans="2:12" ht="13.95" hidden="1" customHeight="1" x14ac:dyDescent="0.3">
      <c r="B675" s="12" t="s">
        <v>88</v>
      </c>
      <c r="C675" s="12" t="s">
        <v>127</v>
      </c>
      <c r="D675" s="74"/>
      <c r="E675" s="74"/>
      <c r="F675" s="74"/>
      <c r="G675" s="74"/>
      <c r="H675" s="74"/>
      <c r="I675" s="74"/>
      <c r="J675" s="74"/>
      <c r="K675" s="74"/>
      <c r="L675" s="57"/>
    </row>
    <row r="676" spans="2:12" ht="13.95" hidden="1" customHeight="1" x14ac:dyDescent="0.3">
      <c r="B676" s="12" t="s">
        <v>89</v>
      </c>
      <c r="C676" s="12" t="s">
        <v>127</v>
      </c>
      <c r="D676" s="74"/>
      <c r="E676" s="74"/>
      <c r="F676" s="74"/>
      <c r="G676" s="74"/>
      <c r="H676" s="74"/>
      <c r="I676" s="74"/>
      <c r="J676" s="74"/>
      <c r="K676" s="74"/>
      <c r="L676" s="57"/>
    </row>
    <row r="677" spans="2:12" ht="13.95" hidden="1" customHeight="1" x14ac:dyDescent="0.3">
      <c r="B677" s="12" t="s">
        <v>90</v>
      </c>
      <c r="C677" s="12" t="s">
        <v>127</v>
      </c>
      <c r="D677" s="74"/>
      <c r="E677" s="74"/>
      <c r="F677" s="74"/>
      <c r="G677" s="74"/>
      <c r="H677" s="74"/>
      <c r="I677" s="74"/>
      <c r="J677" s="74"/>
      <c r="K677" s="74"/>
      <c r="L677" s="57"/>
    </row>
    <row r="678" spans="2:12" ht="13.95" hidden="1" customHeight="1" x14ac:dyDescent="0.3">
      <c r="B678" s="12" t="s">
        <v>91</v>
      </c>
      <c r="C678" s="12" t="s">
        <v>127</v>
      </c>
      <c r="D678" s="74"/>
      <c r="E678" s="74"/>
      <c r="F678" s="74"/>
      <c r="G678" s="74"/>
      <c r="H678" s="74"/>
      <c r="I678" s="74"/>
      <c r="J678" s="74"/>
      <c r="K678" s="74"/>
      <c r="L678" s="57"/>
    </row>
    <row r="679" spans="2:12" ht="13.95" hidden="1" customHeight="1" x14ac:dyDescent="0.3">
      <c r="B679" s="12" t="s">
        <v>92</v>
      </c>
      <c r="C679" s="12" t="s">
        <v>127</v>
      </c>
      <c r="D679" s="74"/>
      <c r="E679" s="74"/>
      <c r="F679" s="74"/>
      <c r="G679" s="74"/>
      <c r="H679" s="74"/>
      <c r="I679" s="74"/>
      <c r="J679" s="74"/>
      <c r="K679" s="74"/>
      <c r="L679" s="57"/>
    </row>
    <row r="680" spans="2:12" ht="13.95" hidden="1" customHeight="1" x14ac:dyDescent="0.3">
      <c r="B680" s="12" t="s">
        <v>93</v>
      </c>
      <c r="C680" s="12" t="s">
        <v>127</v>
      </c>
      <c r="D680" s="74"/>
      <c r="E680" s="74"/>
      <c r="F680" s="74"/>
      <c r="G680" s="74"/>
      <c r="H680" s="74"/>
      <c r="I680" s="74"/>
      <c r="J680" s="74"/>
      <c r="K680" s="74"/>
      <c r="L680" s="57"/>
    </row>
    <row r="681" spans="2:12" ht="13.95" hidden="1" customHeight="1" x14ac:dyDescent="0.3">
      <c r="B681" s="12" t="s">
        <v>94</v>
      </c>
      <c r="C681" s="12" t="s">
        <v>127</v>
      </c>
      <c r="D681" s="74"/>
      <c r="E681" s="74"/>
      <c r="F681" s="74"/>
      <c r="G681" s="74"/>
      <c r="H681" s="74"/>
      <c r="I681" s="74"/>
      <c r="J681" s="74"/>
      <c r="K681" s="74"/>
      <c r="L681" s="57"/>
    </row>
    <row r="682" spans="2:12" ht="13.95" hidden="1" customHeight="1" x14ac:dyDescent="0.3">
      <c r="B682" s="12" t="s">
        <v>95</v>
      </c>
      <c r="C682" s="12" t="s">
        <v>127</v>
      </c>
      <c r="D682" s="74"/>
      <c r="E682" s="74"/>
      <c r="F682" s="74"/>
      <c r="G682" s="74"/>
      <c r="H682" s="74"/>
      <c r="I682" s="74"/>
      <c r="J682" s="74"/>
      <c r="K682" s="74"/>
      <c r="L682" s="57"/>
    </row>
    <row r="683" spans="2:12" ht="13.95" hidden="1" customHeight="1" x14ac:dyDescent="0.3">
      <c r="B683" s="12" t="s">
        <v>96</v>
      </c>
      <c r="C683" s="12" t="s">
        <v>127</v>
      </c>
      <c r="D683" s="74"/>
      <c r="E683" s="74"/>
      <c r="F683" s="74"/>
      <c r="G683" s="74"/>
      <c r="H683" s="74"/>
      <c r="I683" s="74"/>
      <c r="J683" s="74"/>
      <c r="K683" s="74"/>
      <c r="L683" s="57"/>
    </row>
    <row r="684" spans="2:12" ht="13.95" hidden="1" customHeight="1" x14ac:dyDescent="0.3">
      <c r="B684" s="12" t="s">
        <v>97</v>
      </c>
      <c r="C684" s="12" t="s">
        <v>127</v>
      </c>
      <c r="D684" s="74"/>
      <c r="E684" s="74"/>
      <c r="F684" s="74"/>
      <c r="G684" s="74"/>
      <c r="H684" s="74"/>
      <c r="I684" s="74"/>
      <c r="J684" s="74"/>
      <c r="K684" s="74"/>
      <c r="L684" s="57"/>
    </row>
    <row r="685" spans="2:12" ht="13.95" hidden="1" customHeight="1" x14ac:dyDescent="0.3">
      <c r="B685" s="12" t="s">
        <v>98</v>
      </c>
      <c r="C685" s="12" t="s">
        <v>127</v>
      </c>
      <c r="D685" s="74"/>
      <c r="E685" s="74"/>
      <c r="F685" s="74"/>
      <c r="G685" s="74"/>
      <c r="H685" s="74"/>
      <c r="I685" s="74"/>
      <c r="J685" s="74"/>
      <c r="K685" s="74"/>
      <c r="L685" s="57"/>
    </row>
    <row r="686" spans="2:12" ht="13.95" hidden="1" customHeight="1" x14ac:dyDescent="0.3">
      <c r="B686" s="12" t="s">
        <v>99</v>
      </c>
      <c r="C686" s="12" t="s">
        <v>127</v>
      </c>
      <c r="D686" s="74"/>
      <c r="E686" s="74"/>
      <c r="F686" s="74"/>
      <c r="G686" s="74"/>
      <c r="H686" s="74"/>
      <c r="I686" s="74"/>
      <c r="J686" s="74"/>
      <c r="K686" s="74"/>
      <c r="L686" s="57"/>
    </row>
    <row r="687" spans="2:12" ht="13.95" hidden="1" customHeight="1" x14ac:dyDescent="0.3">
      <c r="B687" s="12" t="s">
        <v>100</v>
      </c>
      <c r="C687" s="12" t="s">
        <v>127</v>
      </c>
      <c r="D687" s="74"/>
      <c r="E687" s="74"/>
      <c r="F687" s="74"/>
      <c r="G687" s="74"/>
      <c r="H687" s="74"/>
      <c r="I687" s="74"/>
      <c r="J687" s="74"/>
      <c r="K687" s="74"/>
      <c r="L687" s="57"/>
    </row>
    <row r="688" spans="2:12" ht="13.95" hidden="1" customHeight="1" x14ac:dyDescent="0.3">
      <c r="B688" s="12" t="s">
        <v>101</v>
      </c>
      <c r="C688" s="12" t="s">
        <v>127</v>
      </c>
      <c r="D688" s="74"/>
      <c r="E688" s="74"/>
      <c r="F688" s="74"/>
      <c r="G688" s="74"/>
      <c r="H688" s="74"/>
      <c r="I688" s="74"/>
      <c r="J688" s="74"/>
      <c r="K688" s="74"/>
      <c r="L688" s="57"/>
    </row>
    <row r="689" spans="2:12" ht="13.95" hidden="1" customHeight="1" x14ac:dyDescent="0.3">
      <c r="B689" s="12" t="s">
        <v>102</v>
      </c>
      <c r="C689" s="12" t="s">
        <v>127</v>
      </c>
      <c r="D689" s="74"/>
      <c r="E689" s="74"/>
      <c r="F689" s="74"/>
      <c r="G689" s="74"/>
      <c r="H689" s="74"/>
      <c r="I689" s="74"/>
      <c r="J689" s="74"/>
      <c r="K689" s="74"/>
      <c r="L689" s="57"/>
    </row>
    <row r="690" spans="2:12" ht="13.95" hidden="1" customHeight="1" x14ac:dyDescent="0.3">
      <c r="B690" s="12" t="s">
        <v>103</v>
      </c>
      <c r="C690" s="12" t="s">
        <v>127</v>
      </c>
      <c r="D690" s="74"/>
      <c r="E690" s="74"/>
      <c r="F690" s="74"/>
      <c r="G690" s="74"/>
      <c r="H690" s="74"/>
      <c r="I690" s="74"/>
      <c r="J690" s="74"/>
      <c r="K690" s="74"/>
      <c r="L690" s="57"/>
    </row>
    <row r="691" spans="2:12" ht="13.95" hidden="1" customHeight="1" x14ac:dyDescent="0.3">
      <c r="B691" s="12" t="s">
        <v>104</v>
      </c>
      <c r="C691" s="12" t="s">
        <v>127</v>
      </c>
      <c r="D691" s="74"/>
      <c r="E691" s="74"/>
      <c r="F691" s="74"/>
      <c r="G691" s="74"/>
      <c r="H691" s="74"/>
      <c r="I691" s="74"/>
      <c r="J691" s="74"/>
      <c r="K691" s="74"/>
      <c r="L691" s="57"/>
    </row>
    <row r="692" spans="2:12" ht="13.95" hidden="1" customHeight="1" x14ac:dyDescent="0.3">
      <c r="B692" s="12" t="s">
        <v>105</v>
      </c>
      <c r="C692" s="12" t="s">
        <v>127</v>
      </c>
      <c r="D692" s="74"/>
      <c r="E692" s="74"/>
      <c r="F692" s="74"/>
      <c r="G692" s="74"/>
      <c r="H692" s="74"/>
      <c r="I692" s="74"/>
      <c r="J692" s="74"/>
      <c r="K692" s="74"/>
      <c r="L692" s="57"/>
    </row>
    <row r="693" spans="2:12" ht="13.95" hidden="1" customHeight="1" x14ac:dyDescent="0.3">
      <c r="B693" s="12" t="s">
        <v>106</v>
      </c>
      <c r="C693" s="12" t="s">
        <v>127</v>
      </c>
      <c r="D693" s="74"/>
      <c r="E693" s="74"/>
      <c r="F693" s="74"/>
      <c r="G693" s="74"/>
      <c r="H693" s="74"/>
      <c r="I693" s="74"/>
      <c r="J693" s="74"/>
      <c r="K693" s="74"/>
      <c r="L693" s="57"/>
    </row>
    <row r="694" spans="2:12" ht="13.95" hidden="1" customHeight="1" x14ac:dyDescent="0.3">
      <c r="B694" s="12" t="s">
        <v>107</v>
      </c>
      <c r="C694" s="12" t="s">
        <v>127</v>
      </c>
      <c r="D694" s="74"/>
      <c r="E694" s="74"/>
      <c r="F694" s="74"/>
      <c r="G694" s="74"/>
      <c r="H694" s="74"/>
      <c r="I694" s="74"/>
      <c r="J694" s="74"/>
      <c r="K694" s="74"/>
      <c r="L694" s="57"/>
    </row>
    <row r="695" spans="2:12" ht="13.95" hidden="1" customHeight="1" x14ac:dyDescent="0.3">
      <c r="B695" s="12" t="s">
        <v>108</v>
      </c>
      <c r="C695" s="12" t="s">
        <v>127</v>
      </c>
      <c r="D695" s="74"/>
      <c r="E695" s="74"/>
      <c r="F695" s="74"/>
      <c r="G695" s="74"/>
      <c r="H695" s="74"/>
      <c r="I695" s="74"/>
      <c r="J695" s="74"/>
      <c r="K695" s="74"/>
      <c r="L695" s="57"/>
    </row>
    <row r="696" spans="2:12" ht="13.95" hidden="1" customHeight="1" x14ac:dyDescent="0.3">
      <c r="B696" s="12" t="s">
        <v>109</v>
      </c>
      <c r="C696" s="12" t="s">
        <v>127</v>
      </c>
      <c r="D696" s="74"/>
      <c r="E696" s="74"/>
      <c r="F696" s="74"/>
      <c r="G696" s="74"/>
      <c r="H696" s="74"/>
      <c r="I696" s="74"/>
      <c r="J696" s="74"/>
      <c r="K696" s="74"/>
      <c r="L696" s="57"/>
    </row>
    <row r="697" spans="2:12" ht="13.95" hidden="1" customHeight="1" x14ac:dyDescent="0.3">
      <c r="B697" s="12" t="s">
        <v>110</v>
      </c>
      <c r="C697" s="12" t="s">
        <v>127</v>
      </c>
      <c r="D697" s="74"/>
      <c r="E697" s="74"/>
      <c r="F697" s="74"/>
      <c r="G697" s="74"/>
      <c r="H697" s="74"/>
      <c r="I697" s="74"/>
      <c r="J697" s="74"/>
      <c r="K697" s="74"/>
      <c r="L697" s="57"/>
    </row>
    <row r="698" spans="2:12" ht="13.95" hidden="1" customHeight="1" x14ac:dyDescent="0.3">
      <c r="B698" s="12" t="s">
        <v>111</v>
      </c>
      <c r="C698" s="12" t="s">
        <v>127</v>
      </c>
      <c r="D698" s="74"/>
      <c r="E698" s="74"/>
      <c r="F698" s="74"/>
      <c r="G698" s="74"/>
      <c r="H698" s="74"/>
      <c r="I698" s="74"/>
      <c r="J698" s="74"/>
      <c r="K698" s="74"/>
      <c r="L698" s="57"/>
    </row>
    <row r="699" spans="2:12" ht="13.95" hidden="1" customHeight="1" x14ac:dyDescent="0.3">
      <c r="B699" s="12" t="s">
        <v>112</v>
      </c>
      <c r="C699" s="12" t="s">
        <v>127</v>
      </c>
      <c r="D699" s="74"/>
      <c r="E699" s="74"/>
      <c r="F699" s="74"/>
      <c r="G699" s="74"/>
      <c r="H699" s="74"/>
      <c r="I699" s="74"/>
      <c r="J699" s="74"/>
      <c r="K699" s="74"/>
      <c r="L699" s="57"/>
    </row>
    <row r="700" spans="2:12" ht="13.95" hidden="1" customHeight="1" x14ac:dyDescent="0.3">
      <c r="B700" s="12" t="s">
        <v>113</v>
      </c>
      <c r="C700" s="12" t="s">
        <v>127</v>
      </c>
      <c r="D700" s="74"/>
      <c r="E700" s="74"/>
      <c r="F700" s="74"/>
      <c r="G700" s="74"/>
      <c r="H700" s="74"/>
      <c r="I700" s="74"/>
      <c r="J700" s="74"/>
      <c r="K700" s="74"/>
      <c r="L700" s="57"/>
    </row>
    <row r="701" spans="2:12" ht="13.95" hidden="1" customHeight="1" x14ac:dyDescent="0.3">
      <c r="B701" s="12" t="s">
        <v>114</v>
      </c>
      <c r="C701" s="12" t="s">
        <v>127</v>
      </c>
      <c r="D701" s="74"/>
      <c r="E701" s="74"/>
      <c r="F701" s="74"/>
      <c r="G701" s="74"/>
      <c r="H701" s="74"/>
      <c r="I701" s="74"/>
      <c r="J701" s="74"/>
      <c r="K701" s="74"/>
      <c r="L701" s="57"/>
    </row>
    <row r="702" spans="2:12" ht="13.95" hidden="1" customHeight="1" x14ac:dyDescent="0.3">
      <c r="B702" s="12" t="s">
        <v>115</v>
      </c>
      <c r="C702" s="12" t="s">
        <v>127</v>
      </c>
      <c r="D702" s="74"/>
      <c r="E702" s="74"/>
      <c r="F702" s="74"/>
      <c r="G702" s="74"/>
      <c r="H702" s="74"/>
      <c r="I702" s="74"/>
      <c r="J702" s="74"/>
      <c r="K702" s="74"/>
      <c r="L702" s="57"/>
    </row>
    <row r="703" spans="2:12" ht="13.95" customHeight="1" x14ac:dyDescent="0.3">
      <c r="B703" s="12" t="s">
        <v>62</v>
      </c>
      <c r="C703" s="12" t="s">
        <v>50</v>
      </c>
      <c r="D703" s="74">
        <v>4</v>
      </c>
      <c r="E703" s="74">
        <v>2</v>
      </c>
      <c r="F703" s="74">
        <v>3</v>
      </c>
      <c r="G703" s="74">
        <v>2</v>
      </c>
      <c r="H703" s="74">
        <v>2</v>
      </c>
      <c r="I703" s="74">
        <v>1</v>
      </c>
      <c r="J703" s="74">
        <v>3</v>
      </c>
      <c r="K703" s="74">
        <v>2</v>
      </c>
      <c r="L703" s="57"/>
    </row>
    <row r="704" spans="2:12" ht="13.95" customHeight="1" x14ac:dyDescent="0.3">
      <c r="B704" s="12" t="s">
        <v>64</v>
      </c>
      <c r="C704" s="12" t="s">
        <v>50</v>
      </c>
      <c r="D704" s="74">
        <v>1</v>
      </c>
      <c r="E704" s="74">
        <v>1</v>
      </c>
      <c r="F704" s="74">
        <v>1</v>
      </c>
      <c r="G704" s="74">
        <v>1</v>
      </c>
      <c r="H704" s="74">
        <v>1</v>
      </c>
      <c r="I704" s="74">
        <v>1</v>
      </c>
      <c r="J704" s="74">
        <v>3</v>
      </c>
      <c r="K704" s="74">
        <v>1</v>
      </c>
      <c r="L704" s="57"/>
    </row>
    <row r="705" spans="2:12" ht="13.95" customHeight="1" x14ac:dyDescent="0.3">
      <c r="B705" s="12" t="s">
        <v>65</v>
      </c>
      <c r="C705" s="12" t="s">
        <v>50</v>
      </c>
      <c r="D705" s="74">
        <v>1</v>
      </c>
      <c r="E705" s="74">
        <v>1</v>
      </c>
      <c r="F705" s="74">
        <v>4</v>
      </c>
      <c r="G705" s="74">
        <v>1</v>
      </c>
      <c r="H705" s="74">
        <v>3</v>
      </c>
      <c r="I705" s="74">
        <v>1</v>
      </c>
      <c r="J705" s="74">
        <v>1</v>
      </c>
      <c r="K705" s="74">
        <v>3</v>
      </c>
      <c r="L705" s="57"/>
    </row>
    <row r="706" spans="2:12" ht="13.95" customHeight="1" x14ac:dyDescent="0.3">
      <c r="B706" s="12" t="s">
        <v>66</v>
      </c>
      <c r="C706" s="12" t="s">
        <v>50</v>
      </c>
      <c r="D706" s="74">
        <v>3</v>
      </c>
      <c r="E706" s="74">
        <v>1</v>
      </c>
      <c r="F706" s="74">
        <v>1</v>
      </c>
      <c r="G706" s="74">
        <v>1</v>
      </c>
      <c r="H706" s="74">
        <v>1</v>
      </c>
      <c r="I706" s="74">
        <v>1</v>
      </c>
      <c r="J706" s="74">
        <v>1</v>
      </c>
      <c r="K706" s="74">
        <v>1</v>
      </c>
      <c r="L706" s="57"/>
    </row>
    <row r="707" spans="2:12" ht="13.95" customHeight="1" x14ac:dyDescent="0.3">
      <c r="B707" s="12" t="s">
        <v>67</v>
      </c>
      <c r="C707" s="12" t="s">
        <v>50</v>
      </c>
      <c r="D707" s="74">
        <v>1</v>
      </c>
      <c r="E707" s="74">
        <v>1</v>
      </c>
      <c r="F707" s="74">
        <v>1</v>
      </c>
      <c r="G707" s="74">
        <v>2</v>
      </c>
      <c r="H707" s="74">
        <v>4</v>
      </c>
      <c r="I707" s="74">
        <v>4</v>
      </c>
      <c r="J707" s="74">
        <v>2</v>
      </c>
      <c r="K707" s="74">
        <v>4</v>
      </c>
      <c r="L707" s="57"/>
    </row>
    <row r="708" spans="2:12" ht="13.95" customHeight="1" x14ac:dyDescent="0.3">
      <c r="B708" s="12" t="s">
        <v>68</v>
      </c>
      <c r="C708" s="12" t="s">
        <v>50</v>
      </c>
      <c r="D708" s="74">
        <v>1</v>
      </c>
      <c r="E708" s="74">
        <v>1</v>
      </c>
      <c r="F708" s="74">
        <v>1</v>
      </c>
      <c r="G708" s="74">
        <v>2</v>
      </c>
      <c r="H708" s="74">
        <v>2</v>
      </c>
      <c r="I708" s="74">
        <v>1</v>
      </c>
      <c r="J708" s="74">
        <v>1</v>
      </c>
      <c r="K708" s="74">
        <v>2</v>
      </c>
      <c r="L708" s="57"/>
    </row>
    <row r="709" spans="2:12" ht="13.95" customHeight="1" x14ac:dyDescent="0.3">
      <c r="B709" s="12" t="s">
        <v>69</v>
      </c>
      <c r="C709" s="12" t="s">
        <v>50</v>
      </c>
      <c r="D709" s="74">
        <v>1</v>
      </c>
      <c r="E709" s="74">
        <v>1</v>
      </c>
      <c r="F709" s="74">
        <v>2</v>
      </c>
      <c r="G709" s="74">
        <v>1</v>
      </c>
      <c r="H709" s="74">
        <v>1</v>
      </c>
      <c r="I709" s="74">
        <v>5</v>
      </c>
      <c r="J709" s="74">
        <v>4</v>
      </c>
      <c r="K709" s="74">
        <v>1</v>
      </c>
      <c r="L709" s="57"/>
    </row>
    <row r="710" spans="2:12" ht="13.95" customHeight="1" x14ac:dyDescent="0.3">
      <c r="B710" s="12" t="s">
        <v>70</v>
      </c>
      <c r="C710" s="12" t="s">
        <v>50</v>
      </c>
      <c r="D710" s="74">
        <v>1</v>
      </c>
      <c r="E710" s="74">
        <v>1</v>
      </c>
      <c r="F710" s="74">
        <v>3</v>
      </c>
      <c r="G710" s="74">
        <v>2</v>
      </c>
      <c r="H710" s="74">
        <v>3</v>
      </c>
      <c r="I710" s="74">
        <v>4</v>
      </c>
      <c r="J710" s="74">
        <v>1</v>
      </c>
      <c r="K710" s="74">
        <v>3</v>
      </c>
      <c r="L710" s="57"/>
    </row>
    <row r="711" spans="2:12" ht="13.95" customHeight="1" x14ac:dyDescent="0.3">
      <c r="B711" s="12" t="s">
        <v>71</v>
      </c>
      <c r="C711" s="12" t="s">
        <v>50</v>
      </c>
      <c r="D711" s="74">
        <v>4</v>
      </c>
      <c r="E711" s="74">
        <v>1</v>
      </c>
      <c r="F711" s="74">
        <v>1</v>
      </c>
      <c r="G711" s="74">
        <v>1</v>
      </c>
      <c r="H711" s="74">
        <v>1</v>
      </c>
      <c r="I711" s="74">
        <v>1</v>
      </c>
      <c r="J711" s="74">
        <v>3</v>
      </c>
      <c r="K711" s="74">
        <v>1</v>
      </c>
      <c r="L711" s="57"/>
    </row>
    <row r="712" spans="2:12" ht="13.95" customHeight="1" x14ac:dyDescent="0.3">
      <c r="B712" s="12" t="s">
        <v>72</v>
      </c>
      <c r="C712" s="12" t="s">
        <v>50</v>
      </c>
      <c r="D712" s="74">
        <v>1</v>
      </c>
      <c r="E712" s="74">
        <v>4</v>
      </c>
      <c r="F712" s="74">
        <v>2</v>
      </c>
      <c r="G712" s="74">
        <v>1</v>
      </c>
      <c r="H712" s="74">
        <v>1</v>
      </c>
      <c r="I712" s="74">
        <v>1</v>
      </c>
      <c r="J712" s="74">
        <v>1</v>
      </c>
      <c r="K712" s="74">
        <v>1</v>
      </c>
      <c r="L712" s="57"/>
    </row>
    <row r="713" spans="2:12" ht="13.95" customHeight="1" x14ac:dyDescent="0.3">
      <c r="B713" s="12" t="s">
        <v>73</v>
      </c>
      <c r="C713" s="12" t="s">
        <v>50</v>
      </c>
      <c r="D713" s="74">
        <v>1</v>
      </c>
      <c r="E713" s="74">
        <v>1</v>
      </c>
      <c r="F713" s="74">
        <v>1</v>
      </c>
      <c r="G713" s="74">
        <v>4</v>
      </c>
      <c r="H713" s="74">
        <v>1</v>
      </c>
      <c r="I713" s="74">
        <v>5</v>
      </c>
      <c r="J713" s="74">
        <v>1</v>
      </c>
      <c r="K713" s="74">
        <v>1</v>
      </c>
      <c r="L713" s="57"/>
    </row>
    <row r="714" spans="2:12" ht="13.95" customHeight="1" x14ac:dyDescent="0.3">
      <c r="B714" s="12" t="s">
        <v>74</v>
      </c>
      <c r="C714" s="12" t="s">
        <v>50</v>
      </c>
      <c r="D714" s="74">
        <v>1</v>
      </c>
      <c r="E714" s="74">
        <v>1</v>
      </c>
      <c r="F714" s="74">
        <v>1</v>
      </c>
      <c r="G714" s="74">
        <v>2</v>
      </c>
      <c r="H714" s="74">
        <v>4</v>
      </c>
      <c r="I714" s="74">
        <v>4</v>
      </c>
      <c r="J714" s="74">
        <v>2</v>
      </c>
      <c r="K714" s="74">
        <v>4</v>
      </c>
      <c r="L714" s="57"/>
    </row>
    <row r="715" spans="2:12" ht="13.95" customHeight="1" x14ac:dyDescent="0.3">
      <c r="B715" s="12" t="s">
        <v>75</v>
      </c>
      <c r="C715" s="12" t="s">
        <v>50</v>
      </c>
      <c r="D715" s="74">
        <v>1</v>
      </c>
      <c r="E715" s="74">
        <v>1</v>
      </c>
      <c r="F715" s="74">
        <v>1</v>
      </c>
      <c r="G715" s="74">
        <v>2</v>
      </c>
      <c r="H715" s="74">
        <v>2</v>
      </c>
      <c r="I715" s="74">
        <v>1</v>
      </c>
      <c r="J715" s="74">
        <v>1</v>
      </c>
      <c r="K715" s="74">
        <v>2</v>
      </c>
      <c r="L715" s="57"/>
    </row>
    <row r="716" spans="2:12" ht="13.95" customHeight="1" x14ac:dyDescent="0.3">
      <c r="B716" s="12" t="s">
        <v>76</v>
      </c>
      <c r="C716" s="12" t="s">
        <v>50</v>
      </c>
      <c r="D716" s="74">
        <v>1</v>
      </c>
      <c r="E716" s="74">
        <v>1</v>
      </c>
      <c r="F716" s="74">
        <v>2</v>
      </c>
      <c r="G716" s="74">
        <v>1</v>
      </c>
      <c r="H716" s="74">
        <v>1</v>
      </c>
      <c r="I716" s="74">
        <v>1</v>
      </c>
      <c r="J716" s="74">
        <v>4</v>
      </c>
      <c r="K716" s="74">
        <v>1</v>
      </c>
      <c r="L716" s="57"/>
    </row>
    <row r="717" spans="2:12" ht="13.95" customHeight="1" x14ac:dyDescent="0.3">
      <c r="B717" s="12" t="s">
        <v>77</v>
      </c>
      <c r="C717" s="12" t="s">
        <v>50</v>
      </c>
      <c r="D717" s="74">
        <v>1</v>
      </c>
      <c r="E717" s="74">
        <v>1</v>
      </c>
      <c r="F717" s="74">
        <v>1</v>
      </c>
      <c r="G717" s="74">
        <v>1</v>
      </c>
      <c r="H717" s="74">
        <v>1</v>
      </c>
      <c r="I717" s="74">
        <v>1</v>
      </c>
      <c r="J717" s="74">
        <v>1</v>
      </c>
      <c r="K717" s="74">
        <v>1</v>
      </c>
      <c r="L717" s="57"/>
    </row>
    <row r="718" spans="2:12" ht="13.95" customHeight="1" x14ac:dyDescent="0.3">
      <c r="B718" s="12" t="s">
        <v>78</v>
      </c>
      <c r="C718" s="12" t="s">
        <v>50</v>
      </c>
      <c r="D718" s="74">
        <v>4</v>
      </c>
      <c r="E718" s="74">
        <v>1</v>
      </c>
      <c r="F718" s="74">
        <v>1</v>
      </c>
      <c r="G718" s="74">
        <v>1</v>
      </c>
      <c r="H718" s="74">
        <v>1</v>
      </c>
      <c r="I718" s="74">
        <v>1</v>
      </c>
      <c r="J718" s="74">
        <v>3</v>
      </c>
      <c r="K718" s="74">
        <v>1</v>
      </c>
      <c r="L718" s="57"/>
    </row>
    <row r="719" spans="2:12" ht="13.95" customHeight="1" x14ac:dyDescent="0.3">
      <c r="B719" s="12" t="s">
        <v>79</v>
      </c>
      <c r="C719" s="12" t="s">
        <v>50</v>
      </c>
      <c r="D719" s="74">
        <v>4</v>
      </c>
      <c r="E719" s="74">
        <v>1</v>
      </c>
      <c r="F719" s="74">
        <v>1</v>
      </c>
      <c r="G719" s="74">
        <v>1</v>
      </c>
      <c r="H719" s="74">
        <v>1</v>
      </c>
      <c r="I719" s="74">
        <v>1</v>
      </c>
      <c r="J719" s="74">
        <v>3</v>
      </c>
      <c r="K719" s="74">
        <v>1</v>
      </c>
      <c r="L719" s="57"/>
    </row>
    <row r="720" spans="2:12" ht="13.95" customHeight="1" x14ac:dyDescent="0.3">
      <c r="B720" s="12" t="s">
        <v>80</v>
      </c>
      <c r="C720" s="12" t="s">
        <v>50</v>
      </c>
      <c r="D720" s="74">
        <v>3</v>
      </c>
      <c r="E720" s="74">
        <v>2</v>
      </c>
      <c r="F720" s="74">
        <v>1</v>
      </c>
      <c r="G720" s="74">
        <v>1</v>
      </c>
      <c r="H720" s="74">
        <v>2</v>
      </c>
      <c r="I720" s="74">
        <v>2</v>
      </c>
      <c r="J720" s="74">
        <v>2</v>
      </c>
      <c r="K720" s="74">
        <v>2</v>
      </c>
      <c r="L720" s="57"/>
    </row>
    <row r="721" spans="2:12" ht="13.95" customHeight="1" x14ac:dyDescent="0.3">
      <c r="B721" s="12" t="s">
        <v>81</v>
      </c>
      <c r="C721" s="12" t="s">
        <v>50</v>
      </c>
      <c r="D721" s="74">
        <v>1</v>
      </c>
      <c r="E721" s="74">
        <v>4</v>
      </c>
      <c r="F721" s="74">
        <v>4</v>
      </c>
      <c r="G721" s="74">
        <v>1</v>
      </c>
      <c r="H721" s="74">
        <v>1</v>
      </c>
      <c r="I721" s="74">
        <v>1</v>
      </c>
      <c r="J721" s="74">
        <v>2</v>
      </c>
      <c r="K721" s="74">
        <v>1</v>
      </c>
      <c r="L721" s="57"/>
    </row>
    <row r="722" spans="2:12" ht="13.95" customHeight="1" x14ac:dyDescent="0.3">
      <c r="B722" s="12" t="s">
        <v>82</v>
      </c>
      <c r="C722" s="12" t="s">
        <v>50</v>
      </c>
      <c r="D722" s="74">
        <v>1</v>
      </c>
      <c r="E722" s="74">
        <v>3</v>
      </c>
      <c r="F722" s="74">
        <v>4</v>
      </c>
      <c r="G722" s="74">
        <v>1</v>
      </c>
      <c r="H722" s="74">
        <v>1</v>
      </c>
      <c r="I722" s="74">
        <v>1</v>
      </c>
      <c r="J722" s="74">
        <v>2</v>
      </c>
      <c r="K722" s="74">
        <v>1</v>
      </c>
      <c r="L722" s="57"/>
    </row>
    <row r="723" spans="2:12" ht="13.95" customHeight="1" x14ac:dyDescent="0.3">
      <c r="B723" s="12" t="s">
        <v>83</v>
      </c>
      <c r="C723" s="12" t="s">
        <v>50</v>
      </c>
      <c r="D723" s="74">
        <v>1</v>
      </c>
      <c r="E723" s="74">
        <v>1</v>
      </c>
      <c r="F723" s="74">
        <v>1</v>
      </c>
      <c r="G723" s="74">
        <v>2</v>
      </c>
      <c r="H723" s="74">
        <v>4</v>
      </c>
      <c r="I723" s="74">
        <v>2</v>
      </c>
      <c r="J723" s="74">
        <v>2</v>
      </c>
      <c r="K723" s="74">
        <v>4</v>
      </c>
      <c r="L723" s="57"/>
    </row>
    <row r="724" spans="2:12" ht="13.95" customHeight="1" x14ac:dyDescent="0.3">
      <c r="B724" s="12" t="s">
        <v>84</v>
      </c>
      <c r="C724" s="12" t="s">
        <v>50</v>
      </c>
      <c r="D724" s="74">
        <v>1</v>
      </c>
      <c r="E724" s="74">
        <v>1</v>
      </c>
      <c r="F724" s="74">
        <v>1</v>
      </c>
      <c r="G724" s="74">
        <v>2</v>
      </c>
      <c r="H724" s="74">
        <v>2</v>
      </c>
      <c r="I724" s="74">
        <v>4</v>
      </c>
      <c r="J724" s="74">
        <v>2</v>
      </c>
      <c r="K724" s="74">
        <v>2</v>
      </c>
      <c r="L724" s="57"/>
    </row>
    <row r="725" spans="2:12" ht="13.95" customHeight="1" x14ac:dyDescent="0.3">
      <c r="B725" s="12" t="s">
        <v>85</v>
      </c>
      <c r="C725" s="12" t="s">
        <v>50</v>
      </c>
      <c r="D725" s="74">
        <v>1</v>
      </c>
      <c r="E725" s="74">
        <v>1</v>
      </c>
      <c r="F725" s="74">
        <v>1</v>
      </c>
      <c r="G725" s="74">
        <v>4</v>
      </c>
      <c r="H725" s="74">
        <v>1</v>
      </c>
      <c r="I725" s="74">
        <v>1</v>
      </c>
      <c r="J725" s="74">
        <v>2</v>
      </c>
      <c r="K725" s="74">
        <v>1</v>
      </c>
      <c r="L725" s="57"/>
    </row>
    <row r="726" spans="2:12" ht="13.95" customHeight="1" x14ac:dyDescent="0.3">
      <c r="B726" s="12" t="s">
        <v>86</v>
      </c>
      <c r="C726" s="12" t="s">
        <v>50</v>
      </c>
      <c r="D726" s="74">
        <v>1</v>
      </c>
      <c r="E726" s="74">
        <v>1</v>
      </c>
      <c r="F726" s="74">
        <v>1</v>
      </c>
      <c r="G726" s="74">
        <v>4</v>
      </c>
      <c r="H726" s="74">
        <v>1</v>
      </c>
      <c r="I726" s="74">
        <v>1</v>
      </c>
      <c r="J726" s="74">
        <v>2</v>
      </c>
      <c r="K726" s="74">
        <v>1</v>
      </c>
      <c r="L726" s="57"/>
    </row>
    <row r="727" spans="2:12" ht="13.95" customHeight="1" x14ac:dyDescent="0.3">
      <c r="B727" s="12" t="s">
        <v>87</v>
      </c>
      <c r="C727" s="12" t="s">
        <v>50</v>
      </c>
      <c r="D727" s="74">
        <v>1</v>
      </c>
      <c r="E727" s="74">
        <v>1</v>
      </c>
      <c r="F727" s="74">
        <v>1</v>
      </c>
      <c r="G727" s="74">
        <v>2</v>
      </c>
      <c r="H727" s="74">
        <v>2</v>
      </c>
      <c r="I727" s="74">
        <v>1</v>
      </c>
      <c r="J727" s="74">
        <v>2</v>
      </c>
      <c r="K727" s="74">
        <v>2</v>
      </c>
      <c r="L727" s="57"/>
    </row>
    <row r="728" spans="2:12" ht="13.95" customHeight="1" x14ac:dyDescent="0.3">
      <c r="B728" s="12" t="s">
        <v>88</v>
      </c>
      <c r="C728" s="12" t="s">
        <v>50</v>
      </c>
      <c r="D728" s="74">
        <v>1</v>
      </c>
      <c r="E728" s="74">
        <v>1</v>
      </c>
      <c r="F728" s="74">
        <v>1</v>
      </c>
      <c r="G728" s="74">
        <v>2</v>
      </c>
      <c r="H728" s="74">
        <v>2</v>
      </c>
      <c r="I728" s="74">
        <v>1</v>
      </c>
      <c r="J728" s="74">
        <v>2</v>
      </c>
      <c r="K728" s="74">
        <v>2</v>
      </c>
      <c r="L728" s="57"/>
    </row>
    <row r="729" spans="2:12" ht="13.95" customHeight="1" x14ac:dyDescent="0.3">
      <c r="B729" s="12" t="s">
        <v>89</v>
      </c>
      <c r="C729" s="12" t="s">
        <v>50</v>
      </c>
      <c r="D729" s="74">
        <v>1</v>
      </c>
      <c r="E729" s="74">
        <v>2</v>
      </c>
      <c r="F729" s="74">
        <v>2</v>
      </c>
      <c r="G729" s="74">
        <v>2</v>
      </c>
      <c r="H729" s="74">
        <v>2</v>
      </c>
      <c r="I729" s="74">
        <v>2</v>
      </c>
      <c r="J729" s="74">
        <v>2</v>
      </c>
      <c r="K729" s="74">
        <v>2</v>
      </c>
      <c r="L729" s="57"/>
    </row>
    <row r="730" spans="2:12" ht="13.95" customHeight="1" x14ac:dyDescent="0.3">
      <c r="B730" s="12" t="s">
        <v>90</v>
      </c>
      <c r="C730" s="12" t="s">
        <v>50</v>
      </c>
      <c r="D730" s="74">
        <v>1</v>
      </c>
      <c r="E730" s="74">
        <v>2</v>
      </c>
      <c r="F730" s="74">
        <v>2</v>
      </c>
      <c r="G730" s="74">
        <v>2</v>
      </c>
      <c r="H730" s="74">
        <v>2</v>
      </c>
      <c r="I730" s="74">
        <v>2</v>
      </c>
      <c r="J730" s="74">
        <v>2</v>
      </c>
      <c r="K730" s="74">
        <v>2</v>
      </c>
      <c r="L730" s="57"/>
    </row>
    <row r="731" spans="2:12" ht="13.95" customHeight="1" x14ac:dyDescent="0.3">
      <c r="B731" s="12" t="s">
        <v>91</v>
      </c>
      <c r="C731" s="12" t="s">
        <v>50</v>
      </c>
      <c r="D731" s="74">
        <v>1</v>
      </c>
      <c r="E731" s="74">
        <v>1</v>
      </c>
      <c r="F731" s="74">
        <v>3</v>
      </c>
      <c r="G731" s="74">
        <v>2</v>
      </c>
      <c r="H731" s="74">
        <v>2</v>
      </c>
      <c r="I731" s="74">
        <v>2</v>
      </c>
      <c r="J731" s="74">
        <v>2</v>
      </c>
      <c r="K731" s="74">
        <v>2</v>
      </c>
      <c r="L731" s="57"/>
    </row>
    <row r="732" spans="2:12" ht="13.95" customHeight="1" x14ac:dyDescent="0.3">
      <c r="B732" s="12" t="s">
        <v>92</v>
      </c>
      <c r="C732" s="12" t="s">
        <v>50</v>
      </c>
      <c r="D732" s="74">
        <v>1</v>
      </c>
      <c r="E732" s="74">
        <v>4</v>
      </c>
      <c r="F732" s="74">
        <v>4</v>
      </c>
      <c r="G732" s="74">
        <v>1</v>
      </c>
      <c r="H732" s="74">
        <v>1</v>
      </c>
      <c r="I732" s="74">
        <v>1</v>
      </c>
      <c r="J732" s="74">
        <v>1</v>
      </c>
      <c r="K732" s="74">
        <v>1</v>
      </c>
      <c r="L732" s="57"/>
    </row>
    <row r="733" spans="2:12" ht="13.95" customHeight="1" x14ac:dyDescent="0.3">
      <c r="B733" s="12" t="s">
        <v>93</v>
      </c>
      <c r="C733" s="12" t="s">
        <v>50</v>
      </c>
      <c r="D733" s="74">
        <v>1</v>
      </c>
      <c r="E733" s="74">
        <v>1</v>
      </c>
      <c r="F733" s="74">
        <v>1</v>
      </c>
      <c r="G733" s="74">
        <v>4</v>
      </c>
      <c r="H733" s="74">
        <v>1</v>
      </c>
      <c r="I733" s="74">
        <v>1</v>
      </c>
      <c r="J733" s="74">
        <v>1</v>
      </c>
      <c r="K733" s="74">
        <v>1</v>
      </c>
      <c r="L733" s="57"/>
    </row>
    <row r="734" spans="2:12" ht="13.95" customHeight="1" x14ac:dyDescent="0.3">
      <c r="B734" s="12" t="s">
        <v>94</v>
      </c>
      <c r="C734" s="12" t="s">
        <v>50</v>
      </c>
      <c r="D734" s="74">
        <v>1</v>
      </c>
      <c r="E734" s="74">
        <v>1</v>
      </c>
      <c r="F734" s="74">
        <v>1</v>
      </c>
      <c r="G734" s="74">
        <v>2</v>
      </c>
      <c r="H734" s="74">
        <v>4</v>
      </c>
      <c r="I734" s="74">
        <v>4</v>
      </c>
      <c r="J734" s="74">
        <v>2</v>
      </c>
      <c r="K734" s="74">
        <v>4</v>
      </c>
      <c r="L734" s="57"/>
    </row>
    <row r="735" spans="2:12" ht="13.95" customHeight="1" x14ac:dyDescent="0.3">
      <c r="B735" s="12" t="s">
        <v>95</v>
      </c>
      <c r="C735" s="12" t="s">
        <v>50</v>
      </c>
      <c r="D735" s="74">
        <v>1</v>
      </c>
      <c r="E735" s="74">
        <v>1</v>
      </c>
      <c r="F735" s="74">
        <v>1</v>
      </c>
      <c r="G735" s="74">
        <v>2</v>
      </c>
      <c r="H735" s="74">
        <v>2</v>
      </c>
      <c r="I735" s="74">
        <v>1</v>
      </c>
      <c r="J735" s="74">
        <v>1</v>
      </c>
      <c r="K735" s="74">
        <v>2</v>
      </c>
      <c r="L735" s="57"/>
    </row>
    <row r="736" spans="2:12" ht="13.95" customHeight="1" x14ac:dyDescent="0.3">
      <c r="B736" s="12" t="s">
        <v>96</v>
      </c>
      <c r="C736" s="12" t="s">
        <v>50</v>
      </c>
      <c r="D736" s="74">
        <v>1</v>
      </c>
      <c r="E736" s="74">
        <v>1</v>
      </c>
      <c r="F736" s="74">
        <v>1</v>
      </c>
      <c r="G736" s="74">
        <v>1</v>
      </c>
      <c r="H736" s="74">
        <v>1</v>
      </c>
      <c r="I736" s="74">
        <v>1</v>
      </c>
      <c r="J736" s="74">
        <v>1</v>
      </c>
      <c r="K736" s="74">
        <v>1</v>
      </c>
      <c r="L736" s="57"/>
    </row>
    <row r="737" spans="2:12" ht="13.95" customHeight="1" x14ac:dyDescent="0.3">
      <c r="B737" s="12" t="s">
        <v>97</v>
      </c>
      <c r="C737" s="12" t="s">
        <v>50</v>
      </c>
      <c r="D737" s="74">
        <v>1</v>
      </c>
      <c r="E737" s="74">
        <v>2</v>
      </c>
      <c r="F737" s="74">
        <v>2</v>
      </c>
      <c r="G737" s="74">
        <v>2</v>
      </c>
      <c r="H737" s="74">
        <v>2</v>
      </c>
      <c r="I737" s="74">
        <v>2</v>
      </c>
      <c r="J737" s="74">
        <v>2</v>
      </c>
      <c r="K737" s="74">
        <v>2</v>
      </c>
      <c r="L737" s="57"/>
    </row>
    <row r="738" spans="2:12" ht="13.95" customHeight="1" x14ac:dyDescent="0.3">
      <c r="B738" s="12" t="s">
        <v>98</v>
      </c>
      <c r="C738" s="12" t="s">
        <v>50</v>
      </c>
      <c r="D738" s="74">
        <v>1</v>
      </c>
      <c r="E738" s="74">
        <v>4</v>
      </c>
      <c r="F738" s="74">
        <v>4</v>
      </c>
      <c r="G738" s="74">
        <v>4</v>
      </c>
      <c r="H738" s="74">
        <v>4</v>
      </c>
      <c r="I738" s="74">
        <v>4</v>
      </c>
      <c r="J738" s="74">
        <v>2</v>
      </c>
      <c r="K738" s="74">
        <v>4</v>
      </c>
      <c r="L738" s="57"/>
    </row>
    <row r="739" spans="2:12" ht="13.95" customHeight="1" x14ac:dyDescent="0.3">
      <c r="B739" s="12" t="s">
        <v>99</v>
      </c>
      <c r="C739" s="12" t="s">
        <v>50</v>
      </c>
      <c r="D739" s="74">
        <v>4</v>
      </c>
      <c r="E739" s="74">
        <v>3</v>
      </c>
      <c r="F739" s="74">
        <v>2</v>
      </c>
      <c r="G739" s="74">
        <v>1</v>
      </c>
      <c r="H739" s="74">
        <v>1</v>
      </c>
      <c r="I739" s="74">
        <v>1</v>
      </c>
      <c r="J739" s="74">
        <v>2</v>
      </c>
      <c r="K739" s="74">
        <v>1</v>
      </c>
      <c r="L739" s="57"/>
    </row>
    <row r="740" spans="2:12" ht="13.95" customHeight="1" x14ac:dyDescent="0.3">
      <c r="B740" s="12" t="s">
        <v>100</v>
      </c>
      <c r="C740" s="12" t="s">
        <v>50</v>
      </c>
      <c r="D740" s="74">
        <v>1</v>
      </c>
      <c r="E740" s="74">
        <v>4</v>
      </c>
      <c r="F740" s="74">
        <v>4</v>
      </c>
      <c r="G740" s="74">
        <v>1</v>
      </c>
      <c r="H740" s="74">
        <v>1</v>
      </c>
      <c r="I740" s="74">
        <v>1</v>
      </c>
      <c r="J740" s="74">
        <v>2</v>
      </c>
      <c r="K740" s="74">
        <v>1</v>
      </c>
      <c r="L740" s="57"/>
    </row>
    <row r="741" spans="2:12" ht="13.95" customHeight="1" x14ac:dyDescent="0.3">
      <c r="B741" s="12" t="s">
        <v>101</v>
      </c>
      <c r="C741" s="12" t="s">
        <v>50</v>
      </c>
      <c r="D741" s="74">
        <v>1</v>
      </c>
      <c r="E741" s="74">
        <v>3</v>
      </c>
      <c r="F741" s="74">
        <v>4</v>
      </c>
      <c r="G741" s="74">
        <v>1</v>
      </c>
      <c r="H741" s="74">
        <v>1</v>
      </c>
      <c r="I741" s="74">
        <v>1</v>
      </c>
      <c r="J741" s="74">
        <v>2</v>
      </c>
      <c r="K741" s="74">
        <v>1</v>
      </c>
      <c r="L741" s="57"/>
    </row>
    <row r="742" spans="2:12" ht="13.95" customHeight="1" x14ac:dyDescent="0.3">
      <c r="B742" s="12" t="s">
        <v>102</v>
      </c>
      <c r="C742" s="12" t="s">
        <v>50</v>
      </c>
      <c r="D742" s="74">
        <v>1</v>
      </c>
      <c r="E742" s="74">
        <v>1</v>
      </c>
      <c r="F742" s="74">
        <v>1</v>
      </c>
      <c r="G742" s="74">
        <v>2</v>
      </c>
      <c r="H742" s="74">
        <v>2</v>
      </c>
      <c r="I742" s="74">
        <v>2</v>
      </c>
      <c r="J742" s="74">
        <v>2</v>
      </c>
      <c r="K742" s="74">
        <v>2</v>
      </c>
      <c r="L742" s="57"/>
    </row>
    <row r="743" spans="2:12" ht="13.95" customHeight="1" x14ac:dyDescent="0.3">
      <c r="B743" s="12" t="s">
        <v>103</v>
      </c>
      <c r="C743" s="12" t="s">
        <v>50</v>
      </c>
      <c r="D743" s="74">
        <v>1</v>
      </c>
      <c r="E743" s="74">
        <v>1</v>
      </c>
      <c r="F743" s="74">
        <v>1</v>
      </c>
      <c r="G743" s="74">
        <v>1</v>
      </c>
      <c r="H743" s="74">
        <v>3</v>
      </c>
      <c r="I743" s="74">
        <v>3</v>
      </c>
      <c r="J743" s="74">
        <v>2</v>
      </c>
      <c r="K743" s="74">
        <v>3</v>
      </c>
      <c r="L743" s="57"/>
    </row>
    <row r="744" spans="2:12" ht="13.95" customHeight="1" x14ac:dyDescent="0.3">
      <c r="B744" s="12" t="s">
        <v>104</v>
      </c>
      <c r="C744" s="12" t="s">
        <v>50</v>
      </c>
      <c r="D744" s="74">
        <v>1</v>
      </c>
      <c r="E744" s="74">
        <v>1</v>
      </c>
      <c r="F744" s="74">
        <v>1</v>
      </c>
      <c r="G744" s="74">
        <v>1</v>
      </c>
      <c r="H744" s="74">
        <v>4</v>
      </c>
      <c r="I744" s="74">
        <v>4</v>
      </c>
      <c r="J744" s="74">
        <v>2</v>
      </c>
      <c r="K744" s="74">
        <v>4</v>
      </c>
      <c r="L744" s="57"/>
    </row>
    <row r="745" spans="2:12" ht="13.95" customHeight="1" x14ac:dyDescent="0.3">
      <c r="B745" s="12" t="s">
        <v>105</v>
      </c>
      <c r="C745" s="12" t="s">
        <v>50</v>
      </c>
      <c r="D745" s="74">
        <v>1</v>
      </c>
      <c r="E745" s="74">
        <v>1</v>
      </c>
      <c r="F745" s="74">
        <v>1</v>
      </c>
      <c r="G745" s="74">
        <v>2</v>
      </c>
      <c r="H745" s="74">
        <v>1</v>
      </c>
      <c r="I745" s="74">
        <v>1</v>
      </c>
      <c r="J745" s="74">
        <v>2</v>
      </c>
      <c r="K745" s="74">
        <v>1</v>
      </c>
      <c r="L745" s="57"/>
    </row>
    <row r="746" spans="2:12" ht="13.95" customHeight="1" x14ac:dyDescent="0.3">
      <c r="B746" s="12" t="s">
        <v>106</v>
      </c>
      <c r="C746" s="12" t="s">
        <v>50</v>
      </c>
      <c r="D746" s="74">
        <v>1</v>
      </c>
      <c r="E746" s="74">
        <v>1</v>
      </c>
      <c r="F746" s="74">
        <v>1</v>
      </c>
      <c r="G746" s="74">
        <v>2</v>
      </c>
      <c r="H746" s="74">
        <v>2</v>
      </c>
      <c r="I746" s="74">
        <v>1</v>
      </c>
      <c r="J746" s="74">
        <v>2</v>
      </c>
      <c r="K746" s="74">
        <v>2</v>
      </c>
      <c r="L746" s="57"/>
    </row>
    <row r="747" spans="2:12" ht="13.95" customHeight="1" x14ac:dyDescent="0.3">
      <c r="B747" s="12" t="s">
        <v>107</v>
      </c>
      <c r="C747" s="12" t="s">
        <v>50</v>
      </c>
      <c r="D747" s="74">
        <v>1</v>
      </c>
      <c r="E747" s="74">
        <v>1</v>
      </c>
      <c r="F747" s="74">
        <v>1</v>
      </c>
      <c r="G747" s="74">
        <v>2</v>
      </c>
      <c r="H747" s="74">
        <v>2</v>
      </c>
      <c r="I747" s="74">
        <v>1</v>
      </c>
      <c r="J747" s="74">
        <v>2</v>
      </c>
      <c r="K747" s="74">
        <v>2</v>
      </c>
      <c r="L747" s="57"/>
    </row>
    <row r="748" spans="2:12" ht="13.95" customHeight="1" x14ac:dyDescent="0.3">
      <c r="B748" s="12" t="s">
        <v>108</v>
      </c>
      <c r="C748" s="12" t="s">
        <v>50</v>
      </c>
      <c r="D748" s="74">
        <v>1</v>
      </c>
      <c r="E748" s="74">
        <v>2</v>
      </c>
      <c r="F748" s="74">
        <v>2</v>
      </c>
      <c r="G748" s="74">
        <v>1</v>
      </c>
      <c r="H748" s="74">
        <v>2</v>
      </c>
      <c r="I748" s="74">
        <v>3</v>
      </c>
      <c r="J748" s="74">
        <v>2</v>
      </c>
      <c r="K748" s="74">
        <v>2</v>
      </c>
      <c r="L748" s="57"/>
    </row>
    <row r="749" spans="2:12" ht="13.95" customHeight="1" x14ac:dyDescent="0.3">
      <c r="B749" s="12" t="s">
        <v>109</v>
      </c>
      <c r="C749" s="12" t="s">
        <v>50</v>
      </c>
      <c r="D749" s="74">
        <v>1</v>
      </c>
      <c r="E749" s="74">
        <v>2</v>
      </c>
      <c r="F749" s="74">
        <v>2</v>
      </c>
      <c r="G749" s="74">
        <v>2</v>
      </c>
      <c r="H749" s="74">
        <v>2</v>
      </c>
      <c r="I749" s="74">
        <v>2</v>
      </c>
      <c r="J749" s="74">
        <v>2</v>
      </c>
      <c r="K749" s="74">
        <v>2</v>
      </c>
      <c r="L749" s="57"/>
    </row>
    <row r="750" spans="2:12" ht="13.95" customHeight="1" x14ac:dyDescent="0.3">
      <c r="B750" s="12" t="s">
        <v>110</v>
      </c>
      <c r="C750" s="12" t="s">
        <v>50</v>
      </c>
      <c r="D750" s="74">
        <v>1</v>
      </c>
      <c r="E750" s="74">
        <v>1</v>
      </c>
      <c r="F750" s="74">
        <v>1</v>
      </c>
      <c r="G750" s="74">
        <v>1</v>
      </c>
      <c r="H750" s="74">
        <v>1</v>
      </c>
      <c r="I750" s="74">
        <v>1</v>
      </c>
      <c r="J750" s="74">
        <v>1</v>
      </c>
      <c r="K750" s="74">
        <v>1</v>
      </c>
      <c r="L750" s="57"/>
    </row>
    <row r="751" spans="2:12" ht="13.95" customHeight="1" x14ac:dyDescent="0.3">
      <c r="B751" s="12" t="s">
        <v>111</v>
      </c>
      <c r="C751" s="12" t="s">
        <v>50</v>
      </c>
      <c r="D751" s="74">
        <v>1</v>
      </c>
      <c r="E751" s="74">
        <v>4</v>
      </c>
      <c r="F751" s="74">
        <v>4</v>
      </c>
      <c r="G751" s="74">
        <v>1</v>
      </c>
      <c r="H751" s="74">
        <v>1</v>
      </c>
      <c r="I751" s="74">
        <v>1</v>
      </c>
      <c r="J751" s="74">
        <v>2</v>
      </c>
      <c r="K751" s="74">
        <v>1</v>
      </c>
      <c r="L751" s="57"/>
    </row>
    <row r="752" spans="2:12" ht="13.95" customHeight="1" x14ac:dyDescent="0.3">
      <c r="B752" s="12" t="s">
        <v>112</v>
      </c>
      <c r="C752" s="12" t="s">
        <v>50</v>
      </c>
      <c r="D752" s="74">
        <v>1</v>
      </c>
      <c r="E752" s="74">
        <v>1</v>
      </c>
      <c r="F752" s="74">
        <v>1</v>
      </c>
      <c r="G752" s="74">
        <v>4</v>
      </c>
      <c r="H752" s="74">
        <v>1</v>
      </c>
      <c r="I752" s="74">
        <v>1</v>
      </c>
      <c r="J752" s="74">
        <v>2</v>
      </c>
      <c r="K752" s="74">
        <v>1</v>
      </c>
      <c r="L752" s="57"/>
    </row>
    <row r="753" spans="2:12" ht="13.95" customHeight="1" x14ac:dyDescent="0.3">
      <c r="B753" s="12" t="s">
        <v>113</v>
      </c>
      <c r="C753" s="12" t="s">
        <v>50</v>
      </c>
      <c r="D753" s="74">
        <v>1</v>
      </c>
      <c r="E753" s="74">
        <v>1</v>
      </c>
      <c r="F753" s="74">
        <v>1</v>
      </c>
      <c r="G753" s="74">
        <v>2</v>
      </c>
      <c r="H753" s="74">
        <v>4</v>
      </c>
      <c r="I753" s="74">
        <v>2</v>
      </c>
      <c r="J753" s="74">
        <v>2</v>
      </c>
      <c r="K753" s="74">
        <v>4</v>
      </c>
      <c r="L753" s="57"/>
    </row>
    <row r="754" spans="2:12" ht="13.95" customHeight="1" x14ac:dyDescent="0.3">
      <c r="B754" s="12" t="s">
        <v>114</v>
      </c>
      <c r="C754" s="12" t="s">
        <v>50</v>
      </c>
      <c r="D754" s="74">
        <v>1</v>
      </c>
      <c r="E754" s="74">
        <v>1</v>
      </c>
      <c r="F754" s="74">
        <v>1</v>
      </c>
      <c r="G754" s="74">
        <v>2</v>
      </c>
      <c r="H754" s="74">
        <v>2</v>
      </c>
      <c r="I754" s="74">
        <v>1</v>
      </c>
      <c r="J754" s="74">
        <v>2</v>
      </c>
      <c r="K754" s="74">
        <v>2</v>
      </c>
      <c r="L754" s="57"/>
    </row>
    <row r="755" spans="2:12" ht="13.95" customHeight="1" x14ac:dyDescent="0.3">
      <c r="B755" s="12" t="s">
        <v>115</v>
      </c>
      <c r="C755" s="12" t="s">
        <v>50</v>
      </c>
      <c r="D755" s="74">
        <v>1</v>
      </c>
      <c r="E755" s="74">
        <v>1</v>
      </c>
      <c r="F755" s="74">
        <v>1</v>
      </c>
      <c r="G755" s="74">
        <v>1</v>
      </c>
      <c r="H755" s="74">
        <v>1</v>
      </c>
      <c r="I755" s="74">
        <v>1</v>
      </c>
      <c r="J755" s="74">
        <v>1</v>
      </c>
      <c r="K755" s="74">
        <v>1</v>
      </c>
      <c r="L755" s="57"/>
    </row>
    <row r="756" spans="2:12" ht="13.95" hidden="1" customHeight="1" x14ac:dyDescent="0.3">
      <c r="B756" s="12" t="s">
        <v>62</v>
      </c>
      <c r="C756" s="12" t="s">
        <v>128</v>
      </c>
      <c r="D756" s="74"/>
      <c r="E756" s="74"/>
      <c r="F756" s="74"/>
      <c r="G756" s="74"/>
      <c r="H756" s="74"/>
      <c r="I756" s="74"/>
      <c r="J756" s="74"/>
      <c r="K756" s="74"/>
      <c r="L756" s="57"/>
    </row>
    <row r="757" spans="2:12" ht="13.95" hidden="1" customHeight="1" x14ac:dyDescent="0.3">
      <c r="B757" s="12" t="s">
        <v>64</v>
      </c>
      <c r="C757" s="12" t="s">
        <v>128</v>
      </c>
      <c r="D757" s="74"/>
      <c r="E757" s="74"/>
      <c r="F757" s="74"/>
      <c r="G757" s="74"/>
      <c r="H757" s="74"/>
      <c r="I757" s="74"/>
      <c r="J757" s="74"/>
      <c r="K757" s="74"/>
      <c r="L757" s="57"/>
    </row>
    <row r="758" spans="2:12" ht="13.95" hidden="1" customHeight="1" x14ac:dyDescent="0.3">
      <c r="B758" s="12" t="s">
        <v>65</v>
      </c>
      <c r="C758" s="12" t="s">
        <v>128</v>
      </c>
      <c r="D758" s="74"/>
      <c r="E758" s="74"/>
      <c r="F758" s="74"/>
      <c r="G758" s="74"/>
      <c r="H758" s="74"/>
      <c r="I758" s="74"/>
      <c r="J758" s="74"/>
      <c r="K758" s="74"/>
      <c r="L758" s="57"/>
    </row>
    <row r="759" spans="2:12" ht="13.95" hidden="1" customHeight="1" x14ac:dyDescent="0.3">
      <c r="B759" s="12" t="s">
        <v>66</v>
      </c>
      <c r="C759" s="12" t="s">
        <v>128</v>
      </c>
      <c r="D759" s="74"/>
      <c r="E759" s="74"/>
      <c r="F759" s="74"/>
      <c r="G759" s="74"/>
      <c r="H759" s="74"/>
      <c r="I759" s="74"/>
      <c r="J759" s="74"/>
      <c r="K759" s="74"/>
      <c r="L759" s="57"/>
    </row>
    <row r="760" spans="2:12" ht="13.95" hidden="1" customHeight="1" x14ac:dyDescent="0.3">
      <c r="B760" s="12" t="s">
        <v>67</v>
      </c>
      <c r="C760" s="12" t="s">
        <v>128</v>
      </c>
      <c r="D760" s="74"/>
      <c r="E760" s="74"/>
      <c r="F760" s="74"/>
      <c r="G760" s="74"/>
      <c r="H760" s="74"/>
      <c r="I760" s="74"/>
      <c r="J760" s="74"/>
      <c r="K760" s="74"/>
      <c r="L760" s="57"/>
    </row>
    <row r="761" spans="2:12" ht="13.95" hidden="1" customHeight="1" x14ac:dyDescent="0.3">
      <c r="B761" s="12" t="s">
        <v>68</v>
      </c>
      <c r="C761" s="12" t="s">
        <v>128</v>
      </c>
      <c r="D761" s="74"/>
      <c r="E761" s="74"/>
      <c r="F761" s="74"/>
      <c r="G761" s="74"/>
      <c r="H761" s="74"/>
      <c r="I761" s="74"/>
      <c r="J761" s="74"/>
      <c r="K761" s="74"/>
      <c r="L761" s="57"/>
    </row>
    <row r="762" spans="2:12" ht="13.95" hidden="1" customHeight="1" x14ac:dyDescent="0.3">
      <c r="B762" s="12" t="s">
        <v>69</v>
      </c>
      <c r="C762" s="12" t="s">
        <v>128</v>
      </c>
      <c r="D762" s="74"/>
      <c r="E762" s="74"/>
      <c r="F762" s="74"/>
      <c r="G762" s="74"/>
      <c r="H762" s="74"/>
      <c r="I762" s="74"/>
      <c r="J762" s="74"/>
      <c r="K762" s="74"/>
      <c r="L762" s="57"/>
    </row>
    <row r="763" spans="2:12" ht="13.95" hidden="1" customHeight="1" x14ac:dyDescent="0.3">
      <c r="B763" s="12" t="s">
        <v>70</v>
      </c>
      <c r="C763" s="12" t="s">
        <v>128</v>
      </c>
      <c r="D763" s="74"/>
      <c r="E763" s="74"/>
      <c r="F763" s="74"/>
      <c r="G763" s="74"/>
      <c r="H763" s="74"/>
      <c r="I763" s="74"/>
      <c r="J763" s="74"/>
      <c r="K763" s="74"/>
      <c r="L763" s="57"/>
    </row>
    <row r="764" spans="2:12" ht="13.95" hidden="1" customHeight="1" x14ac:dyDescent="0.3">
      <c r="B764" s="12" t="s">
        <v>71</v>
      </c>
      <c r="C764" s="12" t="s">
        <v>128</v>
      </c>
      <c r="D764" s="74"/>
      <c r="E764" s="74"/>
      <c r="F764" s="74"/>
      <c r="G764" s="74"/>
      <c r="H764" s="74"/>
      <c r="I764" s="74"/>
      <c r="J764" s="74"/>
      <c r="K764" s="74"/>
      <c r="L764" s="57"/>
    </row>
    <row r="765" spans="2:12" ht="13.95" hidden="1" customHeight="1" x14ac:dyDescent="0.3">
      <c r="B765" s="12" t="s">
        <v>72</v>
      </c>
      <c r="C765" s="12" t="s">
        <v>128</v>
      </c>
      <c r="D765" s="74"/>
      <c r="E765" s="74"/>
      <c r="F765" s="74"/>
      <c r="G765" s="74"/>
      <c r="H765" s="74"/>
      <c r="I765" s="74"/>
      <c r="J765" s="74"/>
      <c r="K765" s="74"/>
      <c r="L765" s="57"/>
    </row>
    <row r="766" spans="2:12" ht="13.95" hidden="1" customHeight="1" x14ac:dyDescent="0.3">
      <c r="B766" s="12" t="s">
        <v>73</v>
      </c>
      <c r="C766" s="12" t="s">
        <v>128</v>
      </c>
      <c r="D766" s="74"/>
      <c r="E766" s="74"/>
      <c r="F766" s="74"/>
      <c r="G766" s="74"/>
      <c r="H766" s="74"/>
      <c r="I766" s="74"/>
      <c r="J766" s="74"/>
      <c r="K766" s="74"/>
      <c r="L766" s="57"/>
    </row>
    <row r="767" spans="2:12" ht="13.95" hidden="1" customHeight="1" x14ac:dyDescent="0.3">
      <c r="B767" s="12" t="s">
        <v>74</v>
      </c>
      <c r="C767" s="12" t="s">
        <v>128</v>
      </c>
      <c r="D767" s="74"/>
      <c r="E767" s="74"/>
      <c r="F767" s="74"/>
      <c r="G767" s="74"/>
      <c r="H767" s="74"/>
      <c r="I767" s="74"/>
      <c r="J767" s="74"/>
      <c r="K767" s="74"/>
      <c r="L767" s="57"/>
    </row>
    <row r="768" spans="2:12" ht="13.95" hidden="1" customHeight="1" x14ac:dyDescent="0.3">
      <c r="B768" s="12" t="s">
        <v>75</v>
      </c>
      <c r="C768" s="12" t="s">
        <v>128</v>
      </c>
      <c r="D768" s="74"/>
      <c r="E768" s="74"/>
      <c r="F768" s="74"/>
      <c r="G768" s="74"/>
      <c r="H768" s="74"/>
      <c r="I768" s="74"/>
      <c r="J768" s="74"/>
      <c r="K768" s="74"/>
      <c r="L768" s="57"/>
    </row>
    <row r="769" spans="2:12" ht="13.95" hidden="1" customHeight="1" x14ac:dyDescent="0.3">
      <c r="B769" s="12" t="s">
        <v>76</v>
      </c>
      <c r="C769" s="12" t="s">
        <v>128</v>
      </c>
      <c r="D769" s="74"/>
      <c r="E769" s="74"/>
      <c r="F769" s="74"/>
      <c r="G769" s="74"/>
      <c r="H769" s="74"/>
      <c r="I769" s="74"/>
      <c r="J769" s="74"/>
      <c r="K769" s="74"/>
      <c r="L769" s="57"/>
    </row>
    <row r="770" spans="2:12" ht="13.95" hidden="1" customHeight="1" x14ac:dyDescent="0.3">
      <c r="B770" s="12" t="s">
        <v>77</v>
      </c>
      <c r="C770" s="12" t="s">
        <v>128</v>
      </c>
      <c r="D770" s="74"/>
      <c r="E770" s="74"/>
      <c r="F770" s="74"/>
      <c r="G770" s="74"/>
      <c r="H770" s="74"/>
      <c r="I770" s="74"/>
      <c r="J770" s="74"/>
      <c r="K770" s="74"/>
      <c r="L770" s="57"/>
    </row>
    <row r="771" spans="2:12" ht="13.95" hidden="1" customHeight="1" x14ac:dyDescent="0.3">
      <c r="B771" s="12" t="s">
        <v>78</v>
      </c>
      <c r="C771" s="12" t="s">
        <v>128</v>
      </c>
      <c r="D771" s="74"/>
      <c r="E771" s="74"/>
      <c r="F771" s="74"/>
      <c r="G771" s="74"/>
      <c r="H771" s="74"/>
      <c r="I771" s="74"/>
      <c r="J771" s="74"/>
      <c r="K771" s="74"/>
      <c r="L771" s="57"/>
    </row>
    <row r="772" spans="2:12" ht="13.95" hidden="1" customHeight="1" x14ac:dyDescent="0.3">
      <c r="B772" s="12" t="s">
        <v>79</v>
      </c>
      <c r="C772" s="12" t="s">
        <v>128</v>
      </c>
      <c r="D772" s="74"/>
      <c r="E772" s="74"/>
      <c r="F772" s="74"/>
      <c r="G772" s="74"/>
      <c r="H772" s="74"/>
      <c r="I772" s="74"/>
      <c r="J772" s="74"/>
      <c r="K772" s="74"/>
      <c r="L772" s="57"/>
    </row>
    <row r="773" spans="2:12" ht="13.95" hidden="1" customHeight="1" x14ac:dyDescent="0.3">
      <c r="B773" s="12" t="s">
        <v>80</v>
      </c>
      <c r="C773" s="12" t="s">
        <v>128</v>
      </c>
      <c r="D773" s="74"/>
      <c r="E773" s="74"/>
      <c r="F773" s="74"/>
      <c r="G773" s="74"/>
      <c r="H773" s="74"/>
      <c r="I773" s="74"/>
      <c r="J773" s="74"/>
      <c r="K773" s="74"/>
      <c r="L773" s="57"/>
    </row>
    <row r="774" spans="2:12" ht="13.95" hidden="1" customHeight="1" x14ac:dyDescent="0.3">
      <c r="B774" s="12" t="s">
        <v>81</v>
      </c>
      <c r="C774" s="12" t="s">
        <v>128</v>
      </c>
      <c r="D774" s="74"/>
      <c r="E774" s="74"/>
      <c r="F774" s="74"/>
      <c r="G774" s="74"/>
      <c r="H774" s="74"/>
      <c r="I774" s="74"/>
      <c r="J774" s="74"/>
      <c r="K774" s="74"/>
      <c r="L774" s="57"/>
    </row>
    <row r="775" spans="2:12" ht="13.95" hidden="1" customHeight="1" x14ac:dyDescent="0.3">
      <c r="B775" s="12" t="s">
        <v>82</v>
      </c>
      <c r="C775" s="12" t="s">
        <v>128</v>
      </c>
      <c r="D775" s="74"/>
      <c r="E775" s="74"/>
      <c r="F775" s="74"/>
      <c r="G775" s="74"/>
      <c r="H775" s="74"/>
      <c r="I775" s="74"/>
      <c r="J775" s="74"/>
      <c r="K775" s="74"/>
      <c r="L775" s="57"/>
    </row>
    <row r="776" spans="2:12" ht="13.95" hidden="1" customHeight="1" x14ac:dyDescent="0.3">
      <c r="B776" s="12" t="s">
        <v>83</v>
      </c>
      <c r="C776" s="12" t="s">
        <v>128</v>
      </c>
      <c r="D776" s="74"/>
      <c r="E776" s="74"/>
      <c r="F776" s="74"/>
      <c r="G776" s="74"/>
      <c r="H776" s="74"/>
      <c r="I776" s="74"/>
      <c r="J776" s="74"/>
      <c r="K776" s="74"/>
      <c r="L776" s="57"/>
    </row>
    <row r="777" spans="2:12" ht="13.95" hidden="1" customHeight="1" x14ac:dyDescent="0.3">
      <c r="B777" s="12" t="s">
        <v>84</v>
      </c>
      <c r="C777" s="12" t="s">
        <v>128</v>
      </c>
      <c r="D777" s="74"/>
      <c r="E777" s="74"/>
      <c r="F777" s="74"/>
      <c r="G777" s="74"/>
      <c r="H777" s="74"/>
      <c r="I777" s="74"/>
      <c r="J777" s="74"/>
      <c r="K777" s="74"/>
      <c r="L777" s="57"/>
    </row>
    <row r="778" spans="2:12" ht="13.95" hidden="1" customHeight="1" x14ac:dyDescent="0.3">
      <c r="B778" s="12" t="s">
        <v>85</v>
      </c>
      <c r="C778" s="12" t="s">
        <v>128</v>
      </c>
      <c r="D778" s="74"/>
      <c r="E778" s="74"/>
      <c r="F778" s="74"/>
      <c r="G778" s="74"/>
      <c r="H778" s="74"/>
      <c r="I778" s="74"/>
      <c r="J778" s="74"/>
      <c r="K778" s="74"/>
      <c r="L778" s="57"/>
    </row>
    <row r="779" spans="2:12" ht="13.95" hidden="1" customHeight="1" x14ac:dyDescent="0.3">
      <c r="B779" s="12" t="s">
        <v>86</v>
      </c>
      <c r="C779" s="12" t="s">
        <v>128</v>
      </c>
      <c r="D779" s="74"/>
      <c r="E779" s="74"/>
      <c r="F779" s="74"/>
      <c r="G779" s="74"/>
      <c r="H779" s="74"/>
      <c r="I779" s="74"/>
      <c r="J779" s="74"/>
      <c r="K779" s="74"/>
      <c r="L779" s="57"/>
    </row>
    <row r="780" spans="2:12" ht="13.95" hidden="1" customHeight="1" x14ac:dyDescent="0.3">
      <c r="B780" s="12" t="s">
        <v>87</v>
      </c>
      <c r="C780" s="12" t="s">
        <v>128</v>
      </c>
      <c r="D780" s="74"/>
      <c r="E780" s="74"/>
      <c r="F780" s="74"/>
      <c r="G780" s="74"/>
      <c r="H780" s="74"/>
      <c r="I780" s="74"/>
      <c r="J780" s="74"/>
      <c r="K780" s="74"/>
      <c r="L780" s="57"/>
    </row>
    <row r="781" spans="2:12" ht="13.95" hidden="1" customHeight="1" x14ac:dyDescent="0.3">
      <c r="B781" s="12" t="s">
        <v>88</v>
      </c>
      <c r="C781" s="12" t="s">
        <v>128</v>
      </c>
      <c r="D781" s="74"/>
      <c r="E781" s="74"/>
      <c r="F781" s="74"/>
      <c r="G781" s="74"/>
      <c r="H781" s="74"/>
      <c r="I781" s="74"/>
      <c r="J781" s="74"/>
      <c r="K781" s="74"/>
      <c r="L781" s="57"/>
    </row>
    <row r="782" spans="2:12" ht="13.95" hidden="1" customHeight="1" x14ac:dyDescent="0.3">
      <c r="B782" s="12" t="s">
        <v>89</v>
      </c>
      <c r="C782" s="12" t="s">
        <v>128</v>
      </c>
      <c r="D782" s="74"/>
      <c r="E782" s="74"/>
      <c r="F782" s="74"/>
      <c r="G782" s="74"/>
      <c r="H782" s="74"/>
      <c r="I782" s="74"/>
      <c r="J782" s="74"/>
      <c r="K782" s="74"/>
      <c r="L782" s="57"/>
    </row>
    <row r="783" spans="2:12" ht="13.95" hidden="1" customHeight="1" x14ac:dyDescent="0.3">
      <c r="B783" s="12" t="s">
        <v>90</v>
      </c>
      <c r="C783" s="12" t="s">
        <v>128</v>
      </c>
      <c r="D783" s="74"/>
      <c r="E783" s="74"/>
      <c r="F783" s="74"/>
      <c r="G783" s="74"/>
      <c r="H783" s="74"/>
      <c r="I783" s="74"/>
      <c r="J783" s="74"/>
      <c r="K783" s="74"/>
      <c r="L783" s="57"/>
    </row>
    <row r="784" spans="2:12" ht="13.95" hidden="1" customHeight="1" x14ac:dyDescent="0.3">
      <c r="B784" s="12" t="s">
        <v>91</v>
      </c>
      <c r="C784" s="12" t="s">
        <v>128</v>
      </c>
      <c r="D784" s="74"/>
      <c r="E784" s="74"/>
      <c r="F784" s="74"/>
      <c r="G784" s="74"/>
      <c r="H784" s="74"/>
      <c r="I784" s="74"/>
      <c r="J784" s="74"/>
      <c r="K784" s="74"/>
      <c r="L784" s="57"/>
    </row>
    <row r="785" spans="2:12" ht="13.95" hidden="1" customHeight="1" x14ac:dyDescent="0.3">
      <c r="B785" s="12" t="s">
        <v>92</v>
      </c>
      <c r="C785" s="12" t="s">
        <v>128</v>
      </c>
      <c r="D785" s="74"/>
      <c r="E785" s="74"/>
      <c r="F785" s="74"/>
      <c r="G785" s="74"/>
      <c r="H785" s="74"/>
      <c r="I785" s="74"/>
      <c r="J785" s="74"/>
      <c r="K785" s="74"/>
      <c r="L785" s="57"/>
    </row>
    <row r="786" spans="2:12" ht="13.95" hidden="1" customHeight="1" x14ac:dyDescent="0.3">
      <c r="B786" s="12" t="s">
        <v>93</v>
      </c>
      <c r="C786" s="12" t="s">
        <v>128</v>
      </c>
      <c r="D786" s="74"/>
      <c r="E786" s="74"/>
      <c r="F786" s="74"/>
      <c r="G786" s="74"/>
      <c r="H786" s="74"/>
      <c r="I786" s="74"/>
      <c r="J786" s="74"/>
      <c r="K786" s="74"/>
      <c r="L786" s="57"/>
    </row>
    <row r="787" spans="2:12" ht="13.95" hidden="1" customHeight="1" x14ac:dyDescent="0.3">
      <c r="B787" s="12" t="s">
        <v>94</v>
      </c>
      <c r="C787" s="12" t="s">
        <v>128</v>
      </c>
      <c r="D787" s="74"/>
      <c r="E787" s="74"/>
      <c r="F787" s="74"/>
      <c r="G787" s="74"/>
      <c r="H787" s="74"/>
      <c r="I787" s="74"/>
      <c r="J787" s="74"/>
      <c r="K787" s="74"/>
      <c r="L787" s="57"/>
    </row>
    <row r="788" spans="2:12" ht="13.95" hidden="1" customHeight="1" x14ac:dyDescent="0.3">
      <c r="B788" s="12" t="s">
        <v>95</v>
      </c>
      <c r="C788" s="12" t="s">
        <v>128</v>
      </c>
      <c r="D788" s="74"/>
      <c r="E788" s="74"/>
      <c r="F788" s="74"/>
      <c r="G788" s="74"/>
      <c r="H788" s="74"/>
      <c r="I788" s="74"/>
      <c r="J788" s="74"/>
      <c r="K788" s="74"/>
      <c r="L788" s="57"/>
    </row>
    <row r="789" spans="2:12" ht="13.95" hidden="1" customHeight="1" x14ac:dyDescent="0.3">
      <c r="B789" s="12" t="s">
        <v>96</v>
      </c>
      <c r="C789" s="12" t="s">
        <v>128</v>
      </c>
      <c r="D789" s="74"/>
      <c r="E789" s="74"/>
      <c r="F789" s="74"/>
      <c r="G789" s="74"/>
      <c r="H789" s="74"/>
      <c r="I789" s="74"/>
      <c r="J789" s="74"/>
      <c r="K789" s="74"/>
      <c r="L789" s="57"/>
    </row>
    <row r="790" spans="2:12" ht="13.95" hidden="1" customHeight="1" x14ac:dyDescent="0.3">
      <c r="B790" s="12" t="s">
        <v>97</v>
      </c>
      <c r="C790" s="12" t="s">
        <v>128</v>
      </c>
      <c r="D790" s="74"/>
      <c r="E790" s="74"/>
      <c r="F790" s="74"/>
      <c r="G790" s="74"/>
      <c r="H790" s="74"/>
      <c r="I790" s="74"/>
      <c r="J790" s="74"/>
      <c r="K790" s="74"/>
      <c r="L790" s="57"/>
    </row>
    <row r="791" spans="2:12" ht="13.95" hidden="1" customHeight="1" x14ac:dyDescent="0.3">
      <c r="B791" s="12" t="s">
        <v>98</v>
      </c>
      <c r="C791" s="12" t="s">
        <v>128</v>
      </c>
      <c r="D791" s="74"/>
      <c r="E791" s="74"/>
      <c r="F791" s="74"/>
      <c r="G791" s="74"/>
      <c r="H791" s="74"/>
      <c r="I791" s="74"/>
      <c r="J791" s="74"/>
      <c r="K791" s="74"/>
      <c r="L791" s="57"/>
    </row>
    <row r="792" spans="2:12" ht="13.95" hidden="1" customHeight="1" x14ac:dyDescent="0.3">
      <c r="B792" s="12" t="s">
        <v>99</v>
      </c>
      <c r="C792" s="12" t="s">
        <v>128</v>
      </c>
      <c r="D792" s="74"/>
      <c r="E792" s="74"/>
      <c r="F792" s="74"/>
      <c r="G792" s="74"/>
      <c r="H792" s="74"/>
      <c r="I792" s="74"/>
      <c r="J792" s="74"/>
      <c r="K792" s="74"/>
      <c r="L792" s="57"/>
    </row>
    <row r="793" spans="2:12" ht="13.95" hidden="1" customHeight="1" x14ac:dyDescent="0.3">
      <c r="B793" s="12" t="s">
        <v>100</v>
      </c>
      <c r="C793" s="12" t="s">
        <v>128</v>
      </c>
      <c r="D793" s="74"/>
      <c r="E793" s="74"/>
      <c r="F793" s="74"/>
      <c r="G793" s="74"/>
      <c r="H793" s="74"/>
      <c r="I793" s="74"/>
      <c r="J793" s="74"/>
      <c r="K793" s="74"/>
      <c r="L793" s="57"/>
    </row>
    <row r="794" spans="2:12" ht="13.95" hidden="1" customHeight="1" x14ac:dyDescent="0.3">
      <c r="B794" s="12" t="s">
        <v>101</v>
      </c>
      <c r="C794" s="12" t="s">
        <v>128</v>
      </c>
      <c r="D794" s="74"/>
      <c r="E794" s="74"/>
      <c r="F794" s="74"/>
      <c r="G794" s="74"/>
      <c r="H794" s="74"/>
      <c r="I794" s="74"/>
      <c r="J794" s="74"/>
      <c r="K794" s="74"/>
      <c r="L794" s="57"/>
    </row>
    <row r="795" spans="2:12" ht="13.95" hidden="1" customHeight="1" x14ac:dyDescent="0.3">
      <c r="B795" s="12" t="s">
        <v>102</v>
      </c>
      <c r="C795" s="12" t="s">
        <v>128</v>
      </c>
      <c r="D795" s="74"/>
      <c r="E795" s="74"/>
      <c r="F795" s="74"/>
      <c r="G795" s="74"/>
      <c r="H795" s="74"/>
      <c r="I795" s="74"/>
      <c r="J795" s="74"/>
      <c r="K795" s="74"/>
      <c r="L795" s="57"/>
    </row>
    <row r="796" spans="2:12" ht="13.95" hidden="1" customHeight="1" x14ac:dyDescent="0.3">
      <c r="B796" s="12" t="s">
        <v>103</v>
      </c>
      <c r="C796" s="12" t="s">
        <v>128</v>
      </c>
      <c r="D796" s="74"/>
      <c r="E796" s="74"/>
      <c r="F796" s="74"/>
      <c r="G796" s="74"/>
      <c r="H796" s="74"/>
      <c r="I796" s="74"/>
      <c r="J796" s="74"/>
      <c r="K796" s="74"/>
      <c r="L796" s="57"/>
    </row>
    <row r="797" spans="2:12" ht="13.95" hidden="1" customHeight="1" x14ac:dyDescent="0.3">
      <c r="B797" s="12" t="s">
        <v>104</v>
      </c>
      <c r="C797" s="12" t="s">
        <v>128</v>
      </c>
      <c r="D797" s="74"/>
      <c r="E797" s="74"/>
      <c r="F797" s="74"/>
      <c r="G797" s="74"/>
      <c r="H797" s="74"/>
      <c r="I797" s="74"/>
      <c r="J797" s="74"/>
      <c r="K797" s="74"/>
      <c r="L797" s="57"/>
    </row>
    <row r="798" spans="2:12" ht="13.95" hidden="1" customHeight="1" x14ac:dyDescent="0.3">
      <c r="B798" s="12" t="s">
        <v>105</v>
      </c>
      <c r="C798" s="12" t="s">
        <v>128</v>
      </c>
      <c r="D798" s="74"/>
      <c r="E798" s="74"/>
      <c r="F798" s="74"/>
      <c r="G798" s="74"/>
      <c r="H798" s="74"/>
      <c r="I798" s="74"/>
      <c r="J798" s="74"/>
      <c r="K798" s="74"/>
      <c r="L798" s="57"/>
    </row>
    <row r="799" spans="2:12" ht="13.95" hidden="1" customHeight="1" x14ac:dyDescent="0.3">
      <c r="B799" s="12" t="s">
        <v>106</v>
      </c>
      <c r="C799" s="12" t="s">
        <v>128</v>
      </c>
      <c r="D799" s="74"/>
      <c r="E799" s="74"/>
      <c r="F799" s="74"/>
      <c r="G799" s="74"/>
      <c r="H799" s="74"/>
      <c r="I799" s="74"/>
      <c r="J799" s="74"/>
      <c r="K799" s="74"/>
      <c r="L799" s="57"/>
    </row>
    <row r="800" spans="2:12" ht="13.95" hidden="1" customHeight="1" x14ac:dyDescent="0.3">
      <c r="B800" s="12" t="s">
        <v>107</v>
      </c>
      <c r="C800" s="12" t="s">
        <v>128</v>
      </c>
      <c r="D800" s="74"/>
      <c r="E800" s="74"/>
      <c r="F800" s="74"/>
      <c r="G800" s="74"/>
      <c r="H800" s="74"/>
      <c r="I800" s="74"/>
      <c r="J800" s="74"/>
      <c r="K800" s="74"/>
      <c r="L800" s="57"/>
    </row>
    <row r="801" spans="2:12" ht="13.95" hidden="1" customHeight="1" x14ac:dyDescent="0.3">
      <c r="B801" s="12" t="s">
        <v>108</v>
      </c>
      <c r="C801" s="12" t="s">
        <v>128</v>
      </c>
      <c r="D801" s="74"/>
      <c r="E801" s="74"/>
      <c r="F801" s="74"/>
      <c r="G801" s="74"/>
      <c r="H801" s="74"/>
      <c r="I801" s="74"/>
      <c r="J801" s="74"/>
      <c r="K801" s="74"/>
      <c r="L801" s="57"/>
    </row>
    <row r="802" spans="2:12" ht="13.95" hidden="1" customHeight="1" x14ac:dyDescent="0.3">
      <c r="B802" s="12" t="s">
        <v>109</v>
      </c>
      <c r="C802" s="12" t="s">
        <v>128</v>
      </c>
      <c r="D802" s="74"/>
      <c r="E802" s="74"/>
      <c r="F802" s="74"/>
      <c r="G802" s="74"/>
      <c r="H802" s="74"/>
      <c r="I802" s="74"/>
      <c r="J802" s="74"/>
      <c r="K802" s="74"/>
      <c r="L802" s="57"/>
    </row>
    <row r="803" spans="2:12" ht="13.95" hidden="1" customHeight="1" x14ac:dyDescent="0.3">
      <c r="B803" s="12" t="s">
        <v>110</v>
      </c>
      <c r="C803" s="12" t="s">
        <v>128</v>
      </c>
      <c r="D803" s="74"/>
      <c r="E803" s="74"/>
      <c r="F803" s="74"/>
      <c r="G803" s="74"/>
      <c r="H803" s="74"/>
      <c r="I803" s="74"/>
      <c r="J803" s="74"/>
      <c r="K803" s="74"/>
      <c r="L803" s="57"/>
    </row>
    <row r="804" spans="2:12" ht="13.95" hidden="1" customHeight="1" x14ac:dyDescent="0.3">
      <c r="B804" s="12" t="s">
        <v>111</v>
      </c>
      <c r="C804" s="12" t="s">
        <v>128</v>
      </c>
      <c r="D804" s="74"/>
      <c r="E804" s="74"/>
      <c r="F804" s="74"/>
      <c r="G804" s="74"/>
      <c r="H804" s="74"/>
      <c r="I804" s="74"/>
      <c r="J804" s="74"/>
      <c r="K804" s="74"/>
      <c r="L804" s="57"/>
    </row>
    <row r="805" spans="2:12" ht="13.95" hidden="1" customHeight="1" x14ac:dyDescent="0.3">
      <c r="B805" s="12" t="s">
        <v>112</v>
      </c>
      <c r="C805" s="12" t="s">
        <v>128</v>
      </c>
      <c r="D805" s="74"/>
      <c r="E805" s="74"/>
      <c r="F805" s="74"/>
      <c r="G805" s="74"/>
      <c r="H805" s="74"/>
      <c r="I805" s="74"/>
      <c r="J805" s="74"/>
      <c r="K805" s="74"/>
      <c r="L805" s="57"/>
    </row>
    <row r="806" spans="2:12" ht="13.95" hidden="1" customHeight="1" x14ac:dyDescent="0.3">
      <c r="B806" s="12" t="s">
        <v>113</v>
      </c>
      <c r="C806" s="12" t="s">
        <v>128</v>
      </c>
      <c r="D806" s="74"/>
      <c r="E806" s="74"/>
      <c r="F806" s="74"/>
      <c r="G806" s="74"/>
      <c r="H806" s="74"/>
      <c r="I806" s="74"/>
      <c r="J806" s="74"/>
      <c r="K806" s="74"/>
      <c r="L806" s="57"/>
    </row>
    <row r="807" spans="2:12" ht="13.95" hidden="1" customHeight="1" x14ac:dyDescent="0.3">
      <c r="B807" s="12" t="s">
        <v>114</v>
      </c>
      <c r="C807" s="12" t="s">
        <v>128</v>
      </c>
      <c r="D807" s="74"/>
      <c r="E807" s="74"/>
      <c r="F807" s="74"/>
      <c r="G807" s="74"/>
      <c r="H807" s="74"/>
      <c r="I807" s="74"/>
      <c r="J807" s="74"/>
      <c r="K807" s="74"/>
      <c r="L807" s="57"/>
    </row>
    <row r="808" spans="2:12" hidden="1" x14ac:dyDescent="0.3">
      <c r="B808" s="12" t="s">
        <v>115</v>
      </c>
      <c r="C808" s="12" t="s">
        <v>128</v>
      </c>
      <c r="D808" s="74"/>
      <c r="E808" s="74"/>
      <c r="F808" s="74"/>
      <c r="G808" s="74"/>
      <c r="H808" s="74"/>
      <c r="I808" s="74"/>
      <c r="J808" s="74"/>
      <c r="K808" s="74"/>
      <c r="L808" s="57"/>
    </row>
    <row r="809" spans="2:12" hidden="1" x14ac:dyDescent="0.3">
      <c r="B809" s="12" t="s">
        <v>401</v>
      </c>
      <c r="C809" s="12" t="s">
        <v>129</v>
      </c>
      <c r="D809" s="74">
        <v>2</v>
      </c>
      <c r="E809" s="74">
        <v>3</v>
      </c>
      <c r="F809" s="74"/>
      <c r="G809" s="74"/>
      <c r="H809" s="74"/>
      <c r="I809" s="74"/>
      <c r="J809" s="74"/>
      <c r="K809" s="74"/>
      <c r="L809" s="57"/>
    </row>
    <row r="810" spans="2:12" hidden="1" x14ac:dyDescent="0.3">
      <c r="B810" s="12" t="s">
        <v>64</v>
      </c>
      <c r="C810" s="12" t="s">
        <v>129</v>
      </c>
      <c r="D810" s="74"/>
      <c r="E810" s="74"/>
      <c r="F810" s="74"/>
      <c r="G810" s="74"/>
      <c r="H810" s="74"/>
      <c r="I810" s="74"/>
      <c r="J810" s="74"/>
      <c r="K810" s="74"/>
      <c r="L810" s="57"/>
    </row>
    <row r="811" spans="2:12" hidden="1" x14ac:dyDescent="0.3">
      <c r="B811" s="12" t="s">
        <v>65</v>
      </c>
      <c r="C811" s="12" t="s">
        <v>129</v>
      </c>
      <c r="D811" s="74"/>
      <c r="E811" s="74"/>
      <c r="F811" s="74"/>
      <c r="G811" s="74"/>
      <c r="H811" s="74"/>
      <c r="I811" s="74"/>
      <c r="J811" s="74"/>
      <c r="K811" s="74"/>
      <c r="L811" s="57"/>
    </row>
    <row r="812" spans="2:12" hidden="1" x14ac:dyDescent="0.3">
      <c r="B812" s="12" t="s">
        <v>66</v>
      </c>
      <c r="C812" s="12" t="s">
        <v>129</v>
      </c>
      <c r="D812" s="74"/>
      <c r="E812" s="74"/>
      <c r="F812" s="74"/>
      <c r="G812" s="74"/>
      <c r="H812" s="74"/>
      <c r="I812" s="74"/>
      <c r="J812" s="74"/>
      <c r="K812" s="74"/>
      <c r="L812" s="57"/>
    </row>
    <row r="813" spans="2:12" hidden="1" x14ac:dyDescent="0.3">
      <c r="B813" s="12" t="s">
        <v>67</v>
      </c>
      <c r="C813" s="12" t="s">
        <v>129</v>
      </c>
      <c r="D813" s="74"/>
      <c r="E813" s="74"/>
      <c r="F813" s="74"/>
      <c r="G813" s="74"/>
      <c r="H813" s="74"/>
      <c r="I813" s="74"/>
      <c r="J813" s="74"/>
      <c r="K813" s="74"/>
      <c r="L813" s="57"/>
    </row>
    <row r="814" spans="2:12" hidden="1" x14ac:dyDescent="0.3">
      <c r="B814" s="12" t="s">
        <v>68</v>
      </c>
      <c r="C814" s="12" t="s">
        <v>129</v>
      </c>
      <c r="D814" s="74"/>
      <c r="E814" s="74"/>
      <c r="F814" s="74"/>
      <c r="G814" s="74"/>
      <c r="H814" s="74"/>
      <c r="I814" s="74"/>
      <c r="J814" s="74"/>
      <c r="K814" s="74"/>
      <c r="L814" s="57"/>
    </row>
    <row r="815" spans="2:12" hidden="1" x14ac:dyDescent="0.3">
      <c r="B815" s="12" t="s">
        <v>69</v>
      </c>
      <c r="C815" s="12" t="s">
        <v>129</v>
      </c>
      <c r="D815" s="74"/>
      <c r="E815" s="74"/>
      <c r="F815" s="74"/>
      <c r="G815" s="74"/>
      <c r="H815" s="74"/>
      <c r="I815" s="74"/>
      <c r="J815" s="74"/>
      <c r="K815" s="74"/>
      <c r="L815" s="57"/>
    </row>
    <row r="816" spans="2:12" hidden="1" x14ac:dyDescent="0.3">
      <c r="B816" s="12" t="s">
        <v>70</v>
      </c>
      <c r="C816" s="12" t="s">
        <v>129</v>
      </c>
      <c r="D816" s="74"/>
      <c r="E816" s="74"/>
      <c r="F816" s="74"/>
      <c r="G816" s="74"/>
      <c r="H816" s="74"/>
      <c r="I816" s="74"/>
      <c r="J816" s="74"/>
      <c r="K816" s="74"/>
      <c r="L816" s="57"/>
    </row>
    <row r="817" spans="2:12" hidden="1" x14ac:dyDescent="0.3">
      <c r="B817" s="12" t="s">
        <v>71</v>
      </c>
      <c r="C817" s="12" t="s">
        <v>129</v>
      </c>
      <c r="D817" s="74"/>
      <c r="E817" s="74"/>
      <c r="F817" s="74"/>
      <c r="G817" s="74"/>
      <c r="H817" s="74"/>
      <c r="I817" s="74"/>
      <c r="J817" s="74"/>
      <c r="K817" s="74"/>
      <c r="L817" s="57"/>
    </row>
    <row r="818" spans="2:12" hidden="1" x14ac:dyDescent="0.3">
      <c r="B818" s="12" t="s">
        <v>72</v>
      </c>
      <c r="C818" s="12" t="s">
        <v>129</v>
      </c>
      <c r="D818" s="74"/>
      <c r="E818" s="74"/>
      <c r="F818" s="74"/>
      <c r="G818" s="74"/>
      <c r="H818" s="74"/>
      <c r="I818" s="74"/>
      <c r="J818" s="74"/>
      <c r="K818" s="74"/>
      <c r="L818" s="57"/>
    </row>
    <row r="819" spans="2:12" hidden="1" x14ac:dyDescent="0.3">
      <c r="B819" s="12" t="s">
        <v>73</v>
      </c>
      <c r="C819" s="12" t="s">
        <v>129</v>
      </c>
      <c r="D819" s="74"/>
      <c r="E819" s="74"/>
      <c r="F819" s="74"/>
      <c r="G819" s="74"/>
      <c r="H819" s="74"/>
      <c r="I819" s="74"/>
      <c r="J819" s="74"/>
      <c r="K819" s="74"/>
      <c r="L819" s="57"/>
    </row>
    <row r="820" spans="2:12" hidden="1" x14ac:dyDescent="0.3">
      <c r="B820" s="12" t="s">
        <v>74</v>
      </c>
      <c r="C820" s="12" t="s">
        <v>129</v>
      </c>
      <c r="D820" s="74"/>
      <c r="E820" s="74"/>
      <c r="F820" s="74"/>
      <c r="G820" s="74"/>
      <c r="H820" s="74"/>
      <c r="I820" s="74"/>
      <c r="J820" s="74"/>
      <c r="K820" s="74"/>
      <c r="L820" s="57"/>
    </row>
    <row r="821" spans="2:12" hidden="1" x14ac:dyDescent="0.3">
      <c r="B821" s="12" t="s">
        <v>75</v>
      </c>
      <c r="C821" s="12" t="s">
        <v>129</v>
      </c>
      <c r="D821" s="74"/>
      <c r="E821" s="74"/>
      <c r="F821" s="74"/>
      <c r="G821" s="74"/>
      <c r="H821" s="74"/>
      <c r="I821" s="74"/>
      <c r="J821" s="74"/>
      <c r="K821" s="74"/>
      <c r="L821" s="57"/>
    </row>
    <row r="822" spans="2:12" hidden="1" x14ac:dyDescent="0.3">
      <c r="B822" s="12" t="s">
        <v>76</v>
      </c>
      <c r="C822" s="12" t="s">
        <v>129</v>
      </c>
      <c r="D822" s="74"/>
      <c r="E822" s="74"/>
      <c r="F822" s="74"/>
      <c r="G822" s="74"/>
      <c r="H822" s="74"/>
      <c r="I822" s="74"/>
      <c r="J822" s="74"/>
      <c r="K822" s="74"/>
      <c r="L822" s="57"/>
    </row>
    <row r="823" spans="2:12" hidden="1" x14ac:dyDescent="0.3">
      <c r="B823" s="12" t="s">
        <v>77</v>
      </c>
      <c r="C823" s="12" t="s">
        <v>129</v>
      </c>
      <c r="D823" s="74"/>
      <c r="E823" s="74"/>
      <c r="F823" s="74"/>
      <c r="G823" s="74"/>
      <c r="H823" s="74"/>
      <c r="I823" s="74"/>
      <c r="J823" s="74"/>
      <c r="K823" s="74"/>
      <c r="L823" s="57"/>
    </row>
    <row r="824" spans="2:12" hidden="1" x14ac:dyDescent="0.3">
      <c r="B824" s="12" t="s">
        <v>78</v>
      </c>
      <c r="C824" s="12" t="s">
        <v>129</v>
      </c>
      <c r="D824" s="74"/>
      <c r="E824" s="74"/>
      <c r="F824" s="74"/>
      <c r="G824" s="74"/>
      <c r="H824" s="74"/>
      <c r="I824" s="74"/>
      <c r="J824" s="74"/>
      <c r="K824" s="74"/>
      <c r="L824" s="57"/>
    </row>
    <row r="825" spans="2:12" hidden="1" x14ac:dyDescent="0.3">
      <c r="B825" s="12" t="s">
        <v>79</v>
      </c>
      <c r="C825" s="12" t="s">
        <v>129</v>
      </c>
      <c r="D825" s="74"/>
      <c r="E825" s="74"/>
      <c r="F825" s="74"/>
      <c r="G825" s="74"/>
      <c r="H825" s="74"/>
      <c r="I825" s="74"/>
      <c r="J825" s="74"/>
      <c r="K825" s="74"/>
      <c r="L825" s="57"/>
    </row>
    <row r="826" spans="2:12" hidden="1" x14ac:dyDescent="0.3">
      <c r="B826" s="12" t="s">
        <v>80</v>
      </c>
      <c r="C826" s="12" t="s">
        <v>129</v>
      </c>
      <c r="D826" s="74"/>
      <c r="E826" s="74"/>
      <c r="F826" s="74"/>
      <c r="G826" s="74"/>
      <c r="H826" s="74"/>
      <c r="I826" s="74"/>
      <c r="J826" s="74"/>
      <c r="K826" s="74"/>
      <c r="L826" s="57"/>
    </row>
    <row r="827" spans="2:12" hidden="1" x14ac:dyDescent="0.3">
      <c r="B827" s="12" t="s">
        <v>81</v>
      </c>
      <c r="C827" s="12" t="s">
        <v>129</v>
      </c>
      <c r="D827" s="74"/>
      <c r="E827" s="74"/>
      <c r="F827" s="74"/>
      <c r="G827" s="74"/>
      <c r="H827" s="74"/>
      <c r="I827" s="74"/>
      <c r="J827" s="74"/>
      <c r="K827" s="74"/>
      <c r="L827" s="57"/>
    </row>
    <row r="828" spans="2:12" hidden="1" x14ac:dyDescent="0.3">
      <c r="B828" s="12" t="s">
        <v>82</v>
      </c>
      <c r="C828" s="12" t="s">
        <v>129</v>
      </c>
      <c r="D828" s="74"/>
      <c r="E828" s="74"/>
      <c r="F828" s="74"/>
      <c r="G828" s="74"/>
      <c r="H828" s="74"/>
      <c r="I828" s="74"/>
      <c r="J828" s="74"/>
      <c r="K828" s="74"/>
      <c r="L828" s="57"/>
    </row>
    <row r="829" spans="2:12" hidden="1" x14ac:dyDescent="0.3">
      <c r="B829" s="12" t="s">
        <v>83</v>
      </c>
      <c r="C829" s="12" t="s">
        <v>129</v>
      </c>
      <c r="D829" s="74"/>
      <c r="E829" s="74"/>
      <c r="F829" s="74"/>
      <c r="G829" s="74"/>
      <c r="H829" s="74"/>
      <c r="I829" s="74"/>
      <c r="J829" s="74"/>
      <c r="K829" s="74"/>
      <c r="L829" s="57"/>
    </row>
    <row r="830" spans="2:12" hidden="1" x14ac:dyDescent="0.3">
      <c r="B830" s="12" t="s">
        <v>84</v>
      </c>
      <c r="C830" s="12" t="s">
        <v>129</v>
      </c>
      <c r="D830" s="74"/>
      <c r="E830" s="74"/>
      <c r="F830" s="74"/>
      <c r="G830" s="74"/>
      <c r="H830" s="74"/>
      <c r="I830" s="74"/>
      <c r="J830" s="74"/>
      <c r="K830" s="74"/>
      <c r="L830" s="57"/>
    </row>
    <row r="831" spans="2:12" hidden="1" x14ac:dyDescent="0.3">
      <c r="B831" s="12" t="s">
        <v>85</v>
      </c>
      <c r="C831" s="12" t="s">
        <v>129</v>
      </c>
      <c r="D831" s="74"/>
      <c r="E831" s="74"/>
      <c r="F831" s="74"/>
      <c r="G831" s="74"/>
      <c r="H831" s="74"/>
      <c r="I831" s="74"/>
      <c r="J831" s="74"/>
      <c r="K831" s="74"/>
      <c r="L831" s="57"/>
    </row>
    <row r="832" spans="2:12" hidden="1" x14ac:dyDescent="0.3">
      <c r="B832" s="12" t="s">
        <v>86</v>
      </c>
      <c r="C832" s="12" t="s">
        <v>129</v>
      </c>
      <c r="D832" s="74"/>
      <c r="E832" s="74"/>
      <c r="F832" s="74"/>
      <c r="G832" s="74"/>
      <c r="H832" s="74"/>
      <c r="I832" s="74"/>
      <c r="J832" s="74"/>
      <c r="K832" s="74"/>
      <c r="L832" s="57"/>
    </row>
    <row r="833" spans="2:12" hidden="1" x14ac:dyDescent="0.3">
      <c r="B833" s="12" t="s">
        <v>87</v>
      </c>
      <c r="C833" s="12" t="s">
        <v>129</v>
      </c>
      <c r="D833" s="74"/>
      <c r="E833" s="74"/>
      <c r="F833" s="74"/>
      <c r="G833" s="74"/>
      <c r="H833" s="74"/>
      <c r="I833" s="74"/>
      <c r="J833" s="74"/>
      <c r="K833" s="74"/>
      <c r="L833" s="57"/>
    </row>
    <row r="834" spans="2:12" hidden="1" x14ac:dyDescent="0.3">
      <c r="B834" s="12" t="s">
        <v>88</v>
      </c>
      <c r="C834" s="12" t="s">
        <v>129</v>
      </c>
      <c r="D834" s="74"/>
      <c r="E834" s="74"/>
      <c r="F834" s="74"/>
      <c r="G834" s="74"/>
      <c r="H834" s="74"/>
      <c r="I834" s="74"/>
      <c r="J834" s="74"/>
      <c r="K834" s="74"/>
      <c r="L834" s="57"/>
    </row>
    <row r="835" spans="2:12" hidden="1" x14ac:dyDescent="0.3">
      <c r="B835" s="12" t="s">
        <v>89</v>
      </c>
      <c r="C835" s="12" t="s">
        <v>129</v>
      </c>
      <c r="D835" s="74"/>
      <c r="E835" s="74"/>
      <c r="F835" s="74"/>
      <c r="G835" s="74"/>
      <c r="H835" s="74"/>
      <c r="I835" s="74"/>
      <c r="J835" s="74"/>
      <c r="K835" s="74"/>
      <c r="L835" s="57"/>
    </row>
    <row r="836" spans="2:12" hidden="1" x14ac:dyDescent="0.3">
      <c r="B836" s="12" t="s">
        <v>90</v>
      </c>
      <c r="C836" s="12" t="s">
        <v>129</v>
      </c>
      <c r="D836" s="74"/>
      <c r="E836" s="74"/>
      <c r="F836" s="74"/>
      <c r="G836" s="74"/>
      <c r="H836" s="74"/>
      <c r="I836" s="74"/>
      <c r="J836" s="74"/>
      <c r="K836" s="74"/>
      <c r="L836" s="57"/>
    </row>
    <row r="837" spans="2:12" hidden="1" x14ac:dyDescent="0.3">
      <c r="B837" s="12" t="s">
        <v>91</v>
      </c>
      <c r="C837" s="12" t="s">
        <v>129</v>
      </c>
      <c r="D837" s="74"/>
      <c r="E837" s="74"/>
      <c r="F837" s="74"/>
      <c r="G837" s="74"/>
      <c r="H837" s="74"/>
      <c r="I837" s="74"/>
      <c r="J837" s="74"/>
      <c r="K837" s="74"/>
      <c r="L837" s="57"/>
    </row>
    <row r="838" spans="2:12" hidden="1" x14ac:dyDescent="0.3">
      <c r="B838" s="12" t="s">
        <v>92</v>
      </c>
      <c r="C838" s="12" t="s">
        <v>129</v>
      </c>
      <c r="D838" s="74"/>
      <c r="E838" s="74"/>
      <c r="F838" s="74"/>
      <c r="G838" s="74"/>
      <c r="H838" s="74"/>
      <c r="I838" s="74"/>
      <c r="J838" s="74"/>
      <c r="K838" s="74"/>
      <c r="L838" s="57"/>
    </row>
    <row r="839" spans="2:12" hidden="1" x14ac:dyDescent="0.3">
      <c r="B839" s="12" t="s">
        <v>93</v>
      </c>
      <c r="C839" s="12" t="s">
        <v>129</v>
      </c>
      <c r="D839" s="74"/>
      <c r="E839" s="74"/>
      <c r="F839" s="74"/>
      <c r="G839" s="74"/>
      <c r="H839" s="74"/>
      <c r="I839" s="74"/>
      <c r="J839" s="74"/>
      <c r="K839" s="74"/>
      <c r="L839" s="57"/>
    </row>
    <row r="840" spans="2:12" hidden="1" x14ac:dyDescent="0.3">
      <c r="B840" s="12" t="s">
        <v>94</v>
      </c>
      <c r="C840" s="12" t="s">
        <v>129</v>
      </c>
      <c r="D840" s="74"/>
      <c r="E840" s="74"/>
      <c r="F840" s="74"/>
      <c r="G840" s="74"/>
      <c r="H840" s="74"/>
      <c r="I840" s="74"/>
      <c r="J840" s="74"/>
      <c r="K840" s="74"/>
      <c r="L840" s="57"/>
    </row>
    <row r="841" spans="2:12" hidden="1" x14ac:dyDescent="0.3">
      <c r="B841" s="12" t="s">
        <v>95</v>
      </c>
      <c r="C841" s="12" t="s">
        <v>129</v>
      </c>
      <c r="D841" s="74"/>
      <c r="E841" s="74"/>
      <c r="F841" s="74"/>
      <c r="G841" s="74"/>
      <c r="H841" s="74"/>
      <c r="I841" s="74"/>
      <c r="J841" s="74"/>
      <c r="K841" s="74"/>
      <c r="L841" s="57"/>
    </row>
    <row r="842" spans="2:12" hidden="1" x14ac:dyDescent="0.3">
      <c r="B842" s="12" t="s">
        <v>96</v>
      </c>
      <c r="C842" s="12" t="s">
        <v>129</v>
      </c>
      <c r="D842" s="74"/>
      <c r="E842" s="74"/>
      <c r="F842" s="74"/>
      <c r="G842" s="74"/>
      <c r="H842" s="74"/>
      <c r="I842" s="74"/>
      <c r="J842" s="74"/>
      <c r="K842" s="74"/>
      <c r="L842" s="57"/>
    </row>
    <row r="843" spans="2:12" hidden="1" x14ac:dyDescent="0.3">
      <c r="B843" s="12" t="s">
        <v>97</v>
      </c>
      <c r="C843" s="12" t="s">
        <v>129</v>
      </c>
      <c r="D843" s="74"/>
      <c r="E843" s="74"/>
      <c r="F843" s="74"/>
      <c r="G843" s="74"/>
      <c r="H843" s="74"/>
      <c r="I843" s="74"/>
      <c r="J843" s="74"/>
      <c r="K843" s="74"/>
      <c r="L843" s="57"/>
    </row>
    <row r="844" spans="2:12" hidden="1" x14ac:dyDescent="0.3">
      <c r="B844" s="12" t="s">
        <v>98</v>
      </c>
      <c r="C844" s="12" t="s">
        <v>129</v>
      </c>
      <c r="D844" s="74"/>
      <c r="E844" s="74"/>
      <c r="F844" s="74"/>
      <c r="G844" s="74"/>
      <c r="H844" s="74"/>
      <c r="I844" s="74"/>
      <c r="J844" s="74"/>
      <c r="K844" s="74"/>
      <c r="L844" s="57"/>
    </row>
    <row r="845" spans="2:12" hidden="1" x14ac:dyDescent="0.3">
      <c r="B845" s="12" t="s">
        <v>99</v>
      </c>
      <c r="C845" s="12" t="s">
        <v>129</v>
      </c>
      <c r="D845" s="74"/>
      <c r="E845" s="74"/>
      <c r="F845" s="74"/>
      <c r="G845" s="74"/>
      <c r="H845" s="74"/>
      <c r="I845" s="74"/>
      <c r="J845" s="74"/>
      <c r="K845" s="74"/>
      <c r="L845" s="57"/>
    </row>
    <row r="846" spans="2:12" hidden="1" x14ac:dyDescent="0.3">
      <c r="B846" s="12" t="s">
        <v>100</v>
      </c>
      <c r="C846" s="12" t="s">
        <v>129</v>
      </c>
      <c r="D846" s="74"/>
      <c r="E846" s="74"/>
      <c r="F846" s="74"/>
      <c r="G846" s="74"/>
      <c r="H846" s="74"/>
      <c r="I846" s="74"/>
      <c r="J846" s="74"/>
      <c r="K846" s="74"/>
      <c r="L846" s="57"/>
    </row>
    <row r="847" spans="2:12" hidden="1" x14ac:dyDescent="0.3">
      <c r="B847" s="12" t="s">
        <v>101</v>
      </c>
      <c r="C847" s="12" t="s">
        <v>129</v>
      </c>
      <c r="D847" s="74"/>
      <c r="E847" s="74"/>
      <c r="F847" s="74"/>
      <c r="G847" s="74"/>
      <c r="H847" s="74"/>
      <c r="I847" s="74"/>
      <c r="J847" s="74"/>
      <c r="K847" s="74"/>
      <c r="L847" s="57"/>
    </row>
    <row r="848" spans="2:12" hidden="1" x14ac:dyDescent="0.3">
      <c r="B848" s="12" t="s">
        <v>102</v>
      </c>
      <c r="C848" s="12" t="s">
        <v>129</v>
      </c>
      <c r="D848" s="74"/>
      <c r="E848" s="74"/>
      <c r="F848" s="74"/>
      <c r="G848" s="74"/>
      <c r="H848" s="74"/>
      <c r="I848" s="74"/>
      <c r="J848" s="74"/>
      <c r="K848" s="74"/>
      <c r="L848" s="57"/>
    </row>
    <row r="849" spans="2:12" hidden="1" x14ac:dyDescent="0.3">
      <c r="B849" s="12" t="s">
        <v>103</v>
      </c>
      <c r="C849" s="12" t="s">
        <v>129</v>
      </c>
      <c r="D849" s="74"/>
      <c r="E849" s="74"/>
      <c r="F849" s="74"/>
      <c r="G849" s="74"/>
      <c r="H849" s="74"/>
      <c r="I849" s="74"/>
      <c r="J849" s="74"/>
      <c r="K849" s="74"/>
      <c r="L849" s="57"/>
    </row>
    <row r="850" spans="2:12" hidden="1" x14ac:dyDescent="0.3">
      <c r="B850" s="12" t="s">
        <v>104</v>
      </c>
      <c r="C850" s="12" t="s">
        <v>129</v>
      </c>
      <c r="D850" s="74"/>
      <c r="E850" s="74"/>
      <c r="F850" s="74"/>
      <c r="G850" s="74"/>
      <c r="H850" s="74"/>
      <c r="I850" s="74"/>
      <c r="J850" s="74"/>
      <c r="K850" s="74"/>
      <c r="L850" s="57"/>
    </row>
    <row r="851" spans="2:12" hidden="1" x14ac:dyDescent="0.3">
      <c r="B851" s="12" t="s">
        <v>105</v>
      </c>
      <c r="C851" s="12" t="s">
        <v>129</v>
      </c>
      <c r="D851" s="74"/>
      <c r="E851" s="74"/>
      <c r="F851" s="74"/>
      <c r="G851" s="74"/>
      <c r="H851" s="74"/>
      <c r="I851" s="74"/>
      <c r="J851" s="74"/>
      <c r="K851" s="74"/>
      <c r="L851" s="57"/>
    </row>
    <row r="852" spans="2:12" hidden="1" x14ac:dyDescent="0.3">
      <c r="B852" s="12" t="s">
        <v>106</v>
      </c>
      <c r="C852" s="12" t="s">
        <v>129</v>
      </c>
      <c r="D852" s="74"/>
      <c r="E852" s="74"/>
      <c r="F852" s="74"/>
      <c r="G852" s="74"/>
      <c r="H852" s="74"/>
      <c r="I852" s="74"/>
      <c r="J852" s="74"/>
      <c r="K852" s="74"/>
      <c r="L852" s="57"/>
    </row>
    <row r="853" spans="2:12" hidden="1" x14ac:dyDescent="0.3">
      <c r="B853" s="12" t="s">
        <v>107</v>
      </c>
      <c r="C853" s="12" t="s">
        <v>129</v>
      </c>
      <c r="D853" s="74"/>
      <c r="E853" s="74"/>
      <c r="F853" s="74"/>
      <c r="G853" s="74"/>
      <c r="H853" s="74"/>
      <c r="I853" s="74"/>
      <c r="J853" s="74"/>
      <c r="K853" s="74"/>
      <c r="L853" s="57"/>
    </row>
    <row r="854" spans="2:12" hidden="1" x14ac:dyDescent="0.3">
      <c r="B854" s="12" t="s">
        <v>108</v>
      </c>
      <c r="C854" s="12" t="s">
        <v>129</v>
      </c>
      <c r="D854" s="74"/>
      <c r="E854" s="74"/>
      <c r="F854" s="74"/>
      <c r="G854" s="74"/>
      <c r="H854" s="74"/>
      <c r="I854" s="74"/>
      <c r="J854" s="74"/>
      <c r="K854" s="74"/>
      <c r="L854" s="57"/>
    </row>
    <row r="855" spans="2:12" hidden="1" x14ac:dyDescent="0.3">
      <c r="B855" s="12" t="s">
        <v>109</v>
      </c>
      <c r="C855" s="12" t="s">
        <v>129</v>
      </c>
      <c r="D855" s="74"/>
      <c r="E855" s="74"/>
      <c r="F855" s="74"/>
      <c r="G855" s="74"/>
      <c r="H855" s="74"/>
      <c r="I855" s="74"/>
      <c r="J855" s="74"/>
      <c r="K855" s="74"/>
      <c r="L855" s="57"/>
    </row>
    <row r="856" spans="2:12" hidden="1" x14ac:dyDescent="0.3">
      <c r="B856" s="12" t="s">
        <v>110</v>
      </c>
      <c r="C856" s="12" t="s">
        <v>129</v>
      </c>
      <c r="D856" s="74"/>
      <c r="E856" s="74"/>
      <c r="F856" s="74"/>
      <c r="G856" s="74"/>
      <c r="H856" s="74"/>
      <c r="I856" s="74"/>
      <c r="J856" s="74"/>
      <c r="K856" s="74"/>
      <c r="L856" s="57"/>
    </row>
    <row r="857" spans="2:12" hidden="1" x14ac:dyDescent="0.3">
      <c r="B857" s="12" t="s">
        <v>111</v>
      </c>
      <c r="C857" s="12" t="s">
        <v>129</v>
      </c>
      <c r="D857" s="74"/>
      <c r="E857" s="74"/>
      <c r="F857" s="74"/>
      <c r="G857" s="74"/>
      <c r="H857" s="74"/>
      <c r="I857" s="74"/>
      <c r="J857" s="74"/>
      <c r="K857" s="74"/>
      <c r="L857" s="57"/>
    </row>
    <row r="858" spans="2:12" hidden="1" x14ac:dyDescent="0.3">
      <c r="B858" s="12" t="s">
        <v>112</v>
      </c>
      <c r="C858" s="12" t="s">
        <v>129</v>
      </c>
      <c r="D858" s="74"/>
      <c r="E858" s="74"/>
      <c r="F858" s="74"/>
      <c r="G858" s="74"/>
      <c r="H858" s="74"/>
      <c r="I858" s="74"/>
      <c r="J858" s="74"/>
      <c r="K858" s="74"/>
      <c r="L858" s="57"/>
    </row>
    <row r="859" spans="2:12" hidden="1" x14ac:dyDescent="0.3">
      <c r="B859" s="12" t="s">
        <v>113</v>
      </c>
      <c r="C859" s="12" t="s">
        <v>129</v>
      </c>
      <c r="D859" s="74"/>
      <c r="E859" s="74"/>
      <c r="F859" s="74"/>
      <c r="G859" s="74"/>
      <c r="H859" s="74"/>
      <c r="I859" s="74"/>
      <c r="J859" s="74"/>
      <c r="K859" s="74"/>
      <c r="L859" s="57"/>
    </row>
    <row r="860" spans="2:12" hidden="1" x14ac:dyDescent="0.3">
      <c r="B860" s="12" t="s">
        <v>114</v>
      </c>
      <c r="C860" s="12" t="s">
        <v>129</v>
      </c>
      <c r="D860" s="74"/>
      <c r="E860" s="74"/>
      <c r="F860" s="74"/>
      <c r="G860" s="74"/>
      <c r="H860" s="74"/>
      <c r="I860" s="74"/>
      <c r="J860" s="74"/>
      <c r="K860" s="74"/>
      <c r="L860" s="57"/>
    </row>
    <row r="861" spans="2:12" hidden="1" x14ac:dyDescent="0.3">
      <c r="B861" s="12" t="s">
        <v>115</v>
      </c>
      <c r="C861" s="12" t="s">
        <v>129</v>
      </c>
      <c r="D861" s="74"/>
      <c r="E861" s="74"/>
      <c r="F861" s="74"/>
      <c r="G861" s="74"/>
      <c r="H861" s="74"/>
      <c r="I861" s="74"/>
      <c r="J861" s="74"/>
      <c r="K861" s="74"/>
      <c r="L861" s="57"/>
    </row>
  </sheetData>
  <mergeCells count="16">
    <mergeCell ref="E10:F10"/>
    <mergeCell ref="K1:O1"/>
    <mergeCell ref="K3:O3"/>
    <mergeCell ref="C12:U12"/>
    <mergeCell ref="AB1:AE1"/>
    <mergeCell ref="AB3:AE3"/>
    <mergeCell ref="AB5:AE5"/>
    <mergeCell ref="X1:AA1"/>
    <mergeCell ref="X3:AA3"/>
    <mergeCell ref="X5:AA5"/>
    <mergeCell ref="C1:F1"/>
    <mergeCell ref="C3:F3"/>
    <mergeCell ref="P1:T1"/>
    <mergeCell ref="P3:T3"/>
    <mergeCell ref="G1:I1"/>
    <mergeCell ref="G3:I3"/>
  </mergeCells>
  <phoneticPr fontId="10" type="noConversion"/>
  <conditionalFormatting sqref="C14:C861">
    <cfRule type="colorScale" priority="5331">
      <colorScale>
        <cfvo type="min"/>
        <cfvo type="max"/>
        <color rgb="FFFFEF9C"/>
        <color rgb="FF63BE7B"/>
      </colorScale>
    </cfRule>
  </conditionalFormatting>
  <conditionalFormatting sqref="D14:L861">
    <cfRule type="colorScale" priority="5332">
      <colorScale>
        <cfvo type="min"/>
        <cfvo type="max"/>
        <color rgb="FFFFEF9C"/>
        <color rgb="FF63BE7B"/>
      </colorScale>
    </cfRule>
  </conditionalFormatting>
  <dataValidations count="1">
    <dataValidation type="list" allowBlank="1" showInputMessage="1" showErrorMessage="1" sqref="E10" xr:uid="{EF6C2F5C-8452-4129-93DA-92AD6BFEA37E}">
      <formula1>INDIRECT("TabFonction")</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3A99D81-EFBD-4DFE-9A56-4E2FC7928612}">
          <x14:formula1>
            <xm:f>INDIRECT(Paramétrage!$D$8 &amp; "[Niveau]")</xm:f>
          </x14:formula1>
          <xm:sqref>D14:L861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FCD36-4B6A-4471-B8D4-92DB48E50673}">
  <sheetPr codeName="ShMatRessComp">
    <tabColor theme="9" tint="0.39997558519241921"/>
  </sheetPr>
  <dimension ref="B1:AC51"/>
  <sheetViews>
    <sheetView showGridLines="0" topLeftCell="A6" workbookViewId="0">
      <selection activeCell="G15" sqref="G15"/>
    </sheetView>
  </sheetViews>
  <sheetFormatPr baseColWidth="10" defaultColWidth="11.5546875" defaultRowHeight="14.4" x14ac:dyDescent="0.3"/>
  <cols>
    <col min="1" max="1" width="3.109375" customWidth="1"/>
    <col min="2" max="2" width="37.109375" customWidth="1"/>
    <col min="3" max="3" width="25.33203125" style="15" customWidth="1"/>
  </cols>
  <sheetData>
    <row r="1" spans="2:29" ht="19.95" customHeight="1" x14ac:dyDescent="0.3">
      <c r="E1" s="93"/>
      <c r="F1" s="93"/>
      <c r="G1" s="93"/>
      <c r="H1" s="98" t="s">
        <v>1</v>
      </c>
      <c r="I1" s="98"/>
      <c r="J1" s="98"/>
      <c r="K1" s="93" t="s">
        <v>2</v>
      </c>
      <c r="L1" s="93"/>
      <c r="M1" s="98" t="s">
        <v>3</v>
      </c>
      <c r="N1" s="98"/>
      <c r="O1" s="98"/>
      <c r="P1" s="98"/>
      <c r="Q1" s="98"/>
      <c r="S1" s="99" t="s">
        <v>4</v>
      </c>
      <c r="T1" s="99"/>
      <c r="U1" s="99"/>
      <c r="V1" s="99"/>
      <c r="W1" s="99"/>
      <c r="X1" s="101">
        <v>44892</v>
      </c>
      <c r="Y1" s="101"/>
      <c r="Z1" s="101"/>
      <c r="AA1" s="101"/>
      <c r="AB1" s="101"/>
    </row>
    <row r="2" spans="2:29" ht="14.4" hidden="1" customHeight="1" x14ac:dyDescent="0.3">
      <c r="E2" s="10"/>
      <c r="F2" s="10"/>
      <c r="H2" s="10"/>
      <c r="I2" s="10"/>
      <c r="J2" s="10"/>
      <c r="K2" s="10"/>
      <c r="M2" s="16"/>
      <c r="N2" s="16"/>
      <c r="O2" s="16"/>
      <c r="P2" s="16"/>
      <c r="Q2" s="16"/>
      <c r="S2" s="3"/>
      <c r="X2" s="4"/>
      <c r="Y2" s="4"/>
    </row>
    <row r="3" spans="2:29" ht="19.95" customHeight="1" x14ac:dyDescent="0.3">
      <c r="E3" s="93"/>
      <c r="F3" s="93"/>
      <c r="G3" s="93"/>
      <c r="H3" s="98" t="s">
        <v>6</v>
      </c>
      <c r="I3" s="98"/>
      <c r="J3" s="98"/>
      <c r="K3" s="93" t="s">
        <v>7</v>
      </c>
      <c r="L3" s="93"/>
      <c r="M3" s="98" t="s">
        <v>8</v>
      </c>
      <c r="N3" s="98"/>
      <c r="O3" s="98"/>
      <c r="P3" s="98"/>
      <c r="Q3" s="98"/>
      <c r="S3" s="99" t="s">
        <v>9</v>
      </c>
      <c r="T3" s="99"/>
      <c r="U3" s="99"/>
      <c r="V3" s="99"/>
      <c r="W3" s="99"/>
      <c r="X3" s="101"/>
      <c r="Y3" s="101"/>
      <c r="Z3" s="101"/>
      <c r="AA3" s="101"/>
      <c r="AB3" s="101"/>
    </row>
    <row r="4" spans="2:29" ht="14.4" hidden="1" customHeight="1" x14ac:dyDescent="0.3">
      <c r="S4" s="3"/>
      <c r="X4" s="4"/>
      <c r="Y4" s="4"/>
    </row>
    <row r="5" spans="2:29" ht="19.95" customHeight="1" thickBot="1" x14ac:dyDescent="0.35">
      <c r="S5" s="100" t="s">
        <v>10</v>
      </c>
      <c r="T5" s="100"/>
      <c r="U5" s="100"/>
      <c r="V5" s="100"/>
      <c r="W5" s="100"/>
      <c r="X5" s="100" t="s">
        <v>130</v>
      </c>
      <c r="Y5" s="100"/>
      <c r="Z5" s="100"/>
      <c r="AA5" s="100"/>
      <c r="AB5" s="100"/>
    </row>
    <row r="6" spans="2:29" ht="28.2" customHeight="1" thickTop="1" thickBot="1" x14ac:dyDescent="0.35">
      <c r="B6" s="7" t="s">
        <v>131</v>
      </c>
      <c r="C6" s="50"/>
      <c r="D6" s="6"/>
      <c r="E6" s="6"/>
      <c r="F6" s="6"/>
      <c r="G6" s="6"/>
      <c r="H6" s="6"/>
      <c r="I6" s="6"/>
      <c r="J6" s="6"/>
      <c r="K6" s="6"/>
      <c r="L6" s="6"/>
      <c r="M6" s="6"/>
      <c r="N6" s="6"/>
      <c r="O6" s="6"/>
      <c r="P6" s="6"/>
      <c r="Q6" s="6"/>
      <c r="R6" s="7"/>
      <c r="S6" s="7"/>
      <c r="T6" s="7"/>
      <c r="U6" s="7"/>
      <c r="V6" s="7"/>
      <c r="W6" s="7"/>
      <c r="X6" s="7"/>
      <c r="Y6" s="7"/>
      <c r="Z6" s="7"/>
      <c r="AA6" s="7"/>
      <c r="AB6" s="7"/>
      <c r="AC6" s="7"/>
    </row>
    <row r="7" spans="2:29" ht="10.199999999999999" customHeight="1" thickTop="1" x14ac:dyDescent="0.3"/>
    <row r="8" spans="2:29" hidden="1" x14ac:dyDescent="0.3"/>
    <row r="9" spans="2:29" ht="1.95" customHeight="1" x14ac:dyDescent="0.3"/>
    <row r="10" spans="2:29" hidden="1" x14ac:dyDescent="0.3"/>
    <row r="11" spans="2:29" hidden="1" x14ac:dyDescent="0.3"/>
    <row r="12" spans="2:29" ht="24.6" customHeight="1" x14ac:dyDescent="0.3">
      <c r="D12" s="84" t="s">
        <v>132</v>
      </c>
      <c r="E12" s="84"/>
      <c r="F12" s="84"/>
      <c r="G12" s="84"/>
      <c r="H12" s="84"/>
      <c r="I12" s="84"/>
      <c r="J12" s="84"/>
      <c r="K12" s="84"/>
    </row>
    <row r="13" spans="2:29" s="68" customFormat="1" ht="3.6" customHeight="1" x14ac:dyDescent="0.25">
      <c r="C13" s="69"/>
      <c r="D13" s="102"/>
      <c r="E13" s="102"/>
      <c r="F13" s="102"/>
      <c r="G13" s="102"/>
      <c r="H13" s="102"/>
      <c r="I13" s="102"/>
      <c r="J13" s="102"/>
      <c r="K13" s="102"/>
      <c r="L13" s="103"/>
      <c r="M13" s="103"/>
      <c r="N13" s="70"/>
      <c r="O13" s="70"/>
      <c r="P13" s="70"/>
      <c r="Q13" s="70"/>
    </row>
    <row r="14" spans="2:29" s="24" customFormat="1" ht="34.950000000000003" customHeight="1" x14ac:dyDescent="0.25">
      <c r="B14" s="23" t="s">
        <v>133</v>
      </c>
      <c r="C14" s="23" t="s">
        <v>134</v>
      </c>
      <c r="D14" s="22" t="s">
        <v>54</v>
      </c>
      <c r="E14" s="22" t="s">
        <v>55</v>
      </c>
      <c r="F14" s="22" t="s">
        <v>56</v>
      </c>
      <c r="G14" s="22" t="s">
        <v>57</v>
      </c>
      <c r="H14" s="22" t="s">
        <v>58</v>
      </c>
      <c r="I14" s="22" t="s">
        <v>59</v>
      </c>
      <c r="J14" s="22" t="s">
        <v>60</v>
      </c>
      <c r="K14" s="48" t="s">
        <v>61</v>
      </c>
    </row>
    <row r="15" spans="2:29" ht="15.6" customHeight="1" x14ac:dyDescent="0.3">
      <c r="B15" s="12" t="s">
        <v>135</v>
      </c>
      <c r="C15" s="12" t="s">
        <v>50</v>
      </c>
      <c r="D15" s="13">
        <v>1</v>
      </c>
      <c r="E15" s="13">
        <v>1</v>
      </c>
      <c r="F15" s="13">
        <v>1</v>
      </c>
      <c r="G15" s="13">
        <v>4</v>
      </c>
      <c r="H15" s="13">
        <v>1</v>
      </c>
      <c r="I15" s="13">
        <v>4</v>
      </c>
      <c r="J15" s="13">
        <v>3</v>
      </c>
      <c r="K15" s="14">
        <v>2</v>
      </c>
      <c r="L15" s="57"/>
    </row>
    <row r="16" spans="2:29" ht="15.6" customHeight="1" x14ac:dyDescent="0.3">
      <c r="B16" s="12" t="s">
        <v>136</v>
      </c>
      <c r="C16" s="12" t="s">
        <v>122</v>
      </c>
      <c r="D16" s="13">
        <v>1</v>
      </c>
      <c r="E16" s="13">
        <v>1</v>
      </c>
      <c r="F16" s="13">
        <v>1</v>
      </c>
      <c r="G16" s="13">
        <v>1</v>
      </c>
      <c r="H16" s="13">
        <v>1</v>
      </c>
      <c r="I16" s="13">
        <v>1</v>
      </c>
      <c r="J16" s="13">
        <v>1</v>
      </c>
      <c r="K16" s="14">
        <v>2</v>
      </c>
      <c r="L16" s="57"/>
    </row>
    <row r="17" spans="2:12" ht="15.6" customHeight="1" x14ac:dyDescent="0.3">
      <c r="B17" s="12" t="s">
        <v>137</v>
      </c>
      <c r="C17" s="12" t="s">
        <v>126</v>
      </c>
      <c r="D17" s="13">
        <v>1</v>
      </c>
      <c r="E17" s="13">
        <v>1</v>
      </c>
      <c r="F17" s="13">
        <v>1</v>
      </c>
      <c r="G17" s="13">
        <v>4</v>
      </c>
      <c r="H17" s="13">
        <v>2</v>
      </c>
      <c r="I17" s="13">
        <v>2</v>
      </c>
      <c r="J17" s="13">
        <v>1</v>
      </c>
      <c r="K17" s="14">
        <v>2</v>
      </c>
      <c r="L17" s="57"/>
    </row>
    <row r="18" spans="2:12" ht="15.6" customHeight="1" x14ac:dyDescent="0.3">
      <c r="B18" s="12" t="s">
        <v>138</v>
      </c>
      <c r="C18" s="12" t="s">
        <v>129</v>
      </c>
      <c r="D18" s="13">
        <v>1</v>
      </c>
      <c r="E18" s="13">
        <v>4</v>
      </c>
      <c r="F18" s="13">
        <v>3</v>
      </c>
      <c r="G18" s="13">
        <v>1</v>
      </c>
      <c r="H18" s="13">
        <v>2</v>
      </c>
      <c r="I18" s="13">
        <v>1</v>
      </c>
      <c r="J18" s="13">
        <v>4</v>
      </c>
      <c r="K18" s="14">
        <v>2</v>
      </c>
      <c r="L18" s="57"/>
    </row>
    <row r="19" spans="2:12" ht="15.6" customHeight="1" x14ac:dyDescent="0.3">
      <c r="B19" s="12" t="s">
        <v>139</v>
      </c>
      <c r="C19" s="15" t="s">
        <v>63</v>
      </c>
      <c r="D19" s="13">
        <v>1</v>
      </c>
      <c r="E19" s="13">
        <v>2</v>
      </c>
      <c r="F19" s="13">
        <v>4</v>
      </c>
      <c r="G19" s="13">
        <v>2</v>
      </c>
      <c r="H19" s="13">
        <v>2</v>
      </c>
      <c r="I19" s="13">
        <v>2</v>
      </c>
      <c r="J19" s="13">
        <v>1</v>
      </c>
      <c r="K19" s="14">
        <v>2</v>
      </c>
      <c r="L19" s="57"/>
    </row>
    <row r="20" spans="2:12" ht="15.6" customHeight="1" x14ac:dyDescent="0.3">
      <c r="B20" s="12" t="s">
        <v>140</v>
      </c>
      <c r="C20" s="15" t="s">
        <v>121</v>
      </c>
      <c r="D20" s="13">
        <v>1</v>
      </c>
      <c r="E20" s="13">
        <v>2</v>
      </c>
      <c r="F20" s="13">
        <v>1</v>
      </c>
      <c r="G20" s="13">
        <v>1</v>
      </c>
      <c r="H20" s="13">
        <v>2</v>
      </c>
      <c r="I20" s="13">
        <v>2</v>
      </c>
      <c r="J20" s="13">
        <v>2</v>
      </c>
      <c r="K20" s="14">
        <v>2</v>
      </c>
      <c r="L20" s="57"/>
    </row>
    <row r="21" spans="2:12" ht="15.6" customHeight="1" x14ac:dyDescent="0.3">
      <c r="B21" s="12" t="s">
        <v>141</v>
      </c>
      <c r="C21" s="15" t="s">
        <v>126</v>
      </c>
      <c r="D21" s="13">
        <v>1</v>
      </c>
      <c r="E21" s="13">
        <v>1</v>
      </c>
      <c r="F21" s="13">
        <v>5</v>
      </c>
      <c r="G21" s="13">
        <v>4</v>
      </c>
      <c r="H21" s="13">
        <v>2</v>
      </c>
      <c r="I21" s="13">
        <v>3</v>
      </c>
      <c r="J21" s="13">
        <v>1</v>
      </c>
      <c r="K21" s="14">
        <v>2</v>
      </c>
      <c r="L21" s="57"/>
    </row>
    <row r="22" spans="2:12" ht="15.6" customHeight="1" x14ac:dyDescent="0.3">
      <c r="B22" s="12" t="s">
        <v>142</v>
      </c>
      <c r="C22" s="15" t="s">
        <v>124</v>
      </c>
      <c r="D22" s="13">
        <v>1</v>
      </c>
      <c r="E22" s="13">
        <v>2</v>
      </c>
      <c r="F22" s="13">
        <v>4</v>
      </c>
      <c r="G22" s="13">
        <v>1</v>
      </c>
      <c r="H22" s="13">
        <v>2</v>
      </c>
      <c r="I22" s="13">
        <v>2</v>
      </c>
      <c r="J22" s="13">
        <v>1</v>
      </c>
      <c r="K22" s="14">
        <v>2</v>
      </c>
      <c r="L22" s="57"/>
    </row>
    <row r="23" spans="2:12" ht="15.6" customHeight="1" x14ac:dyDescent="0.3">
      <c r="B23" s="12" t="s">
        <v>143</v>
      </c>
      <c r="C23" s="15" t="s">
        <v>128</v>
      </c>
      <c r="D23" s="13">
        <v>4</v>
      </c>
      <c r="E23" s="13">
        <v>1</v>
      </c>
      <c r="F23" s="13">
        <v>1</v>
      </c>
      <c r="G23" s="13">
        <v>3</v>
      </c>
      <c r="H23" s="13">
        <v>3</v>
      </c>
      <c r="I23" s="13">
        <v>3</v>
      </c>
      <c r="J23" s="13">
        <v>1</v>
      </c>
      <c r="K23" s="14">
        <v>2</v>
      </c>
      <c r="L23" s="57"/>
    </row>
    <row r="24" spans="2:12" ht="15.6" customHeight="1" x14ac:dyDescent="0.3">
      <c r="B24" s="12" t="s">
        <v>144</v>
      </c>
      <c r="C24" s="15" t="s">
        <v>116</v>
      </c>
      <c r="D24" s="13">
        <v>1</v>
      </c>
      <c r="E24" s="13">
        <v>1</v>
      </c>
      <c r="F24" s="13">
        <v>1</v>
      </c>
      <c r="G24" s="13">
        <v>1</v>
      </c>
      <c r="H24" s="13">
        <v>1</v>
      </c>
      <c r="I24" s="13">
        <v>2</v>
      </c>
      <c r="J24" s="13">
        <v>1</v>
      </c>
      <c r="K24" s="14">
        <v>2</v>
      </c>
      <c r="L24" s="57"/>
    </row>
    <row r="25" spans="2:12" ht="15.6" customHeight="1" x14ac:dyDescent="0.3">
      <c r="B25" s="12" t="s">
        <v>145</v>
      </c>
      <c r="C25" s="15" t="s">
        <v>123</v>
      </c>
      <c r="D25" s="13">
        <v>1</v>
      </c>
      <c r="E25" s="13">
        <v>4</v>
      </c>
      <c r="F25" s="13">
        <v>5</v>
      </c>
      <c r="G25" s="13">
        <v>1</v>
      </c>
      <c r="H25" s="13">
        <v>2</v>
      </c>
      <c r="I25" s="13">
        <v>1</v>
      </c>
      <c r="J25" s="13">
        <v>4</v>
      </c>
      <c r="K25" s="14">
        <v>2</v>
      </c>
      <c r="L25" s="57"/>
    </row>
    <row r="26" spans="2:12" ht="15.6" customHeight="1" x14ac:dyDescent="0.3">
      <c r="B26" s="12" t="s">
        <v>146</v>
      </c>
      <c r="C26" s="15" t="s">
        <v>125</v>
      </c>
      <c r="D26" s="13">
        <v>1</v>
      </c>
      <c r="E26" s="13">
        <v>2</v>
      </c>
      <c r="F26" s="13">
        <v>4</v>
      </c>
      <c r="G26" s="13">
        <v>2</v>
      </c>
      <c r="H26" s="13">
        <v>2</v>
      </c>
      <c r="I26" s="13">
        <v>3</v>
      </c>
      <c r="J26" s="13">
        <v>1</v>
      </c>
      <c r="K26" s="14">
        <v>2</v>
      </c>
      <c r="L26" s="57"/>
    </row>
    <row r="27" spans="2:12" ht="15.6" customHeight="1" x14ac:dyDescent="0.3">
      <c r="B27" s="12" t="s">
        <v>147</v>
      </c>
      <c r="C27" s="15" t="s">
        <v>118</v>
      </c>
      <c r="D27" s="13">
        <v>1</v>
      </c>
      <c r="E27" s="13">
        <v>2</v>
      </c>
      <c r="F27" s="13">
        <v>1</v>
      </c>
      <c r="G27" s="13">
        <v>1</v>
      </c>
      <c r="H27" s="13">
        <v>2</v>
      </c>
      <c r="I27" s="13">
        <v>2</v>
      </c>
      <c r="J27" s="13">
        <v>2</v>
      </c>
      <c r="K27" s="14">
        <v>2</v>
      </c>
      <c r="L27" s="57"/>
    </row>
    <row r="28" spans="2:12" ht="15.6" customHeight="1" x14ac:dyDescent="0.3">
      <c r="B28" s="12" t="s">
        <v>148</v>
      </c>
      <c r="C28" s="15" t="s">
        <v>120</v>
      </c>
      <c r="D28" s="13">
        <v>1</v>
      </c>
      <c r="E28" s="13">
        <v>1</v>
      </c>
      <c r="F28" s="13">
        <v>1</v>
      </c>
      <c r="G28" s="13">
        <v>4</v>
      </c>
      <c r="H28" s="13">
        <v>2</v>
      </c>
      <c r="I28" s="13">
        <v>3</v>
      </c>
      <c r="J28" s="13">
        <v>1</v>
      </c>
      <c r="K28" s="14">
        <v>2</v>
      </c>
      <c r="L28" s="57"/>
    </row>
    <row r="29" spans="2:12" ht="15.6" customHeight="1" x14ac:dyDescent="0.3">
      <c r="B29" s="12" t="s">
        <v>149</v>
      </c>
      <c r="C29" s="15" t="s">
        <v>117</v>
      </c>
      <c r="D29" s="13">
        <v>1</v>
      </c>
      <c r="E29" s="13">
        <v>1</v>
      </c>
      <c r="F29" s="13">
        <v>1</v>
      </c>
      <c r="G29" s="13">
        <v>1</v>
      </c>
      <c r="H29" s="13">
        <v>2</v>
      </c>
      <c r="I29" s="13">
        <v>2</v>
      </c>
      <c r="J29" s="13">
        <v>1</v>
      </c>
      <c r="K29" s="14">
        <v>2</v>
      </c>
      <c r="L29" s="57"/>
    </row>
    <row r="30" spans="2:12" ht="15.6" customHeight="1" x14ac:dyDescent="0.3">
      <c r="B30" s="12" t="s">
        <v>150</v>
      </c>
      <c r="C30" s="15" t="s">
        <v>119</v>
      </c>
      <c r="D30" s="13">
        <v>4</v>
      </c>
      <c r="E30" s="13">
        <v>1</v>
      </c>
      <c r="F30" s="13">
        <v>1</v>
      </c>
      <c r="G30" s="13">
        <v>3</v>
      </c>
      <c r="H30" s="13">
        <v>3</v>
      </c>
      <c r="I30" s="13">
        <v>3</v>
      </c>
      <c r="J30" s="13">
        <v>1</v>
      </c>
      <c r="K30" s="14">
        <v>2</v>
      </c>
      <c r="L30" s="57"/>
    </row>
    <row r="31" spans="2:12" ht="15.6" customHeight="1" x14ac:dyDescent="0.3"/>
    <row r="32" spans="2:12" ht="15.6" customHeight="1" x14ac:dyDescent="0.3">
      <c r="B32" s="52"/>
    </row>
    <row r="33" spans="2:29" ht="24" customHeight="1" x14ac:dyDescent="0.3">
      <c r="D33" s="84" t="s">
        <v>151</v>
      </c>
      <c r="E33" s="84"/>
      <c r="F33" s="84"/>
      <c r="G33" s="84"/>
      <c r="H33" s="84"/>
      <c r="I33" s="84"/>
      <c r="J33" s="84"/>
      <c r="K33" s="84"/>
    </row>
    <row r="34" spans="2:29" ht="18" customHeight="1" x14ac:dyDescent="0.3">
      <c r="B34" s="68"/>
      <c r="C34" s="69"/>
      <c r="D34" s="102"/>
      <c r="E34" s="102"/>
      <c r="F34" s="102"/>
      <c r="G34" s="102"/>
      <c r="H34" s="102"/>
      <c r="I34" s="102"/>
      <c r="J34" s="102"/>
      <c r="K34" s="102"/>
      <c r="L34" s="103"/>
      <c r="M34" s="103"/>
      <c r="N34" s="70"/>
      <c r="O34" s="70"/>
      <c r="P34" s="70"/>
      <c r="Q34" s="70"/>
      <c r="R34" s="68"/>
      <c r="S34" s="68"/>
      <c r="T34" s="68"/>
      <c r="U34" s="68"/>
      <c r="V34" s="68"/>
      <c r="W34" s="68"/>
      <c r="X34" s="68"/>
      <c r="Y34" s="68"/>
      <c r="Z34" s="68"/>
      <c r="AA34" s="68"/>
      <c r="AB34" s="68"/>
      <c r="AC34" s="68"/>
    </row>
    <row r="35" spans="2:29" ht="22.2" customHeight="1" x14ac:dyDescent="0.3">
      <c r="B35" s="23" t="s">
        <v>133</v>
      </c>
      <c r="C35" s="23" t="s">
        <v>134</v>
      </c>
      <c r="D35" s="22" t="s">
        <v>54</v>
      </c>
      <c r="E35" s="22" t="s">
        <v>55</v>
      </c>
      <c r="F35" s="22" t="s">
        <v>56</v>
      </c>
      <c r="G35" s="22" t="s">
        <v>57</v>
      </c>
      <c r="H35" s="22" t="s">
        <v>58</v>
      </c>
      <c r="I35" s="22" t="s">
        <v>59</v>
      </c>
      <c r="J35" s="22" t="s">
        <v>60</v>
      </c>
      <c r="K35" s="48" t="s">
        <v>61</v>
      </c>
      <c r="L35" s="24"/>
      <c r="M35" s="24"/>
      <c r="N35" s="24"/>
      <c r="O35" s="24"/>
      <c r="P35" s="24"/>
      <c r="Q35" s="24"/>
      <c r="R35" s="24"/>
      <c r="S35" s="24"/>
      <c r="T35" s="24"/>
      <c r="U35" s="24"/>
      <c r="V35" s="24"/>
      <c r="W35" s="24"/>
      <c r="X35" s="24"/>
      <c r="Y35" s="24"/>
      <c r="Z35" s="24"/>
      <c r="AA35" s="24"/>
      <c r="AB35" s="24"/>
      <c r="AC35" s="24"/>
    </row>
    <row r="36" spans="2:29" x14ac:dyDescent="0.3">
      <c r="B36" s="12" t="s">
        <v>135</v>
      </c>
      <c r="C36" s="12" t="s">
        <v>50</v>
      </c>
      <c r="D36" s="13">
        <v>5</v>
      </c>
      <c r="E36" s="13">
        <v>4</v>
      </c>
      <c r="F36" s="13">
        <v>4</v>
      </c>
      <c r="G36" s="13">
        <v>3</v>
      </c>
      <c r="H36" s="13">
        <v>1</v>
      </c>
      <c r="I36" s="13">
        <v>4</v>
      </c>
      <c r="J36" s="13">
        <v>3</v>
      </c>
      <c r="K36" s="14">
        <v>1</v>
      </c>
      <c r="L36" s="57"/>
    </row>
    <row r="37" spans="2:29" x14ac:dyDescent="0.3">
      <c r="B37" s="12" t="s">
        <v>136</v>
      </c>
      <c r="C37" s="12" t="s">
        <v>122</v>
      </c>
      <c r="D37" s="13">
        <v>4</v>
      </c>
      <c r="E37" s="13">
        <v>1</v>
      </c>
      <c r="F37" s="13">
        <v>1</v>
      </c>
      <c r="G37" s="13">
        <v>1</v>
      </c>
      <c r="H37" s="13">
        <v>1</v>
      </c>
      <c r="I37" s="13">
        <v>1</v>
      </c>
      <c r="J37" s="13">
        <v>1</v>
      </c>
      <c r="K37" s="13">
        <v>1</v>
      </c>
      <c r="L37" s="57"/>
    </row>
    <row r="38" spans="2:29" x14ac:dyDescent="0.3">
      <c r="B38" s="12" t="s">
        <v>137</v>
      </c>
      <c r="C38" s="12" t="s">
        <v>126</v>
      </c>
      <c r="D38" s="13">
        <v>1</v>
      </c>
      <c r="E38" s="13">
        <v>5</v>
      </c>
      <c r="F38" s="13">
        <v>1</v>
      </c>
      <c r="G38" s="13">
        <v>4</v>
      </c>
      <c r="H38" s="13">
        <v>2</v>
      </c>
      <c r="I38" s="13">
        <v>1</v>
      </c>
      <c r="J38" s="13">
        <v>1</v>
      </c>
      <c r="K38" s="13">
        <v>1</v>
      </c>
      <c r="L38" s="57"/>
    </row>
    <row r="39" spans="2:29" x14ac:dyDescent="0.3">
      <c r="B39" s="12" t="s">
        <v>138</v>
      </c>
      <c r="C39" s="12" t="s">
        <v>129</v>
      </c>
      <c r="D39" s="13">
        <v>1</v>
      </c>
      <c r="E39" s="13">
        <v>4</v>
      </c>
      <c r="F39" s="13">
        <v>1</v>
      </c>
      <c r="G39" s="13">
        <v>1</v>
      </c>
      <c r="H39" s="13">
        <v>2</v>
      </c>
      <c r="I39" s="13">
        <v>1</v>
      </c>
      <c r="J39" s="13">
        <v>4</v>
      </c>
      <c r="K39" s="13">
        <v>1</v>
      </c>
      <c r="L39" s="57"/>
    </row>
    <row r="40" spans="2:29" x14ac:dyDescent="0.3">
      <c r="B40" s="12" t="s">
        <v>139</v>
      </c>
      <c r="C40" s="15" t="s">
        <v>63</v>
      </c>
      <c r="D40" s="13">
        <v>1</v>
      </c>
      <c r="E40" s="13">
        <v>2</v>
      </c>
      <c r="F40" s="13">
        <v>4</v>
      </c>
      <c r="G40" s="13">
        <v>2</v>
      </c>
      <c r="H40" s="13">
        <v>2</v>
      </c>
      <c r="I40" s="13">
        <v>1</v>
      </c>
      <c r="J40" s="13">
        <v>1</v>
      </c>
      <c r="K40" s="13">
        <v>1</v>
      </c>
      <c r="L40" s="57"/>
    </row>
    <row r="41" spans="2:29" x14ac:dyDescent="0.3">
      <c r="B41" s="12" t="s">
        <v>140</v>
      </c>
      <c r="C41" s="15" t="s">
        <v>121</v>
      </c>
      <c r="D41" s="13">
        <v>1</v>
      </c>
      <c r="E41" s="13">
        <v>2</v>
      </c>
      <c r="F41" s="13">
        <v>1</v>
      </c>
      <c r="G41" s="13">
        <v>1</v>
      </c>
      <c r="H41" s="13">
        <v>2</v>
      </c>
      <c r="I41" s="13">
        <v>2</v>
      </c>
      <c r="J41" s="13">
        <v>2</v>
      </c>
      <c r="K41" s="13">
        <v>1</v>
      </c>
      <c r="L41" s="57"/>
    </row>
    <row r="42" spans="2:29" x14ac:dyDescent="0.3">
      <c r="B42" s="12" t="s">
        <v>141</v>
      </c>
      <c r="C42" s="15" t="s">
        <v>126</v>
      </c>
      <c r="D42" s="13">
        <v>1</v>
      </c>
      <c r="E42" s="13">
        <v>1</v>
      </c>
      <c r="F42" s="13">
        <v>1</v>
      </c>
      <c r="G42" s="13">
        <v>4</v>
      </c>
      <c r="H42" s="13">
        <v>2</v>
      </c>
      <c r="I42" s="13">
        <v>3</v>
      </c>
      <c r="J42" s="13">
        <v>1</v>
      </c>
      <c r="K42" s="13">
        <v>1</v>
      </c>
      <c r="L42" s="57"/>
    </row>
    <row r="43" spans="2:29" x14ac:dyDescent="0.3">
      <c r="B43" s="12" t="s">
        <v>142</v>
      </c>
      <c r="C43" s="15" t="s">
        <v>124</v>
      </c>
      <c r="D43" s="13">
        <v>1</v>
      </c>
      <c r="E43" s="13">
        <v>2</v>
      </c>
      <c r="F43" s="13">
        <v>4</v>
      </c>
      <c r="G43" s="13">
        <v>1</v>
      </c>
      <c r="H43" s="13">
        <v>2</v>
      </c>
      <c r="I43" s="13">
        <v>2</v>
      </c>
      <c r="J43" s="13">
        <v>1</v>
      </c>
      <c r="K43" s="13">
        <v>1</v>
      </c>
      <c r="L43" s="57"/>
    </row>
    <row r="44" spans="2:29" x14ac:dyDescent="0.3">
      <c r="B44" s="12" t="s">
        <v>143</v>
      </c>
      <c r="C44" s="15" t="s">
        <v>128</v>
      </c>
      <c r="D44" s="13">
        <v>4</v>
      </c>
      <c r="E44" s="13">
        <v>1</v>
      </c>
      <c r="F44" s="13">
        <v>1</v>
      </c>
      <c r="G44" s="13">
        <v>3</v>
      </c>
      <c r="H44" s="13">
        <v>3</v>
      </c>
      <c r="I44" s="13">
        <v>3</v>
      </c>
      <c r="J44" s="13">
        <v>1</v>
      </c>
      <c r="K44" s="13">
        <v>1</v>
      </c>
      <c r="L44" s="57"/>
    </row>
    <row r="45" spans="2:29" x14ac:dyDescent="0.3">
      <c r="B45" s="12" t="s">
        <v>144</v>
      </c>
      <c r="C45" s="15" t="s">
        <v>116</v>
      </c>
      <c r="D45" s="13">
        <v>1</v>
      </c>
      <c r="E45" s="13">
        <v>1</v>
      </c>
      <c r="F45" s="13">
        <v>1</v>
      </c>
      <c r="G45" s="13">
        <v>1</v>
      </c>
      <c r="H45" s="13">
        <v>1</v>
      </c>
      <c r="I45" s="13">
        <v>2</v>
      </c>
      <c r="J45" s="13">
        <v>1</v>
      </c>
      <c r="K45" s="13">
        <v>1</v>
      </c>
      <c r="L45" s="57"/>
    </row>
    <row r="46" spans="2:29" x14ac:dyDescent="0.3">
      <c r="B46" s="12" t="s">
        <v>145</v>
      </c>
      <c r="C46" s="15" t="s">
        <v>123</v>
      </c>
      <c r="D46" s="13">
        <v>1</v>
      </c>
      <c r="E46" s="13">
        <v>4</v>
      </c>
      <c r="F46" s="13">
        <v>1</v>
      </c>
      <c r="G46" s="13">
        <v>1</v>
      </c>
      <c r="H46" s="13">
        <v>2</v>
      </c>
      <c r="I46" s="13">
        <v>1</v>
      </c>
      <c r="J46" s="13">
        <v>4</v>
      </c>
      <c r="K46" s="13">
        <v>1</v>
      </c>
      <c r="L46" s="57"/>
    </row>
    <row r="47" spans="2:29" x14ac:dyDescent="0.3">
      <c r="B47" s="12" t="s">
        <v>146</v>
      </c>
      <c r="C47" s="15" t="s">
        <v>125</v>
      </c>
      <c r="D47" s="13">
        <v>1</v>
      </c>
      <c r="E47" s="13">
        <v>2</v>
      </c>
      <c r="F47" s="13">
        <v>4</v>
      </c>
      <c r="G47" s="13">
        <v>2</v>
      </c>
      <c r="H47" s="13">
        <v>2</v>
      </c>
      <c r="I47" s="13">
        <v>3</v>
      </c>
      <c r="J47" s="13">
        <v>1</v>
      </c>
      <c r="K47" s="13">
        <v>1</v>
      </c>
      <c r="L47" s="57"/>
    </row>
    <row r="48" spans="2:29" x14ac:dyDescent="0.3">
      <c r="B48" s="12" t="s">
        <v>147</v>
      </c>
      <c r="C48" s="15" t="s">
        <v>118</v>
      </c>
      <c r="D48" s="13">
        <v>1</v>
      </c>
      <c r="E48" s="13">
        <v>2</v>
      </c>
      <c r="F48" s="13">
        <v>1</v>
      </c>
      <c r="G48" s="13">
        <v>1</v>
      </c>
      <c r="H48" s="13">
        <v>2</v>
      </c>
      <c r="I48" s="13">
        <v>2</v>
      </c>
      <c r="J48" s="13">
        <v>2</v>
      </c>
      <c r="K48" s="13">
        <v>1</v>
      </c>
      <c r="L48" s="57"/>
    </row>
    <row r="49" spans="2:12" x14ac:dyDescent="0.3">
      <c r="B49" s="12" t="s">
        <v>148</v>
      </c>
      <c r="C49" s="15" t="s">
        <v>120</v>
      </c>
      <c r="D49" s="13">
        <v>1</v>
      </c>
      <c r="E49" s="13">
        <v>1</v>
      </c>
      <c r="F49" s="13">
        <v>1</v>
      </c>
      <c r="G49" s="13">
        <v>4</v>
      </c>
      <c r="H49" s="13">
        <v>2</v>
      </c>
      <c r="I49" s="13">
        <v>3</v>
      </c>
      <c r="J49" s="13">
        <v>1</v>
      </c>
      <c r="K49" s="13">
        <v>1</v>
      </c>
      <c r="L49" s="57"/>
    </row>
    <row r="50" spans="2:12" x14ac:dyDescent="0.3">
      <c r="B50" s="12" t="s">
        <v>149</v>
      </c>
      <c r="C50" s="15" t="s">
        <v>117</v>
      </c>
      <c r="D50" s="13">
        <v>1</v>
      </c>
      <c r="E50" s="13">
        <v>1</v>
      </c>
      <c r="F50" s="13">
        <v>1</v>
      </c>
      <c r="G50" s="13">
        <v>1</v>
      </c>
      <c r="H50" s="13">
        <v>2</v>
      </c>
      <c r="I50" s="13">
        <v>2</v>
      </c>
      <c r="J50" s="13">
        <v>1</v>
      </c>
      <c r="K50" s="13">
        <v>1</v>
      </c>
      <c r="L50" s="57"/>
    </row>
    <row r="51" spans="2:12" x14ac:dyDescent="0.3">
      <c r="B51" s="12" t="s">
        <v>150</v>
      </c>
      <c r="C51" s="15" t="s">
        <v>119</v>
      </c>
      <c r="D51" s="13">
        <v>4</v>
      </c>
      <c r="E51" s="13">
        <v>1</v>
      </c>
      <c r="F51" s="13">
        <v>1</v>
      </c>
      <c r="G51" s="13">
        <v>3</v>
      </c>
      <c r="H51" s="13">
        <v>3</v>
      </c>
      <c r="I51" s="13">
        <v>3</v>
      </c>
      <c r="J51" s="13">
        <v>1</v>
      </c>
      <c r="K51" s="13">
        <v>1</v>
      </c>
      <c r="L51" s="57"/>
    </row>
  </sheetData>
  <mergeCells count="18">
    <mergeCell ref="M1:Q1"/>
    <mergeCell ref="K3:L3"/>
    <mergeCell ref="K1:L1"/>
    <mergeCell ref="E1:G1"/>
    <mergeCell ref="E3:G3"/>
    <mergeCell ref="H1:J1"/>
    <mergeCell ref="H3:J3"/>
    <mergeCell ref="D34:K34"/>
    <mergeCell ref="L34:M34"/>
    <mergeCell ref="D13:K13"/>
    <mergeCell ref="L13:M13"/>
    <mergeCell ref="M3:Q3"/>
    <mergeCell ref="S3:W3"/>
    <mergeCell ref="S1:W1"/>
    <mergeCell ref="X5:AB5"/>
    <mergeCell ref="X3:AB3"/>
    <mergeCell ref="X1:AB1"/>
    <mergeCell ref="S5:W5"/>
  </mergeCells>
  <phoneticPr fontId="10" type="noConversion"/>
  <conditionalFormatting sqref="D15:L30">
    <cfRule type="colorScale" priority="5333">
      <colorScale>
        <cfvo type="min"/>
        <cfvo type="max"/>
        <color rgb="FFFFEF9C"/>
        <color rgb="FF63BE7B"/>
      </colorScale>
    </cfRule>
  </conditionalFormatting>
  <conditionalFormatting sqref="D36:L51">
    <cfRule type="colorScale" priority="5334">
      <colorScale>
        <cfvo type="min"/>
        <cfvo type="max"/>
        <color rgb="FFFFEF9C"/>
        <color rgb="FF63BE7B"/>
      </colorScale>
    </cfRule>
  </conditionalFormatting>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9FD5577-4D4C-47CA-8931-D823B3A2188D}">
          <x14:formula1>
            <xm:f>INDIRECT(Paramétrage!$D$8 &amp; "[Niveau]")</xm:f>
          </x14:formula1>
          <xm:sqref>D15:L30 L36:L51 D36:K51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B2531-BD84-459C-8F26-805B31C1BDD2}">
  <sheetPr codeName="ShComparaison">
    <tabColor rgb="FFFFFF00"/>
  </sheetPr>
  <dimension ref="B1:CS200"/>
  <sheetViews>
    <sheetView showGridLines="0" zoomScaleNormal="100" workbookViewId="0">
      <selection activeCell="C16" sqref="C16"/>
    </sheetView>
  </sheetViews>
  <sheetFormatPr baseColWidth="10" defaultColWidth="11.5546875" defaultRowHeight="14.4" x14ac:dyDescent="0.3"/>
  <cols>
    <col min="1" max="1" width="3.33203125" customWidth="1"/>
    <col min="2" max="2" width="62.6640625" style="15" bestFit="1" customWidth="1"/>
    <col min="3" max="6" width="11.6640625" customWidth="1"/>
    <col min="7" max="7" width="14.33203125" customWidth="1"/>
    <col min="8" max="50" width="11.6640625" customWidth="1"/>
    <col min="51" max="101" width="14.6640625" customWidth="1"/>
  </cols>
  <sheetData>
    <row r="1" spans="2:97" ht="19.95" customHeight="1" x14ac:dyDescent="0.3">
      <c r="B1"/>
    </row>
    <row r="2" spans="2:97" ht="16.2" hidden="1" customHeight="1" x14ac:dyDescent="0.3">
      <c r="B2"/>
    </row>
    <row r="3" spans="2:97" ht="19.95" customHeight="1" x14ac:dyDescent="0.3">
      <c r="B3"/>
    </row>
    <row r="4" spans="2:97" ht="14.4" hidden="1" customHeight="1" x14ac:dyDescent="0.3">
      <c r="B4"/>
    </row>
    <row r="5" spans="2:97" ht="19.95" customHeight="1" thickBot="1" x14ac:dyDescent="0.35">
      <c r="B5"/>
    </row>
    <row r="6" spans="2:97" ht="28.2" customHeight="1" thickTop="1" thickBot="1" x14ac:dyDescent="0.35">
      <c r="B6" s="7" t="s">
        <v>152</v>
      </c>
      <c r="C6" s="7"/>
      <c r="D6" s="6"/>
      <c r="E6" s="6"/>
      <c r="F6" s="6"/>
      <c r="G6" s="6"/>
      <c r="H6" s="6"/>
      <c r="I6" s="6"/>
      <c r="J6" s="6"/>
      <c r="K6" s="6"/>
      <c r="L6" s="6"/>
      <c r="M6" s="6"/>
      <c r="N6" s="6"/>
      <c r="O6" s="6"/>
      <c r="P6" s="6"/>
      <c r="Q6" s="6"/>
      <c r="R6" s="6"/>
      <c r="S6" s="6"/>
      <c r="T6" s="6"/>
      <c r="U6" s="6"/>
      <c r="V6" s="6"/>
      <c r="W6" s="6"/>
      <c r="X6" s="6"/>
      <c r="Y6" s="6"/>
      <c r="Z6" s="6"/>
      <c r="AA6" s="6"/>
      <c r="AB6" s="6"/>
      <c r="AC6" s="6"/>
      <c r="AD6" s="6"/>
      <c r="AE6" s="6"/>
      <c r="AF6" s="6"/>
    </row>
    <row r="7" spans="2:97" ht="15" thickTop="1" x14ac:dyDescent="0.3">
      <c r="B7"/>
    </row>
    <row r="8" spans="2:97" hidden="1" x14ac:dyDescent="0.3">
      <c r="B8"/>
    </row>
    <row r="9" spans="2:97" hidden="1" x14ac:dyDescent="0.3">
      <c r="B9"/>
    </row>
    <row r="10" spans="2:97" hidden="1" x14ac:dyDescent="0.3">
      <c r="B10"/>
    </row>
    <row r="11" spans="2:97" hidden="1" x14ac:dyDescent="0.3">
      <c r="B11"/>
    </row>
    <row r="12" spans="2:97" hidden="1" x14ac:dyDescent="0.3">
      <c r="B12"/>
    </row>
    <row r="13" spans="2:97" x14ac:dyDescent="0.3">
      <c r="B13"/>
      <c r="C13" s="58" t="s">
        <v>153</v>
      </c>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row>
    <row r="14" spans="2:97" s="51" customFormat="1" ht="14.4" customHeight="1" x14ac:dyDescent="0.3">
      <c r="B14" s="80" t="s">
        <v>154</v>
      </c>
      <c r="C14" s="104" t="s">
        <v>50</v>
      </c>
      <c r="D14" s="105"/>
      <c r="E14" s="106"/>
      <c r="F14" s="104" t="s">
        <v>122</v>
      </c>
      <c r="G14" s="105"/>
      <c r="H14" s="106"/>
      <c r="I14" s="104" t="s">
        <v>126</v>
      </c>
      <c r="J14" s="105"/>
      <c r="K14" s="106"/>
      <c r="L14" s="104" t="s">
        <v>129</v>
      </c>
      <c r="M14" s="105"/>
      <c r="N14" s="106"/>
      <c r="O14" s="104" t="s">
        <v>63</v>
      </c>
      <c r="P14" s="105"/>
      <c r="Q14" s="106"/>
      <c r="R14" s="104" t="s">
        <v>121</v>
      </c>
      <c r="S14" s="105"/>
      <c r="T14" s="106"/>
      <c r="U14" s="104" t="s">
        <v>126</v>
      </c>
      <c r="V14" s="105"/>
      <c r="W14" s="106"/>
      <c r="X14" s="104" t="s">
        <v>124</v>
      </c>
      <c r="Y14" s="105"/>
      <c r="Z14" s="106"/>
      <c r="AA14" s="104" t="s">
        <v>128</v>
      </c>
      <c r="AB14" s="105"/>
      <c r="AC14" s="106"/>
      <c r="AD14" s="104" t="s">
        <v>116</v>
      </c>
      <c r="AE14" s="105"/>
      <c r="AF14" s="106"/>
      <c r="AG14" s="104" t="s">
        <v>123</v>
      </c>
      <c r="AH14" s="105"/>
      <c r="AI14" s="106"/>
      <c r="AJ14" s="104" t="s">
        <v>125</v>
      </c>
      <c r="AK14" s="105"/>
      <c r="AL14" s="106"/>
      <c r="AM14" s="104" t="s">
        <v>118</v>
      </c>
      <c r="AN14" s="105"/>
      <c r="AO14" s="106"/>
      <c r="AP14" s="104" t="s">
        <v>120</v>
      </c>
      <c r="AQ14" s="105"/>
      <c r="AR14" s="106"/>
      <c r="AS14" s="104" t="s">
        <v>117</v>
      </c>
      <c r="AT14" s="105"/>
      <c r="AU14" s="106"/>
      <c r="AV14" s="104" t="s">
        <v>119</v>
      </c>
      <c r="AW14" s="105"/>
      <c r="AX14" s="106"/>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row>
    <row r="15" spans="2:97" s="57" customFormat="1" x14ac:dyDescent="0.3">
      <c r="B15" s="76" t="s">
        <v>155</v>
      </c>
      <c r="C15" s="27" t="s">
        <v>156</v>
      </c>
      <c r="D15" s="27" t="s">
        <v>157</v>
      </c>
      <c r="E15" s="27" t="s">
        <v>158</v>
      </c>
      <c r="F15" s="27" t="s">
        <v>156</v>
      </c>
      <c r="G15" s="27" t="s">
        <v>157</v>
      </c>
      <c r="H15" s="27" t="s">
        <v>158</v>
      </c>
      <c r="I15" s="27" t="s">
        <v>156</v>
      </c>
      <c r="J15" s="27" t="s">
        <v>157</v>
      </c>
      <c r="K15" s="27" t="s">
        <v>158</v>
      </c>
      <c r="L15" s="27" t="s">
        <v>156</v>
      </c>
      <c r="M15" s="27" t="s">
        <v>157</v>
      </c>
      <c r="N15" s="27" t="s">
        <v>158</v>
      </c>
      <c r="O15" s="27" t="s">
        <v>156</v>
      </c>
      <c r="P15" s="27" t="s">
        <v>157</v>
      </c>
      <c r="Q15" s="27" t="s">
        <v>158</v>
      </c>
      <c r="R15" s="27" t="s">
        <v>156</v>
      </c>
      <c r="S15" s="27" t="s">
        <v>157</v>
      </c>
      <c r="T15" s="27" t="s">
        <v>158</v>
      </c>
      <c r="U15" s="27" t="s">
        <v>156</v>
      </c>
      <c r="V15" s="27" t="s">
        <v>157</v>
      </c>
      <c r="W15" s="27" t="s">
        <v>158</v>
      </c>
      <c r="X15" s="27" t="s">
        <v>156</v>
      </c>
      <c r="Y15" s="27" t="s">
        <v>157</v>
      </c>
      <c r="Z15" s="27" t="s">
        <v>158</v>
      </c>
      <c r="AA15" s="27" t="s">
        <v>156</v>
      </c>
      <c r="AB15" s="27" t="s">
        <v>157</v>
      </c>
      <c r="AC15" s="27" t="s">
        <v>158</v>
      </c>
      <c r="AD15" s="27" t="s">
        <v>156</v>
      </c>
      <c r="AE15" s="27" t="s">
        <v>157</v>
      </c>
      <c r="AF15" s="27" t="s">
        <v>158</v>
      </c>
      <c r="AG15" s="27" t="s">
        <v>156</v>
      </c>
      <c r="AH15" s="27" t="s">
        <v>157</v>
      </c>
      <c r="AI15" s="27" t="s">
        <v>158</v>
      </c>
      <c r="AJ15" s="27" t="s">
        <v>156</v>
      </c>
      <c r="AK15" s="27" t="s">
        <v>157</v>
      </c>
      <c r="AL15" s="27" t="s">
        <v>158</v>
      </c>
      <c r="AM15" s="27" t="s">
        <v>156</v>
      </c>
      <c r="AN15" s="27" t="s">
        <v>157</v>
      </c>
      <c r="AO15" s="27" t="s">
        <v>158</v>
      </c>
      <c r="AP15" s="27" t="s">
        <v>156</v>
      </c>
      <c r="AQ15" s="27" t="s">
        <v>157</v>
      </c>
      <c r="AR15" s="27" t="s">
        <v>158</v>
      </c>
      <c r="AS15" s="27" t="s">
        <v>156</v>
      </c>
      <c r="AT15" s="27" t="s">
        <v>157</v>
      </c>
      <c r="AU15" s="27" t="s">
        <v>158</v>
      </c>
      <c r="AV15" s="27" t="s">
        <v>156</v>
      </c>
      <c r="AW15" s="27" t="s">
        <v>157</v>
      </c>
      <c r="AX15" s="27" t="s">
        <v>158</v>
      </c>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row>
    <row r="16" spans="2:97" x14ac:dyDescent="0.3">
      <c r="B16" s="59" t="s">
        <v>62</v>
      </c>
      <c r="C16" s="59">
        <v>2.14</v>
      </c>
      <c r="D16" s="59">
        <v>2.38</v>
      </c>
      <c r="E16" s="59">
        <v>-0.23</v>
      </c>
      <c r="F16" s="59">
        <v>4</v>
      </c>
      <c r="G16" s="59">
        <v>1</v>
      </c>
      <c r="H16" s="59">
        <v>3</v>
      </c>
      <c r="I16" s="59">
        <v>0</v>
      </c>
      <c r="J16" s="59">
        <v>1.25</v>
      </c>
      <c r="K16" s="59">
        <v>-1.25</v>
      </c>
      <c r="L16" s="59">
        <v>0</v>
      </c>
      <c r="M16" s="59">
        <v>1.62</v>
      </c>
      <c r="N16" s="59">
        <v>-1.62</v>
      </c>
      <c r="O16" s="59">
        <v>0</v>
      </c>
      <c r="P16" s="59">
        <v>1.5</v>
      </c>
      <c r="Q16" s="59">
        <v>-1.5</v>
      </c>
      <c r="R16" s="59">
        <v>2.52</v>
      </c>
      <c r="S16" s="59">
        <v>1.38</v>
      </c>
      <c r="T16" s="59">
        <v>1.1499999999999999</v>
      </c>
      <c r="U16" s="59">
        <v>0</v>
      </c>
      <c r="V16" s="59">
        <v>1.5</v>
      </c>
      <c r="W16" s="59">
        <v>-1.5</v>
      </c>
      <c r="X16" s="59">
        <v>0</v>
      </c>
      <c r="Y16" s="59">
        <v>1.62</v>
      </c>
      <c r="Z16" s="59">
        <v>-1.62</v>
      </c>
      <c r="AA16" s="59">
        <v>0</v>
      </c>
      <c r="AB16" s="59">
        <v>2</v>
      </c>
      <c r="AC16" s="59">
        <v>-2</v>
      </c>
      <c r="AD16" s="59">
        <v>0</v>
      </c>
      <c r="AE16" s="59">
        <v>1</v>
      </c>
      <c r="AF16" s="59">
        <v>-1</v>
      </c>
      <c r="AG16" s="59">
        <v>0</v>
      </c>
      <c r="AH16" s="59">
        <v>1.62</v>
      </c>
      <c r="AI16" s="59">
        <v>-1.62</v>
      </c>
      <c r="AJ16" s="59">
        <v>0</v>
      </c>
      <c r="AK16" s="59">
        <v>1.88</v>
      </c>
      <c r="AL16" s="59">
        <v>-1.88</v>
      </c>
      <c r="AM16" s="59">
        <v>0</v>
      </c>
      <c r="AN16" s="59">
        <v>1.38</v>
      </c>
      <c r="AO16" s="59">
        <v>-1.38</v>
      </c>
      <c r="AP16" s="59">
        <v>0</v>
      </c>
      <c r="AQ16" s="59">
        <v>1.62</v>
      </c>
      <c r="AR16" s="59">
        <v>-1.62</v>
      </c>
      <c r="AS16" s="59">
        <v>0</v>
      </c>
      <c r="AT16" s="59">
        <v>1.1200000000000001</v>
      </c>
      <c r="AU16" s="59">
        <v>-1.1200000000000001</v>
      </c>
      <c r="AV16" s="59">
        <v>0</v>
      </c>
      <c r="AW16" s="59">
        <v>2</v>
      </c>
      <c r="AX16" s="59">
        <v>-2</v>
      </c>
    </row>
    <row r="17" spans="2:50" x14ac:dyDescent="0.3">
      <c r="B17" s="59" t="s">
        <v>64</v>
      </c>
      <c r="C17" s="59">
        <v>1</v>
      </c>
      <c r="D17" s="59">
        <v>2.38</v>
      </c>
      <c r="E17" s="59">
        <v>-1.38</v>
      </c>
      <c r="F17" s="59">
        <v>4</v>
      </c>
      <c r="G17" s="59">
        <v>1</v>
      </c>
      <c r="H17" s="59">
        <v>3</v>
      </c>
      <c r="I17" s="59">
        <v>0</v>
      </c>
      <c r="J17" s="59">
        <v>1.25</v>
      </c>
      <c r="K17" s="59">
        <v>-1.25</v>
      </c>
      <c r="L17" s="59">
        <v>0</v>
      </c>
      <c r="M17" s="59">
        <v>1.62</v>
      </c>
      <c r="N17" s="59">
        <v>-1.62</v>
      </c>
      <c r="O17" s="59">
        <v>0</v>
      </c>
      <c r="P17" s="59">
        <v>1.5</v>
      </c>
      <c r="Q17" s="59">
        <v>-1.5</v>
      </c>
      <c r="R17" s="59">
        <v>0</v>
      </c>
      <c r="S17" s="59">
        <v>1.38</v>
      </c>
      <c r="T17" s="59">
        <v>-1.38</v>
      </c>
      <c r="U17" s="59">
        <v>0</v>
      </c>
      <c r="V17" s="59">
        <v>1.5</v>
      </c>
      <c r="W17" s="59">
        <v>-1.5</v>
      </c>
      <c r="X17" s="59">
        <v>0</v>
      </c>
      <c r="Y17" s="59">
        <v>1.62</v>
      </c>
      <c r="Z17" s="59">
        <v>-1.62</v>
      </c>
      <c r="AA17" s="59">
        <v>0</v>
      </c>
      <c r="AB17" s="59">
        <v>2</v>
      </c>
      <c r="AC17" s="59">
        <v>-2</v>
      </c>
      <c r="AD17" s="59">
        <v>0</v>
      </c>
      <c r="AE17" s="59">
        <v>1</v>
      </c>
      <c r="AF17" s="59">
        <v>-1</v>
      </c>
      <c r="AG17" s="59">
        <v>0</v>
      </c>
      <c r="AH17" s="59">
        <v>1.62</v>
      </c>
      <c r="AI17" s="59">
        <v>-1.62</v>
      </c>
      <c r="AJ17" s="59">
        <v>0</v>
      </c>
      <c r="AK17" s="59">
        <v>1.88</v>
      </c>
      <c r="AL17" s="59">
        <v>-1.88</v>
      </c>
      <c r="AM17" s="59">
        <v>0</v>
      </c>
      <c r="AN17" s="59">
        <v>1.38</v>
      </c>
      <c r="AO17" s="59">
        <v>-1.38</v>
      </c>
      <c r="AP17" s="59">
        <v>0</v>
      </c>
      <c r="AQ17" s="59">
        <v>1.62</v>
      </c>
      <c r="AR17" s="59">
        <v>-1.62</v>
      </c>
      <c r="AS17" s="59">
        <v>0</v>
      </c>
      <c r="AT17" s="59">
        <v>1.1200000000000001</v>
      </c>
      <c r="AU17" s="59">
        <v>-1.1200000000000001</v>
      </c>
      <c r="AV17" s="59">
        <v>0</v>
      </c>
      <c r="AW17" s="59">
        <v>2</v>
      </c>
      <c r="AX17" s="59">
        <v>-2</v>
      </c>
    </row>
    <row r="18" spans="2:50" x14ac:dyDescent="0.3">
      <c r="B18" s="59" t="s">
        <v>65</v>
      </c>
      <c r="C18" s="59">
        <v>2.2400000000000002</v>
      </c>
      <c r="D18" s="59">
        <v>2.38</v>
      </c>
      <c r="E18" s="59">
        <v>-0.14000000000000001</v>
      </c>
      <c r="F18" s="59">
        <v>4</v>
      </c>
      <c r="G18" s="59">
        <v>1</v>
      </c>
      <c r="H18" s="59">
        <v>3</v>
      </c>
      <c r="I18" s="59">
        <v>0</v>
      </c>
      <c r="J18" s="59">
        <v>1.25</v>
      </c>
      <c r="K18" s="59">
        <v>-1.25</v>
      </c>
      <c r="L18" s="59">
        <v>0</v>
      </c>
      <c r="M18" s="59">
        <v>1.62</v>
      </c>
      <c r="N18" s="59">
        <v>-1.62</v>
      </c>
      <c r="O18" s="59">
        <v>0</v>
      </c>
      <c r="P18" s="59">
        <v>1.5</v>
      </c>
      <c r="Q18" s="59">
        <v>-1.5</v>
      </c>
      <c r="R18" s="59">
        <v>0</v>
      </c>
      <c r="S18" s="59">
        <v>1.38</v>
      </c>
      <c r="T18" s="59">
        <v>-1.38</v>
      </c>
      <c r="U18" s="59">
        <v>0</v>
      </c>
      <c r="V18" s="59">
        <v>1.5</v>
      </c>
      <c r="W18" s="59">
        <v>-1.5</v>
      </c>
      <c r="X18" s="59">
        <v>0</v>
      </c>
      <c r="Y18" s="59">
        <v>1.62</v>
      </c>
      <c r="Z18" s="59">
        <v>-1.62</v>
      </c>
      <c r="AA18" s="59">
        <v>0</v>
      </c>
      <c r="AB18" s="59">
        <v>2</v>
      </c>
      <c r="AC18" s="59">
        <v>-2</v>
      </c>
      <c r="AD18" s="59">
        <v>0</v>
      </c>
      <c r="AE18" s="59">
        <v>1</v>
      </c>
      <c r="AF18" s="59">
        <v>-1</v>
      </c>
      <c r="AG18" s="59">
        <v>0</v>
      </c>
      <c r="AH18" s="59">
        <v>1.62</v>
      </c>
      <c r="AI18" s="59">
        <v>-1.62</v>
      </c>
      <c r="AJ18" s="59">
        <v>0</v>
      </c>
      <c r="AK18" s="59">
        <v>1.88</v>
      </c>
      <c r="AL18" s="59">
        <v>-1.88</v>
      </c>
      <c r="AM18" s="59">
        <v>0</v>
      </c>
      <c r="AN18" s="59">
        <v>1.38</v>
      </c>
      <c r="AO18" s="59">
        <v>-1.38</v>
      </c>
      <c r="AP18" s="59">
        <v>0</v>
      </c>
      <c r="AQ18" s="59">
        <v>1.62</v>
      </c>
      <c r="AR18" s="59">
        <v>-1.62</v>
      </c>
      <c r="AS18" s="59">
        <v>0</v>
      </c>
      <c r="AT18" s="59">
        <v>1.1200000000000001</v>
      </c>
      <c r="AU18" s="59">
        <v>-1.1200000000000001</v>
      </c>
      <c r="AV18" s="59">
        <v>0</v>
      </c>
      <c r="AW18" s="59">
        <v>2</v>
      </c>
      <c r="AX18" s="59">
        <v>-2</v>
      </c>
    </row>
    <row r="19" spans="2:50" x14ac:dyDescent="0.3">
      <c r="B19" s="59" t="s">
        <v>66</v>
      </c>
      <c r="C19" s="59">
        <v>0.95</v>
      </c>
      <c r="D19" s="59">
        <v>2.38</v>
      </c>
      <c r="E19" s="59">
        <v>-1.42</v>
      </c>
      <c r="F19" s="59">
        <v>4</v>
      </c>
      <c r="G19" s="59">
        <v>1</v>
      </c>
      <c r="H19" s="59">
        <v>3</v>
      </c>
      <c r="I19" s="59">
        <v>0</v>
      </c>
      <c r="J19" s="59">
        <v>1.25</v>
      </c>
      <c r="K19" s="59">
        <v>-1.25</v>
      </c>
      <c r="L19" s="59">
        <v>0</v>
      </c>
      <c r="M19" s="59">
        <v>1.62</v>
      </c>
      <c r="N19" s="59">
        <v>-1.62</v>
      </c>
      <c r="O19" s="59">
        <v>0</v>
      </c>
      <c r="P19" s="59">
        <v>1.5</v>
      </c>
      <c r="Q19" s="59">
        <v>-1.5</v>
      </c>
      <c r="R19" s="59">
        <v>0</v>
      </c>
      <c r="S19" s="59">
        <v>1.38</v>
      </c>
      <c r="T19" s="59">
        <v>-1.38</v>
      </c>
      <c r="U19" s="59">
        <v>0</v>
      </c>
      <c r="V19" s="59">
        <v>1.5</v>
      </c>
      <c r="W19" s="59">
        <v>-1.5</v>
      </c>
      <c r="X19" s="59">
        <v>0</v>
      </c>
      <c r="Y19" s="59">
        <v>1.62</v>
      </c>
      <c r="Z19" s="59">
        <v>-1.62</v>
      </c>
      <c r="AA19" s="59">
        <v>0</v>
      </c>
      <c r="AB19" s="59">
        <v>2</v>
      </c>
      <c r="AC19" s="59">
        <v>-2</v>
      </c>
      <c r="AD19" s="59">
        <v>0</v>
      </c>
      <c r="AE19" s="59">
        <v>1</v>
      </c>
      <c r="AF19" s="59">
        <v>-1</v>
      </c>
      <c r="AG19" s="59">
        <v>0</v>
      </c>
      <c r="AH19" s="59">
        <v>1.62</v>
      </c>
      <c r="AI19" s="59">
        <v>-1.62</v>
      </c>
      <c r="AJ19" s="59">
        <v>0</v>
      </c>
      <c r="AK19" s="59">
        <v>1.88</v>
      </c>
      <c r="AL19" s="59">
        <v>-1.88</v>
      </c>
      <c r="AM19" s="59">
        <v>0</v>
      </c>
      <c r="AN19" s="59">
        <v>1.38</v>
      </c>
      <c r="AO19" s="59">
        <v>-1.38</v>
      </c>
      <c r="AP19" s="59">
        <v>0</v>
      </c>
      <c r="AQ19" s="59">
        <v>1.62</v>
      </c>
      <c r="AR19" s="59">
        <v>-1.62</v>
      </c>
      <c r="AS19" s="59">
        <v>0</v>
      </c>
      <c r="AT19" s="59">
        <v>1.1200000000000001</v>
      </c>
      <c r="AU19" s="59">
        <v>-1.1200000000000001</v>
      </c>
      <c r="AV19" s="59">
        <v>0</v>
      </c>
      <c r="AW19" s="59">
        <v>2</v>
      </c>
      <c r="AX19" s="59">
        <v>-2</v>
      </c>
    </row>
    <row r="20" spans="2:50" x14ac:dyDescent="0.3">
      <c r="B20" s="59" t="s">
        <v>67</v>
      </c>
      <c r="C20" s="59">
        <v>2.14</v>
      </c>
      <c r="D20" s="59">
        <v>2.38</v>
      </c>
      <c r="E20" s="59">
        <v>-0.23</v>
      </c>
      <c r="F20" s="59">
        <v>4</v>
      </c>
      <c r="G20" s="59">
        <v>1</v>
      </c>
      <c r="H20" s="59">
        <v>3</v>
      </c>
      <c r="I20" s="59">
        <v>0</v>
      </c>
      <c r="J20" s="59">
        <v>1.25</v>
      </c>
      <c r="K20" s="59">
        <v>-1.25</v>
      </c>
      <c r="L20" s="59">
        <v>0</v>
      </c>
      <c r="M20" s="59">
        <v>1.62</v>
      </c>
      <c r="N20" s="59">
        <v>-1.62</v>
      </c>
      <c r="O20" s="59">
        <v>0</v>
      </c>
      <c r="P20" s="59">
        <v>1.5</v>
      </c>
      <c r="Q20" s="59">
        <v>-1.5</v>
      </c>
      <c r="R20" s="59">
        <v>0</v>
      </c>
      <c r="S20" s="59">
        <v>1.38</v>
      </c>
      <c r="T20" s="59">
        <v>-1.38</v>
      </c>
      <c r="U20" s="59">
        <v>0</v>
      </c>
      <c r="V20" s="59">
        <v>1.5</v>
      </c>
      <c r="W20" s="59">
        <v>-1.5</v>
      </c>
      <c r="X20" s="59">
        <v>0</v>
      </c>
      <c r="Y20" s="59">
        <v>1.62</v>
      </c>
      <c r="Z20" s="59">
        <v>-1.62</v>
      </c>
      <c r="AA20" s="59">
        <v>0</v>
      </c>
      <c r="AB20" s="59">
        <v>2</v>
      </c>
      <c r="AC20" s="59">
        <v>-2</v>
      </c>
      <c r="AD20" s="59">
        <v>0</v>
      </c>
      <c r="AE20" s="59">
        <v>1</v>
      </c>
      <c r="AF20" s="59">
        <v>-1</v>
      </c>
      <c r="AG20" s="59">
        <v>0</v>
      </c>
      <c r="AH20" s="59">
        <v>1.62</v>
      </c>
      <c r="AI20" s="59">
        <v>-1.62</v>
      </c>
      <c r="AJ20" s="59">
        <v>0</v>
      </c>
      <c r="AK20" s="59">
        <v>1.88</v>
      </c>
      <c r="AL20" s="59">
        <v>-1.88</v>
      </c>
      <c r="AM20" s="59">
        <v>0</v>
      </c>
      <c r="AN20" s="59">
        <v>1.38</v>
      </c>
      <c r="AO20" s="59">
        <v>-1.38</v>
      </c>
      <c r="AP20" s="59">
        <v>0</v>
      </c>
      <c r="AQ20" s="59">
        <v>1.62</v>
      </c>
      <c r="AR20" s="59">
        <v>-1.62</v>
      </c>
      <c r="AS20" s="59">
        <v>0</v>
      </c>
      <c r="AT20" s="59">
        <v>1.1200000000000001</v>
      </c>
      <c r="AU20" s="59">
        <v>-1.1200000000000001</v>
      </c>
      <c r="AV20" s="59">
        <v>0</v>
      </c>
      <c r="AW20" s="59">
        <v>2</v>
      </c>
      <c r="AX20" s="59">
        <v>-2</v>
      </c>
    </row>
    <row r="21" spans="2:50" x14ac:dyDescent="0.3">
      <c r="B21" s="59" t="s">
        <v>68</v>
      </c>
      <c r="C21" s="59">
        <v>1.24</v>
      </c>
      <c r="D21" s="59">
        <v>2.38</v>
      </c>
      <c r="E21" s="59">
        <v>-1.1399999999999999</v>
      </c>
      <c r="F21" s="59">
        <v>4</v>
      </c>
      <c r="G21" s="59">
        <v>1</v>
      </c>
      <c r="H21" s="59">
        <v>3</v>
      </c>
      <c r="I21" s="59">
        <v>0</v>
      </c>
      <c r="J21" s="59">
        <v>1.25</v>
      </c>
      <c r="K21" s="59">
        <v>-1.25</v>
      </c>
      <c r="L21" s="59">
        <v>0</v>
      </c>
      <c r="M21" s="59">
        <v>1.62</v>
      </c>
      <c r="N21" s="59">
        <v>-1.62</v>
      </c>
      <c r="O21" s="59">
        <v>0</v>
      </c>
      <c r="P21" s="59">
        <v>1.5</v>
      </c>
      <c r="Q21" s="59">
        <v>-1.5</v>
      </c>
      <c r="R21" s="59">
        <v>0</v>
      </c>
      <c r="S21" s="59">
        <v>1.38</v>
      </c>
      <c r="T21" s="59">
        <v>-1.38</v>
      </c>
      <c r="U21" s="59">
        <v>0</v>
      </c>
      <c r="V21" s="59">
        <v>1.5</v>
      </c>
      <c r="W21" s="59">
        <v>-1.5</v>
      </c>
      <c r="X21" s="59">
        <v>0</v>
      </c>
      <c r="Y21" s="59">
        <v>1.62</v>
      </c>
      <c r="Z21" s="59">
        <v>-1.62</v>
      </c>
      <c r="AA21" s="59">
        <v>0</v>
      </c>
      <c r="AB21" s="59">
        <v>2</v>
      </c>
      <c r="AC21" s="59">
        <v>-2</v>
      </c>
      <c r="AD21" s="59">
        <v>0</v>
      </c>
      <c r="AE21" s="59">
        <v>1</v>
      </c>
      <c r="AF21" s="59">
        <v>-1</v>
      </c>
      <c r="AG21" s="59">
        <v>0</v>
      </c>
      <c r="AH21" s="59">
        <v>1.62</v>
      </c>
      <c r="AI21" s="59">
        <v>-1.62</v>
      </c>
      <c r="AJ21" s="59">
        <v>0</v>
      </c>
      <c r="AK21" s="59">
        <v>1.88</v>
      </c>
      <c r="AL21" s="59">
        <v>-1.88</v>
      </c>
      <c r="AM21" s="59">
        <v>0</v>
      </c>
      <c r="AN21" s="59">
        <v>1.38</v>
      </c>
      <c r="AO21" s="59">
        <v>-1.38</v>
      </c>
      <c r="AP21" s="59">
        <v>0</v>
      </c>
      <c r="AQ21" s="59">
        <v>1.62</v>
      </c>
      <c r="AR21" s="59">
        <v>-1.62</v>
      </c>
      <c r="AS21" s="59">
        <v>0</v>
      </c>
      <c r="AT21" s="59">
        <v>1.1200000000000001</v>
      </c>
      <c r="AU21" s="59">
        <v>-1.1200000000000001</v>
      </c>
      <c r="AV21" s="59">
        <v>0</v>
      </c>
      <c r="AW21" s="59">
        <v>2</v>
      </c>
      <c r="AX21" s="59">
        <v>-2</v>
      </c>
    </row>
    <row r="22" spans="2:50" x14ac:dyDescent="0.3">
      <c r="B22" s="59" t="s">
        <v>69</v>
      </c>
      <c r="C22" s="59">
        <v>1.43</v>
      </c>
      <c r="D22" s="59">
        <v>2.38</v>
      </c>
      <c r="E22" s="59">
        <v>-0.95</v>
      </c>
      <c r="F22" s="59">
        <v>4</v>
      </c>
      <c r="G22" s="59">
        <v>1</v>
      </c>
      <c r="H22" s="59">
        <v>3</v>
      </c>
      <c r="I22" s="59">
        <v>0</v>
      </c>
      <c r="J22" s="59">
        <v>1.25</v>
      </c>
      <c r="K22" s="59">
        <v>-1.25</v>
      </c>
      <c r="L22" s="59">
        <v>0</v>
      </c>
      <c r="M22" s="59">
        <v>1.62</v>
      </c>
      <c r="N22" s="59">
        <v>-1.62</v>
      </c>
      <c r="O22" s="59">
        <v>0</v>
      </c>
      <c r="P22" s="59">
        <v>1.5</v>
      </c>
      <c r="Q22" s="59">
        <v>-1.5</v>
      </c>
      <c r="R22" s="59">
        <v>0</v>
      </c>
      <c r="S22" s="59">
        <v>1.38</v>
      </c>
      <c r="T22" s="59">
        <v>-1.38</v>
      </c>
      <c r="U22" s="59">
        <v>0</v>
      </c>
      <c r="V22" s="59">
        <v>1.5</v>
      </c>
      <c r="W22" s="59">
        <v>-1.5</v>
      </c>
      <c r="X22" s="59">
        <v>0</v>
      </c>
      <c r="Y22" s="59">
        <v>1.62</v>
      </c>
      <c r="Z22" s="59">
        <v>-1.62</v>
      </c>
      <c r="AA22" s="59">
        <v>0</v>
      </c>
      <c r="AB22" s="59">
        <v>2</v>
      </c>
      <c r="AC22" s="59">
        <v>-2</v>
      </c>
      <c r="AD22" s="59">
        <v>0</v>
      </c>
      <c r="AE22" s="59">
        <v>1</v>
      </c>
      <c r="AF22" s="59">
        <v>-1</v>
      </c>
      <c r="AG22" s="59">
        <v>0</v>
      </c>
      <c r="AH22" s="59">
        <v>1.62</v>
      </c>
      <c r="AI22" s="59">
        <v>-1.62</v>
      </c>
      <c r="AJ22" s="59">
        <v>0</v>
      </c>
      <c r="AK22" s="59">
        <v>1.88</v>
      </c>
      <c r="AL22" s="59">
        <v>-1.88</v>
      </c>
      <c r="AM22" s="59">
        <v>0</v>
      </c>
      <c r="AN22" s="59">
        <v>1.38</v>
      </c>
      <c r="AO22" s="59">
        <v>-1.38</v>
      </c>
      <c r="AP22" s="59">
        <v>0</v>
      </c>
      <c r="AQ22" s="59">
        <v>1.62</v>
      </c>
      <c r="AR22" s="59">
        <v>-1.62</v>
      </c>
      <c r="AS22" s="59">
        <v>0</v>
      </c>
      <c r="AT22" s="59">
        <v>1.1200000000000001</v>
      </c>
      <c r="AU22" s="59">
        <v>-1.1200000000000001</v>
      </c>
      <c r="AV22" s="59">
        <v>0</v>
      </c>
      <c r="AW22" s="59">
        <v>2</v>
      </c>
      <c r="AX22" s="59">
        <v>-2</v>
      </c>
    </row>
    <row r="23" spans="2:50" x14ac:dyDescent="0.3">
      <c r="B23" s="59" t="s">
        <v>70</v>
      </c>
      <c r="C23" s="59">
        <v>2.29</v>
      </c>
      <c r="D23" s="59">
        <v>2.38</v>
      </c>
      <c r="E23" s="59">
        <v>-0.09</v>
      </c>
      <c r="F23" s="59">
        <v>2</v>
      </c>
      <c r="G23" s="59">
        <v>1</v>
      </c>
      <c r="H23" s="59">
        <v>1</v>
      </c>
      <c r="I23" s="59">
        <v>0</v>
      </c>
      <c r="J23" s="59">
        <v>1.25</v>
      </c>
      <c r="K23" s="59">
        <v>-1.25</v>
      </c>
      <c r="L23" s="59">
        <v>0</v>
      </c>
      <c r="M23" s="59">
        <v>1.62</v>
      </c>
      <c r="N23" s="59">
        <v>-1.62</v>
      </c>
      <c r="O23" s="59">
        <v>0</v>
      </c>
      <c r="P23" s="59">
        <v>1.5</v>
      </c>
      <c r="Q23" s="59">
        <v>-1.5</v>
      </c>
      <c r="R23" s="59">
        <v>0</v>
      </c>
      <c r="S23" s="59">
        <v>1.38</v>
      </c>
      <c r="T23" s="59">
        <v>-1.38</v>
      </c>
      <c r="U23" s="59">
        <v>0</v>
      </c>
      <c r="V23" s="59">
        <v>1.5</v>
      </c>
      <c r="W23" s="59">
        <v>-1.5</v>
      </c>
      <c r="X23" s="59">
        <v>0</v>
      </c>
      <c r="Y23" s="59">
        <v>1.62</v>
      </c>
      <c r="Z23" s="59">
        <v>-1.62</v>
      </c>
      <c r="AA23" s="59">
        <v>0</v>
      </c>
      <c r="AB23" s="59">
        <v>2</v>
      </c>
      <c r="AC23" s="59">
        <v>-2</v>
      </c>
      <c r="AD23" s="59">
        <v>0</v>
      </c>
      <c r="AE23" s="59">
        <v>1</v>
      </c>
      <c r="AF23" s="59">
        <v>-1</v>
      </c>
      <c r="AG23" s="59">
        <v>0</v>
      </c>
      <c r="AH23" s="59">
        <v>1.62</v>
      </c>
      <c r="AI23" s="59">
        <v>-1.62</v>
      </c>
      <c r="AJ23" s="59">
        <v>0</v>
      </c>
      <c r="AK23" s="59">
        <v>1.88</v>
      </c>
      <c r="AL23" s="59">
        <v>-1.88</v>
      </c>
      <c r="AM23" s="59">
        <v>0</v>
      </c>
      <c r="AN23" s="59">
        <v>1.38</v>
      </c>
      <c r="AO23" s="59">
        <v>-1.38</v>
      </c>
      <c r="AP23" s="59">
        <v>0</v>
      </c>
      <c r="AQ23" s="59">
        <v>1.62</v>
      </c>
      <c r="AR23" s="59">
        <v>-1.62</v>
      </c>
      <c r="AS23" s="59">
        <v>0</v>
      </c>
      <c r="AT23" s="59">
        <v>1.1200000000000001</v>
      </c>
      <c r="AU23" s="59">
        <v>-1.1200000000000001</v>
      </c>
      <c r="AV23" s="59">
        <v>0</v>
      </c>
      <c r="AW23" s="59">
        <v>2</v>
      </c>
      <c r="AX23" s="59">
        <v>-2</v>
      </c>
    </row>
    <row r="24" spans="2:50" x14ac:dyDescent="0.3">
      <c r="B24" s="59" t="s">
        <v>71</v>
      </c>
      <c r="C24" s="59">
        <v>1.29</v>
      </c>
      <c r="D24" s="59">
        <v>2.38</v>
      </c>
      <c r="E24" s="59">
        <v>-1.0900000000000001</v>
      </c>
      <c r="F24" s="59">
        <v>2</v>
      </c>
      <c r="G24" s="59">
        <v>1</v>
      </c>
      <c r="H24" s="59">
        <v>1</v>
      </c>
      <c r="I24" s="59">
        <v>0</v>
      </c>
      <c r="J24" s="59">
        <v>1.25</v>
      </c>
      <c r="K24" s="59">
        <v>-1.25</v>
      </c>
      <c r="L24" s="59">
        <v>0</v>
      </c>
      <c r="M24" s="59">
        <v>1.62</v>
      </c>
      <c r="N24" s="59">
        <v>-1.62</v>
      </c>
      <c r="O24" s="59">
        <v>0</v>
      </c>
      <c r="P24" s="59">
        <v>1.5</v>
      </c>
      <c r="Q24" s="59">
        <v>-1.5</v>
      </c>
      <c r="R24" s="59">
        <v>0</v>
      </c>
      <c r="S24" s="59">
        <v>1.38</v>
      </c>
      <c r="T24" s="59">
        <v>-1.38</v>
      </c>
      <c r="U24" s="59">
        <v>0</v>
      </c>
      <c r="V24" s="59">
        <v>1.5</v>
      </c>
      <c r="W24" s="59">
        <v>-1.5</v>
      </c>
      <c r="X24" s="59">
        <v>0</v>
      </c>
      <c r="Y24" s="59">
        <v>1.62</v>
      </c>
      <c r="Z24" s="59">
        <v>-1.62</v>
      </c>
      <c r="AA24" s="59">
        <v>0</v>
      </c>
      <c r="AB24" s="59">
        <v>2</v>
      </c>
      <c r="AC24" s="59">
        <v>-2</v>
      </c>
      <c r="AD24" s="59">
        <v>0</v>
      </c>
      <c r="AE24" s="59">
        <v>1</v>
      </c>
      <c r="AF24" s="59">
        <v>-1</v>
      </c>
      <c r="AG24" s="59">
        <v>0</v>
      </c>
      <c r="AH24" s="59">
        <v>1.62</v>
      </c>
      <c r="AI24" s="59">
        <v>-1.62</v>
      </c>
      <c r="AJ24" s="59">
        <v>0</v>
      </c>
      <c r="AK24" s="59">
        <v>1.88</v>
      </c>
      <c r="AL24" s="59">
        <v>-1.88</v>
      </c>
      <c r="AM24" s="59">
        <v>0</v>
      </c>
      <c r="AN24" s="59">
        <v>1.38</v>
      </c>
      <c r="AO24" s="59">
        <v>-1.38</v>
      </c>
      <c r="AP24" s="59">
        <v>0</v>
      </c>
      <c r="AQ24" s="59">
        <v>1.62</v>
      </c>
      <c r="AR24" s="59">
        <v>-1.62</v>
      </c>
      <c r="AS24" s="59">
        <v>0</v>
      </c>
      <c r="AT24" s="59">
        <v>1.1200000000000001</v>
      </c>
      <c r="AU24" s="59">
        <v>-1.1200000000000001</v>
      </c>
      <c r="AV24" s="59">
        <v>0</v>
      </c>
      <c r="AW24" s="59">
        <v>2</v>
      </c>
      <c r="AX24" s="59">
        <v>-2</v>
      </c>
    </row>
    <row r="25" spans="2:50" x14ac:dyDescent="0.3">
      <c r="B25" s="59" t="s">
        <v>72</v>
      </c>
      <c r="C25" s="59">
        <v>1.62</v>
      </c>
      <c r="D25" s="59">
        <v>2.38</v>
      </c>
      <c r="E25" s="59">
        <v>-0.76</v>
      </c>
      <c r="F25" s="59">
        <v>2</v>
      </c>
      <c r="G25" s="59">
        <v>1</v>
      </c>
      <c r="H25" s="59">
        <v>1</v>
      </c>
      <c r="I25" s="59">
        <v>0</v>
      </c>
      <c r="J25" s="59">
        <v>1.25</v>
      </c>
      <c r="K25" s="59">
        <v>-1.25</v>
      </c>
      <c r="L25" s="59">
        <v>0</v>
      </c>
      <c r="M25" s="59">
        <v>1.62</v>
      </c>
      <c r="N25" s="59">
        <v>-1.62</v>
      </c>
      <c r="O25" s="59">
        <v>0</v>
      </c>
      <c r="P25" s="59">
        <v>1.5</v>
      </c>
      <c r="Q25" s="59">
        <v>-1.5</v>
      </c>
      <c r="R25" s="59">
        <v>0</v>
      </c>
      <c r="S25" s="59">
        <v>1.38</v>
      </c>
      <c r="T25" s="59">
        <v>-1.38</v>
      </c>
      <c r="U25" s="59">
        <v>0</v>
      </c>
      <c r="V25" s="59">
        <v>1.5</v>
      </c>
      <c r="W25" s="59">
        <v>-1.5</v>
      </c>
      <c r="X25" s="59">
        <v>0</v>
      </c>
      <c r="Y25" s="59">
        <v>1.62</v>
      </c>
      <c r="Z25" s="59">
        <v>-1.62</v>
      </c>
      <c r="AA25" s="59">
        <v>0</v>
      </c>
      <c r="AB25" s="59">
        <v>2</v>
      </c>
      <c r="AC25" s="59">
        <v>-2</v>
      </c>
      <c r="AD25" s="59">
        <v>0</v>
      </c>
      <c r="AE25" s="59">
        <v>1</v>
      </c>
      <c r="AF25" s="59">
        <v>-1</v>
      </c>
      <c r="AG25" s="59">
        <v>0</v>
      </c>
      <c r="AH25" s="59">
        <v>1.62</v>
      </c>
      <c r="AI25" s="59">
        <v>-1.62</v>
      </c>
      <c r="AJ25" s="59">
        <v>0</v>
      </c>
      <c r="AK25" s="59">
        <v>1.88</v>
      </c>
      <c r="AL25" s="59">
        <v>-1.88</v>
      </c>
      <c r="AM25" s="59">
        <v>0</v>
      </c>
      <c r="AN25" s="59">
        <v>1.38</v>
      </c>
      <c r="AO25" s="59">
        <v>-1.38</v>
      </c>
      <c r="AP25" s="59">
        <v>0</v>
      </c>
      <c r="AQ25" s="59">
        <v>1.62</v>
      </c>
      <c r="AR25" s="59">
        <v>-1.62</v>
      </c>
      <c r="AS25" s="59">
        <v>0</v>
      </c>
      <c r="AT25" s="59">
        <v>1.1200000000000001</v>
      </c>
      <c r="AU25" s="59">
        <v>-1.1200000000000001</v>
      </c>
      <c r="AV25" s="59">
        <v>0</v>
      </c>
      <c r="AW25" s="59">
        <v>2</v>
      </c>
      <c r="AX25" s="59">
        <v>-2</v>
      </c>
    </row>
    <row r="26" spans="2:50" x14ac:dyDescent="0.3">
      <c r="B26" s="59" t="s">
        <v>73</v>
      </c>
      <c r="C26" s="59">
        <v>1.05</v>
      </c>
      <c r="D26" s="59">
        <v>2.38</v>
      </c>
      <c r="E26" s="59">
        <v>-1.33</v>
      </c>
      <c r="F26" s="59">
        <v>2</v>
      </c>
      <c r="G26" s="59">
        <v>1</v>
      </c>
      <c r="H26" s="59">
        <v>1</v>
      </c>
      <c r="I26" s="59">
        <v>0</v>
      </c>
      <c r="J26" s="59">
        <v>1.25</v>
      </c>
      <c r="K26" s="59">
        <v>-1.25</v>
      </c>
      <c r="L26" s="59">
        <v>0</v>
      </c>
      <c r="M26" s="59">
        <v>1.62</v>
      </c>
      <c r="N26" s="59">
        <v>-1.62</v>
      </c>
      <c r="O26" s="59">
        <v>0</v>
      </c>
      <c r="P26" s="59">
        <v>1.5</v>
      </c>
      <c r="Q26" s="59">
        <v>-1.5</v>
      </c>
      <c r="R26" s="59">
        <v>0</v>
      </c>
      <c r="S26" s="59">
        <v>1.38</v>
      </c>
      <c r="T26" s="59">
        <v>-1.38</v>
      </c>
      <c r="U26" s="59">
        <v>0</v>
      </c>
      <c r="V26" s="59">
        <v>1.5</v>
      </c>
      <c r="W26" s="59">
        <v>-1.5</v>
      </c>
      <c r="X26" s="59">
        <v>0</v>
      </c>
      <c r="Y26" s="59">
        <v>1.62</v>
      </c>
      <c r="Z26" s="59">
        <v>-1.62</v>
      </c>
      <c r="AA26" s="59">
        <v>0</v>
      </c>
      <c r="AB26" s="59">
        <v>2</v>
      </c>
      <c r="AC26" s="59">
        <v>-2</v>
      </c>
      <c r="AD26" s="59">
        <v>0</v>
      </c>
      <c r="AE26" s="59">
        <v>1</v>
      </c>
      <c r="AF26" s="59">
        <v>-1</v>
      </c>
      <c r="AG26" s="59">
        <v>0</v>
      </c>
      <c r="AH26" s="59">
        <v>1.62</v>
      </c>
      <c r="AI26" s="59">
        <v>-1.62</v>
      </c>
      <c r="AJ26" s="59">
        <v>0</v>
      </c>
      <c r="AK26" s="59">
        <v>1.88</v>
      </c>
      <c r="AL26" s="59">
        <v>-1.88</v>
      </c>
      <c r="AM26" s="59">
        <v>0</v>
      </c>
      <c r="AN26" s="59">
        <v>1.38</v>
      </c>
      <c r="AO26" s="59">
        <v>-1.38</v>
      </c>
      <c r="AP26" s="59">
        <v>0</v>
      </c>
      <c r="AQ26" s="59">
        <v>1.62</v>
      </c>
      <c r="AR26" s="59">
        <v>-1.62</v>
      </c>
      <c r="AS26" s="59">
        <v>0</v>
      </c>
      <c r="AT26" s="59">
        <v>1.1200000000000001</v>
      </c>
      <c r="AU26" s="59">
        <v>-1.1200000000000001</v>
      </c>
      <c r="AV26" s="59">
        <v>0</v>
      </c>
      <c r="AW26" s="59">
        <v>2</v>
      </c>
      <c r="AX26" s="59">
        <v>-2</v>
      </c>
    </row>
    <row r="27" spans="2:50" x14ac:dyDescent="0.3">
      <c r="B27" s="59" t="s">
        <v>74</v>
      </c>
      <c r="C27" s="59">
        <v>2.14</v>
      </c>
      <c r="D27" s="59">
        <v>2.38</v>
      </c>
      <c r="E27" s="59">
        <v>-0.23</v>
      </c>
      <c r="F27" s="59">
        <v>2</v>
      </c>
      <c r="G27" s="59">
        <v>1</v>
      </c>
      <c r="H27" s="59">
        <v>1</v>
      </c>
      <c r="I27" s="59">
        <v>0</v>
      </c>
      <c r="J27" s="59">
        <v>1.25</v>
      </c>
      <c r="K27" s="59">
        <v>-1.25</v>
      </c>
      <c r="L27" s="59">
        <v>0</v>
      </c>
      <c r="M27" s="59">
        <v>1.62</v>
      </c>
      <c r="N27" s="59">
        <v>-1.62</v>
      </c>
      <c r="O27" s="59">
        <v>0</v>
      </c>
      <c r="P27" s="59">
        <v>1.5</v>
      </c>
      <c r="Q27" s="59">
        <v>-1.5</v>
      </c>
      <c r="R27" s="59">
        <v>0</v>
      </c>
      <c r="S27" s="59">
        <v>1.38</v>
      </c>
      <c r="T27" s="59">
        <v>-1.38</v>
      </c>
      <c r="U27" s="59">
        <v>0</v>
      </c>
      <c r="V27" s="59">
        <v>1.5</v>
      </c>
      <c r="W27" s="59">
        <v>-1.5</v>
      </c>
      <c r="X27" s="59">
        <v>0</v>
      </c>
      <c r="Y27" s="59">
        <v>1.62</v>
      </c>
      <c r="Z27" s="59">
        <v>-1.62</v>
      </c>
      <c r="AA27" s="59">
        <v>0</v>
      </c>
      <c r="AB27" s="59">
        <v>2</v>
      </c>
      <c r="AC27" s="59">
        <v>-2</v>
      </c>
      <c r="AD27" s="59">
        <v>0</v>
      </c>
      <c r="AE27" s="59">
        <v>1</v>
      </c>
      <c r="AF27" s="59">
        <v>-1</v>
      </c>
      <c r="AG27" s="59">
        <v>0</v>
      </c>
      <c r="AH27" s="59">
        <v>1.62</v>
      </c>
      <c r="AI27" s="59">
        <v>-1.62</v>
      </c>
      <c r="AJ27" s="59">
        <v>0</v>
      </c>
      <c r="AK27" s="59">
        <v>1.88</v>
      </c>
      <c r="AL27" s="59">
        <v>-1.88</v>
      </c>
      <c r="AM27" s="59">
        <v>0</v>
      </c>
      <c r="AN27" s="59">
        <v>1.38</v>
      </c>
      <c r="AO27" s="59">
        <v>-1.38</v>
      </c>
      <c r="AP27" s="59">
        <v>0</v>
      </c>
      <c r="AQ27" s="59">
        <v>1.62</v>
      </c>
      <c r="AR27" s="59">
        <v>-1.62</v>
      </c>
      <c r="AS27" s="59">
        <v>0</v>
      </c>
      <c r="AT27" s="59">
        <v>1.1200000000000001</v>
      </c>
      <c r="AU27" s="59">
        <v>-1.1200000000000001</v>
      </c>
      <c r="AV27" s="59">
        <v>0</v>
      </c>
      <c r="AW27" s="59">
        <v>2</v>
      </c>
      <c r="AX27" s="59">
        <v>-2</v>
      </c>
    </row>
    <row r="28" spans="2:50" x14ac:dyDescent="0.3">
      <c r="B28" s="59" t="s">
        <v>75</v>
      </c>
      <c r="C28" s="59">
        <v>1.24</v>
      </c>
      <c r="D28" s="59">
        <v>2.38</v>
      </c>
      <c r="E28" s="59">
        <v>-1.1399999999999999</v>
      </c>
      <c r="F28" s="59">
        <v>2</v>
      </c>
      <c r="G28" s="59">
        <v>1</v>
      </c>
      <c r="H28" s="59">
        <v>1</v>
      </c>
      <c r="I28" s="59">
        <v>0</v>
      </c>
      <c r="J28" s="59">
        <v>1.25</v>
      </c>
      <c r="K28" s="59">
        <v>-1.25</v>
      </c>
      <c r="L28" s="59">
        <v>0</v>
      </c>
      <c r="M28" s="59">
        <v>1.62</v>
      </c>
      <c r="N28" s="59">
        <v>-1.62</v>
      </c>
      <c r="O28" s="59">
        <v>0</v>
      </c>
      <c r="P28" s="59">
        <v>1.5</v>
      </c>
      <c r="Q28" s="59">
        <v>-1.5</v>
      </c>
      <c r="R28" s="59">
        <v>0</v>
      </c>
      <c r="S28" s="59">
        <v>1.38</v>
      </c>
      <c r="T28" s="59">
        <v>-1.38</v>
      </c>
      <c r="U28" s="59">
        <v>0</v>
      </c>
      <c r="V28" s="59">
        <v>1.5</v>
      </c>
      <c r="W28" s="59">
        <v>-1.5</v>
      </c>
      <c r="X28" s="59">
        <v>0</v>
      </c>
      <c r="Y28" s="59">
        <v>1.62</v>
      </c>
      <c r="Z28" s="59">
        <v>-1.62</v>
      </c>
      <c r="AA28" s="59">
        <v>0</v>
      </c>
      <c r="AB28" s="59">
        <v>2</v>
      </c>
      <c r="AC28" s="59">
        <v>-2</v>
      </c>
      <c r="AD28" s="59">
        <v>0</v>
      </c>
      <c r="AE28" s="59">
        <v>1</v>
      </c>
      <c r="AF28" s="59">
        <v>-1</v>
      </c>
      <c r="AG28" s="59">
        <v>0</v>
      </c>
      <c r="AH28" s="59">
        <v>1.62</v>
      </c>
      <c r="AI28" s="59">
        <v>-1.62</v>
      </c>
      <c r="AJ28" s="59">
        <v>0</v>
      </c>
      <c r="AK28" s="59">
        <v>1.88</v>
      </c>
      <c r="AL28" s="59">
        <v>-1.88</v>
      </c>
      <c r="AM28" s="59">
        <v>0</v>
      </c>
      <c r="AN28" s="59">
        <v>1.38</v>
      </c>
      <c r="AO28" s="59">
        <v>-1.38</v>
      </c>
      <c r="AP28" s="59">
        <v>0</v>
      </c>
      <c r="AQ28" s="59">
        <v>1.62</v>
      </c>
      <c r="AR28" s="59">
        <v>-1.62</v>
      </c>
      <c r="AS28" s="59">
        <v>0</v>
      </c>
      <c r="AT28" s="59">
        <v>1.1200000000000001</v>
      </c>
      <c r="AU28" s="59">
        <v>-1.1200000000000001</v>
      </c>
      <c r="AV28" s="59">
        <v>0</v>
      </c>
      <c r="AW28" s="59">
        <v>2</v>
      </c>
      <c r="AX28" s="59">
        <v>-2</v>
      </c>
    </row>
    <row r="29" spans="2:50" x14ac:dyDescent="0.3">
      <c r="B29" s="59" t="s">
        <v>76</v>
      </c>
      <c r="C29" s="59">
        <v>1.48</v>
      </c>
      <c r="D29" s="59">
        <v>2.38</v>
      </c>
      <c r="E29" s="59">
        <v>-0.9</v>
      </c>
      <c r="F29" s="59">
        <v>2</v>
      </c>
      <c r="G29" s="59">
        <v>1</v>
      </c>
      <c r="H29" s="59">
        <v>1</v>
      </c>
      <c r="I29" s="59">
        <v>0</v>
      </c>
      <c r="J29" s="59">
        <v>1.25</v>
      </c>
      <c r="K29" s="59">
        <v>-1.25</v>
      </c>
      <c r="L29" s="59">
        <v>0</v>
      </c>
      <c r="M29" s="59">
        <v>1.62</v>
      </c>
      <c r="N29" s="59">
        <v>-1.62</v>
      </c>
      <c r="O29" s="59">
        <v>0</v>
      </c>
      <c r="P29" s="59">
        <v>1.5</v>
      </c>
      <c r="Q29" s="59">
        <v>-1.5</v>
      </c>
      <c r="R29" s="59">
        <v>0</v>
      </c>
      <c r="S29" s="59">
        <v>1.38</v>
      </c>
      <c r="T29" s="59">
        <v>-1.38</v>
      </c>
      <c r="U29" s="59">
        <v>0</v>
      </c>
      <c r="V29" s="59">
        <v>1.5</v>
      </c>
      <c r="W29" s="59">
        <v>-1.5</v>
      </c>
      <c r="X29" s="59">
        <v>0</v>
      </c>
      <c r="Y29" s="59">
        <v>1.62</v>
      </c>
      <c r="Z29" s="59">
        <v>-1.62</v>
      </c>
      <c r="AA29" s="59">
        <v>0</v>
      </c>
      <c r="AB29" s="59">
        <v>2</v>
      </c>
      <c r="AC29" s="59">
        <v>-2</v>
      </c>
      <c r="AD29" s="59">
        <v>0</v>
      </c>
      <c r="AE29" s="59">
        <v>1</v>
      </c>
      <c r="AF29" s="59">
        <v>-1</v>
      </c>
      <c r="AG29" s="59">
        <v>0</v>
      </c>
      <c r="AH29" s="59">
        <v>1.62</v>
      </c>
      <c r="AI29" s="59">
        <v>-1.62</v>
      </c>
      <c r="AJ29" s="59">
        <v>0</v>
      </c>
      <c r="AK29" s="59">
        <v>1.88</v>
      </c>
      <c r="AL29" s="59">
        <v>-1.88</v>
      </c>
      <c r="AM29" s="59">
        <v>0</v>
      </c>
      <c r="AN29" s="59">
        <v>1.38</v>
      </c>
      <c r="AO29" s="59">
        <v>-1.38</v>
      </c>
      <c r="AP29" s="59">
        <v>0</v>
      </c>
      <c r="AQ29" s="59">
        <v>1.62</v>
      </c>
      <c r="AR29" s="59">
        <v>-1.62</v>
      </c>
      <c r="AS29" s="59">
        <v>0</v>
      </c>
      <c r="AT29" s="59">
        <v>1.1200000000000001</v>
      </c>
      <c r="AU29" s="59">
        <v>-1.1200000000000001</v>
      </c>
      <c r="AV29" s="59">
        <v>0</v>
      </c>
      <c r="AW29" s="59">
        <v>2</v>
      </c>
      <c r="AX29" s="59">
        <v>-2</v>
      </c>
    </row>
    <row r="30" spans="2:50" x14ac:dyDescent="0.3">
      <c r="B30" s="59" t="s">
        <v>77</v>
      </c>
      <c r="C30" s="59">
        <v>0.81</v>
      </c>
      <c r="D30" s="59">
        <v>2.38</v>
      </c>
      <c r="E30" s="59">
        <v>-1.57</v>
      </c>
      <c r="F30" s="59">
        <v>2</v>
      </c>
      <c r="G30" s="59">
        <v>1</v>
      </c>
      <c r="H30" s="59">
        <v>1</v>
      </c>
      <c r="I30" s="59">
        <v>0</v>
      </c>
      <c r="J30" s="59">
        <v>1.25</v>
      </c>
      <c r="K30" s="59">
        <v>-1.25</v>
      </c>
      <c r="L30" s="59">
        <v>0</v>
      </c>
      <c r="M30" s="59">
        <v>1.62</v>
      </c>
      <c r="N30" s="59">
        <v>-1.62</v>
      </c>
      <c r="O30" s="59">
        <v>0</v>
      </c>
      <c r="P30" s="59">
        <v>1.5</v>
      </c>
      <c r="Q30" s="59">
        <v>-1.5</v>
      </c>
      <c r="R30" s="59">
        <v>0</v>
      </c>
      <c r="S30" s="59">
        <v>1.38</v>
      </c>
      <c r="T30" s="59">
        <v>-1.38</v>
      </c>
      <c r="U30" s="59">
        <v>0</v>
      </c>
      <c r="V30" s="59">
        <v>1.5</v>
      </c>
      <c r="W30" s="59">
        <v>-1.5</v>
      </c>
      <c r="X30" s="59">
        <v>0</v>
      </c>
      <c r="Y30" s="59">
        <v>1.62</v>
      </c>
      <c r="Z30" s="59">
        <v>-1.62</v>
      </c>
      <c r="AA30" s="59">
        <v>0</v>
      </c>
      <c r="AB30" s="59">
        <v>2</v>
      </c>
      <c r="AC30" s="59">
        <v>-2</v>
      </c>
      <c r="AD30" s="59">
        <v>0</v>
      </c>
      <c r="AE30" s="59">
        <v>1</v>
      </c>
      <c r="AF30" s="59">
        <v>-1</v>
      </c>
      <c r="AG30" s="59">
        <v>0</v>
      </c>
      <c r="AH30" s="59">
        <v>1.62</v>
      </c>
      <c r="AI30" s="59">
        <v>-1.62</v>
      </c>
      <c r="AJ30" s="59">
        <v>0</v>
      </c>
      <c r="AK30" s="59">
        <v>1.88</v>
      </c>
      <c r="AL30" s="59">
        <v>-1.88</v>
      </c>
      <c r="AM30" s="59">
        <v>0</v>
      </c>
      <c r="AN30" s="59">
        <v>1.38</v>
      </c>
      <c r="AO30" s="59">
        <v>-1.38</v>
      </c>
      <c r="AP30" s="59">
        <v>0</v>
      </c>
      <c r="AQ30" s="59">
        <v>1.62</v>
      </c>
      <c r="AR30" s="59">
        <v>-1.62</v>
      </c>
      <c r="AS30" s="59">
        <v>0</v>
      </c>
      <c r="AT30" s="59">
        <v>1.1200000000000001</v>
      </c>
      <c r="AU30" s="59">
        <v>-1.1200000000000001</v>
      </c>
      <c r="AV30" s="59">
        <v>0</v>
      </c>
      <c r="AW30" s="59">
        <v>2</v>
      </c>
      <c r="AX30" s="59">
        <v>-2</v>
      </c>
    </row>
    <row r="31" spans="2:50" x14ac:dyDescent="0.3">
      <c r="B31" s="59" t="s">
        <v>78</v>
      </c>
      <c r="C31" s="59">
        <v>1.29</v>
      </c>
      <c r="D31" s="59">
        <v>2.38</v>
      </c>
      <c r="E31" s="59">
        <v>-1.0900000000000001</v>
      </c>
      <c r="F31" s="59">
        <v>2</v>
      </c>
      <c r="G31" s="59">
        <v>1</v>
      </c>
      <c r="H31" s="59">
        <v>1</v>
      </c>
      <c r="I31" s="59">
        <v>0</v>
      </c>
      <c r="J31" s="59">
        <v>1.25</v>
      </c>
      <c r="K31" s="59">
        <v>-1.25</v>
      </c>
      <c r="L31" s="59">
        <v>0</v>
      </c>
      <c r="M31" s="59">
        <v>1.62</v>
      </c>
      <c r="N31" s="59">
        <v>-1.62</v>
      </c>
      <c r="O31" s="59">
        <v>0</v>
      </c>
      <c r="P31" s="59">
        <v>1.5</v>
      </c>
      <c r="Q31" s="59">
        <v>-1.5</v>
      </c>
      <c r="R31" s="59">
        <v>0</v>
      </c>
      <c r="S31" s="59">
        <v>1.38</v>
      </c>
      <c r="T31" s="59">
        <v>-1.38</v>
      </c>
      <c r="U31" s="59">
        <v>0</v>
      </c>
      <c r="V31" s="59">
        <v>1.5</v>
      </c>
      <c r="W31" s="59">
        <v>-1.5</v>
      </c>
      <c r="X31" s="59">
        <v>0</v>
      </c>
      <c r="Y31" s="59">
        <v>1.62</v>
      </c>
      <c r="Z31" s="59">
        <v>-1.62</v>
      </c>
      <c r="AA31" s="59">
        <v>0</v>
      </c>
      <c r="AB31" s="59">
        <v>2</v>
      </c>
      <c r="AC31" s="59">
        <v>-2</v>
      </c>
      <c r="AD31" s="59">
        <v>0</v>
      </c>
      <c r="AE31" s="59">
        <v>1</v>
      </c>
      <c r="AF31" s="59">
        <v>-1</v>
      </c>
      <c r="AG31" s="59">
        <v>0</v>
      </c>
      <c r="AH31" s="59">
        <v>1.62</v>
      </c>
      <c r="AI31" s="59">
        <v>-1.62</v>
      </c>
      <c r="AJ31" s="59">
        <v>0</v>
      </c>
      <c r="AK31" s="59">
        <v>1.88</v>
      </c>
      <c r="AL31" s="59">
        <v>-1.88</v>
      </c>
      <c r="AM31" s="59">
        <v>0</v>
      </c>
      <c r="AN31" s="59">
        <v>1.38</v>
      </c>
      <c r="AO31" s="59">
        <v>-1.38</v>
      </c>
      <c r="AP31" s="59">
        <v>0</v>
      </c>
      <c r="AQ31" s="59">
        <v>1.62</v>
      </c>
      <c r="AR31" s="59">
        <v>-1.62</v>
      </c>
      <c r="AS31" s="59">
        <v>0</v>
      </c>
      <c r="AT31" s="59">
        <v>1.1200000000000001</v>
      </c>
      <c r="AU31" s="59">
        <v>-1.1200000000000001</v>
      </c>
      <c r="AV31" s="59">
        <v>0</v>
      </c>
      <c r="AW31" s="59">
        <v>2</v>
      </c>
      <c r="AX31" s="59">
        <v>-2</v>
      </c>
    </row>
    <row r="32" spans="2:50" x14ac:dyDescent="0.3">
      <c r="B32" s="59" t="s">
        <v>79</v>
      </c>
      <c r="C32" s="59">
        <v>1.29</v>
      </c>
      <c r="D32" s="59">
        <v>2.38</v>
      </c>
      <c r="E32" s="59">
        <v>-1.0900000000000001</v>
      </c>
      <c r="F32" s="59">
        <v>2</v>
      </c>
      <c r="G32" s="59">
        <v>1</v>
      </c>
      <c r="H32" s="59">
        <v>1</v>
      </c>
      <c r="I32" s="59">
        <v>0</v>
      </c>
      <c r="J32" s="59">
        <v>1.25</v>
      </c>
      <c r="K32" s="59">
        <v>-1.25</v>
      </c>
      <c r="L32" s="59">
        <v>0</v>
      </c>
      <c r="M32" s="59">
        <v>1.62</v>
      </c>
      <c r="N32" s="59">
        <v>-1.62</v>
      </c>
      <c r="O32" s="59">
        <v>0</v>
      </c>
      <c r="P32" s="59">
        <v>1.5</v>
      </c>
      <c r="Q32" s="59">
        <v>-1.5</v>
      </c>
      <c r="R32" s="59">
        <v>0</v>
      </c>
      <c r="S32" s="59">
        <v>1.38</v>
      </c>
      <c r="T32" s="59">
        <v>-1.38</v>
      </c>
      <c r="U32" s="59">
        <v>0</v>
      </c>
      <c r="V32" s="59">
        <v>1.5</v>
      </c>
      <c r="W32" s="59">
        <v>-1.5</v>
      </c>
      <c r="X32" s="59">
        <v>0</v>
      </c>
      <c r="Y32" s="59">
        <v>1.62</v>
      </c>
      <c r="Z32" s="59">
        <v>-1.62</v>
      </c>
      <c r="AA32" s="59">
        <v>0</v>
      </c>
      <c r="AB32" s="59">
        <v>2</v>
      </c>
      <c r="AC32" s="59">
        <v>-2</v>
      </c>
      <c r="AD32" s="59">
        <v>0</v>
      </c>
      <c r="AE32" s="59">
        <v>1</v>
      </c>
      <c r="AF32" s="59">
        <v>-1</v>
      </c>
      <c r="AG32" s="59">
        <v>0</v>
      </c>
      <c r="AH32" s="59">
        <v>1.62</v>
      </c>
      <c r="AI32" s="59">
        <v>-1.62</v>
      </c>
      <c r="AJ32" s="59">
        <v>0</v>
      </c>
      <c r="AK32" s="59">
        <v>1.88</v>
      </c>
      <c r="AL32" s="59">
        <v>-1.88</v>
      </c>
      <c r="AM32" s="59">
        <v>0</v>
      </c>
      <c r="AN32" s="59">
        <v>1.38</v>
      </c>
      <c r="AO32" s="59">
        <v>-1.38</v>
      </c>
      <c r="AP32" s="59">
        <v>0</v>
      </c>
      <c r="AQ32" s="59">
        <v>1.62</v>
      </c>
      <c r="AR32" s="59">
        <v>-1.62</v>
      </c>
      <c r="AS32" s="59">
        <v>0</v>
      </c>
      <c r="AT32" s="59">
        <v>1.1200000000000001</v>
      </c>
      <c r="AU32" s="59">
        <v>-1.1200000000000001</v>
      </c>
      <c r="AV32" s="59">
        <v>0</v>
      </c>
      <c r="AW32" s="59">
        <v>2</v>
      </c>
      <c r="AX32" s="59">
        <v>-2</v>
      </c>
    </row>
    <row r="33" spans="2:50" x14ac:dyDescent="0.3">
      <c r="B33" s="59" t="s">
        <v>80</v>
      </c>
      <c r="C33" s="59">
        <v>1.62</v>
      </c>
      <c r="D33" s="59">
        <v>2.38</v>
      </c>
      <c r="E33" s="59">
        <v>-0.76</v>
      </c>
      <c r="F33" s="59">
        <v>2</v>
      </c>
      <c r="G33" s="59">
        <v>1</v>
      </c>
      <c r="H33" s="59">
        <v>1</v>
      </c>
      <c r="I33" s="59">
        <v>0</v>
      </c>
      <c r="J33" s="59">
        <v>1.25</v>
      </c>
      <c r="K33" s="59">
        <v>-1.25</v>
      </c>
      <c r="L33" s="59">
        <v>0</v>
      </c>
      <c r="M33" s="59">
        <v>1.62</v>
      </c>
      <c r="N33" s="59">
        <v>-1.62</v>
      </c>
      <c r="O33" s="59">
        <v>0</v>
      </c>
      <c r="P33" s="59">
        <v>1.5</v>
      </c>
      <c r="Q33" s="59">
        <v>-1.5</v>
      </c>
      <c r="R33" s="59">
        <v>0</v>
      </c>
      <c r="S33" s="59">
        <v>1.38</v>
      </c>
      <c r="T33" s="59">
        <v>-1.38</v>
      </c>
      <c r="U33" s="59">
        <v>0</v>
      </c>
      <c r="V33" s="59">
        <v>1.5</v>
      </c>
      <c r="W33" s="59">
        <v>-1.5</v>
      </c>
      <c r="X33" s="59">
        <v>0</v>
      </c>
      <c r="Y33" s="59">
        <v>1.62</v>
      </c>
      <c r="Z33" s="59">
        <v>-1.62</v>
      </c>
      <c r="AA33" s="59">
        <v>0</v>
      </c>
      <c r="AB33" s="59">
        <v>2</v>
      </c>
      <c r="AC33" s="59">
        <v>-2</v>
      </c>
      <c r="AD33" s="59">
        <v>0</v>
      </c>
      <c r="AE33" s="59">
        <v>1</v>
      </c>
      <c r="AF33" s="59">
        <v>-1</v>
      </c>
      <c r="AG33" s="59">
        <v>0</v>
      </c>
      <c r="AH33" s="59">
        <v>1.62</v>
      </c>
      <c r="AI33" s="59">
        <v>-1.62</v>
      </c>
      <c r="AJ33" s="59">
        <v>0</v>
      </c>
      <c r="AK33" s="59">
        <v>1.88</v>
      </c>
      <c r="AL33" s="59">
        <v>-1.88</v>
      </c>
      <c r="AM33" s="59">
        <v>0</v>
      </c>
      <c r="AN33" s="59">
        <v>1.38</v>
      </c>
      <c r="AO33" s="59">
        <v>-1.38</v>
      </c>
      <c r="AP33" s="59">
        <v>0</v>
      </c>
      <c r="AQ33" s="59">
        <v>1.62</v>
      </c>
      <c r="AR33" s="59">
        <v>-1.62</v>
      </c>
      <c r="AS33" s="59">
        <v>0</v>
      </c>
      <c r="AT33" s="59">
        <v>1.1200000000000001</v>
      </c>
      <c r="AU33" s="59">
        <v>-1.1200000000000001</v>
      </c>
      <c r="AV33" s="59">
        <v>0</v>
      </c>
      <c r="AW33" s="59">
        <v>2</v>
      </c>
      <c r="AX33" s="59">
        <v>-2</v>
      </c>
    </row>
    <row r="34" spans="2:50" x14ac:dyDescent="0.3">
      <c r="B34" s="59" t="s">
        <v>81</v>
      </c>
      <c r="C34" s="59">
        <v>2.1</v>
      </c>
      <c r="D34" s="59">
        <v>2.38</v>
      </c>
      <c r="E34" s="59">
        <v>-0.28000000000000003</v>
      </c>
      <c r="F34" s="59">
        <v>2</v>
      </c>
      <c r="G34" s="59">
        <v>1</v>
      </c>
      <c r="H34" s="59">
        <v>1</v>
      </c>
      <c r="I34" s="59">
        <v>0</v>
      </c>
      <c r="J34" s="59">
        <v>1.25</v>
      </c>
      <c r="K34" s="59">
        <v>-1.25</v>
      </c>
      <c r="L34" s="59">
        <v>0</v>
      </c>
      <c r="M34" s="59">
        <v>1.62</v>
      </c>
      <c r="N34" s="59">
        <v>-1.62</v>
      </c>
      <c r="O34" s="59">
        <v>0</v>
      </c>
      <c r="P34" s="59">
        <v>1.5</v>
      </c>
      <c r="Q34" s="59">
        <v>-1.5</v>
      </c>
      <c r="R34" s="59">
        <v>0</v>
      </c>
      <c r="S34" s="59">
        <v>1.38</v>
      </c>
      <c r="T34" s="59">
        <v>-1.38</v>
      </c>
      <c r="U34" s="59">
        <v>0</v>
      </c>
      <c r="V34" s="59">
        <v>1.5</v>
      </c>
      <c r="W34" s="59">
        <v>-1.5</v>
      </c>
      <c r="X34" s="59">
        <v>0</v>
      </c>
      <c r="Y34" s="59">
        <v>1.62</v>
      </c>
      <c r="Z34" s="59">
        <v>-1.62</v>
      </c>
      <c r="AA34" s="59">
        <v>0</v>
      </c>
      <c r="AB34" s="59">
        <v>2</v>
      </c>
      <c r="AC34" s="59">
        <v>-2</v>
      </c>
      <c r="AD34" s="59">
        <v>0</v>
      </c>
      <c r="AE34" s="59">
        <v>1</v>
      </c>
      <c r="AF34" s="59">
        <v>-1</v>
      </c>
      <c r="AG34" s="59">
        <v>0</v>
      </c>
      <c r="AH34" s="59">
        <v>1.62</v>
      </c>
      <c r="AI34" s="59">
        <v>-1.62</v>
      </c>
      <c r="AJ34" s="59">
        <v>0</v>
      </c>
      <c r="AK34" s="59">
        <v>1.88</v>
      </c>
      <c r="AL34" s="59">
        <v>-1.88</v>
      </c>
      <c r="AM34" s="59">
        <v>0</v>
      </c>
      <c r="AN34" s="59">
        <v>1.38</v>
      </c>
      <c r="AO34" s="59">
        <v>-1.38</v>
      </c>
      <c r="AP34" s="59">
        <v>0</v>
      </c>
      <c r="AQ34" s="59">
        <v>1.62</v>
      </c>
      <c r="AR34" s="59">
        <v>-1.62</v>
      </c>
      <c r="AS34" s="59">
        <v>0</v>
      </c>
      <c r="AT34" s="59">
        <v>1.1200000000000001</v>
      </c>
      <c r="AU34" s="59">
        <v>-1.1200000000000001</v>
      </c>
      <c r="AV34" s="59">
        <v>0</v>
      </c>
      <c r="AW34" s="59">
        <v>2</v>
      </c>
      <c r="AX34" s="59">
        <v>-2</v>
      </c>
    </row>
    <row r="35" spans="2:50" x14ac:dyDescent="0.3">
      <c r="B35" s="59" t="s">
        <v>82</v>
      </c>
      <c r="C35" s="59">
        <v>1.95</v>
      </c>
      <c r="D35" s="59">
        <v>2.38</v>
      </c>
      <c r="E35" s="59">
        <v>-0.42</v>
      </c>
      <c r="F35" s="59">
        <v>2</v>
      </c>
      <c r="G35" s="59">
        <v>1</v>
      </c>
      <c r="H35" s="59">
        <v>1</v>
      </c>
      <c r="I35" s="59">
        <v>0</v>
      </c>
      <c r="J35" s="59">
        <v>1.25</v>
      </c>
      <c r="K35" s="59">
        <v>-1.25</v>
      </c>
      <c r="L35" s="59">
        <v>0</v>
      </c>
      <c r="M35" s="59">
        <v>1.62</v>
      </c>
      <c r="N35" s="59">
        <v>-1.62</v>
      </c>
      <c r="O35" s="59">
        <v>0</v>
      </c>
      <c r="P35" s="59">
        <v>1.5</v>
      </c>
      <c r="Q35" s="59">
        <v>-1.5</v>
      </c>
      <c r="R35" s="59">
        <v>0</v>
      </c>
      <c r="S35" s="59">
        <v>1.38</v>
      </c>
      <c r="T35" s="59">
        <v>-1.38</v>
      </c>
      <c r="U35" s="59">
        <v>0</v>
      </c>
      <c r="V35" s="59">
        <v>1.5</v>
      </c>
      <c r="W35" s="59">
        <v>-1.5</v>
      </c>
      <c r="X35" s="59">
        <v>0</v>
      </c>
      <c r="Y35" s="59">
        <v>1.62</v>
      </c>
      <c r="Z35" s="59">
        <v>-1.62</v>
      </c>
      <c r="AA35" s="59">
        <v>0</v>
      </c>
      <c r="AB35" s="59">
        <v>2</v>
      </c>
      <c r="AC35" s="59">
        <v>-2</v>
      </c>
      <c r="AD35" s="59">
        <v>0</v>
      </c>
      <c r="AE35" s="59">
        <v>1</v>
      </c>
      <c r="AF35" s="59">
        <v>-1</v>
      </c>
      <c r="AG35" s="59">
        <v>0</v>
      </c>
      <c r="AH35" s="59">
        <v>1.62</v>
      </c>
      <c r="AI35" s="59">
        <v>-1.62</v>
      </c>
      <c r="AJ35" s="59">
        <v>0</v>
      </c>
      <c r="AK35" s="59">
        <v>1.88</v>
      </c>
      <c r="AL35" s="59">
        <v>-1.88</v>
      </c>
      <c r="AM35" s="59">
        <v>0</v>
      </c>
      <c r="AN35" s="59">
        <v>1.38</v>
      </c>
      <c r="AO35" s="59">
        <v>-1.38</v>
      </c>
      <c r="AP35" s="59">
        <v>0</v>
      </c>
      <c r="AQ35" s="59">
        <v>1.62</v>
      </c>
      <c r="AR35" s="59">
        <v>-1.62</v>
      </c>
      <c r="AS35" s="59">
        <v>0</v>
      </c>
      <c r="AT35" s="59">
        <v>1.1200000000000001</v>
      </c>
      <c r="AU35" s="59">
        <v>-1.1200000000000001</v>
      </c>
      <c r="AV35" s="59">
        <v>0</v>
      </c>
      <c r="AW35" s="59">
        <v>2</v>
      </c>
      <c r="AX35" s="59">
        <v>-2</v>
      </c>
    </row>
    <row r="36" spans="2:50" x14ac:dyDescent="0.3">
      <c r="B36" s="59" t="s">
        <v>83</v>
      </c>
      <c r="C36" s="59">
        <v>2.0499999999999998</v>
      </c>
      <c r="D36" s="59">
        <v>2.38</v>
      </c>
      <c r="E36" s="59">
        <v>-0.33</v>
      </c>
      <c r="F36" s="59">
        <v>2</v>
      </c>
      <c r="G36" s="59">
        <v>1</v>
      </c>
      <c r="H36" s="59">
        <v>1</v>
      </c>
      <c r="I36" s="59">
        <v>0</v>
      </c>
      <c r="J36" s="59">
        <v>1.25</v>
      </c>
      <c r="K36" s="59">
        <v>-1.25</v>
      </c>
      <c r="L36" s="59">
        <v>0</v>
      </c>
      <c r="M36" s="59">
        <v>1.62</v>
      </c>
      <c r="N36" s="59">
        <v>-1.62</v>
      </c>
      <c r="O36" s="59">
        <v>0</v>
      </c>
      <c r="P36" s="59">
        <v>1.5</v>
      </c>
      <c r="Q36" s="59">
        <v>-1.5</v>
      </c>
      <c r="R36" s="59">
        <v>0</v>
      </c>
      <c r="S36" s="59">
        <v>1.38</v>
      </c>
      <c r="T36" s="59">
        <v>-1.38</v>
      </c>
      <c r="U36" s="59">
        <v>0</v>
      </c>
      <c r="V36" s="59">
        <v>1.5</v>
      </c>
      <c r="W36" s="59">
        <v>-1.5</v>
      </c>
      <c r="X36" s="59">
        <v>0</v>
      </c>
      <c r="Y36" s="59">
        <v>1.62</v>
      </c>
      <c r="Z36" s="59">
        <v>-1.62</v>
      </c>
      <c r="AA36" s="59">
        <v>0</v>
      </c>
      <c r="AB36" s="59">
        <v>2</v>
      </c>
      <c r="AC36" s="59">
        <v>-2</v>
      </c>
      <c r="AD36" s="59">
        <v>0</v>
      </c>
      <c r="AE36" s="59">
        <v>1</v>
      </c>
      <c r="AF36" s="59">
        <v>-1</v>
      </c>
      <c r="AG36" s="59">
        <v>0</v>
      </c>
      <c r="AH36" s="59">
        <v>1.62</v>
      </c>
      <c r="AI36" s="59">
        <v>-1.62</v>
      </c>
      <c r="AJ36" s="59">
        <v>0</v>
      </c>
      <c r="AK36" s="59">
        <v>1.88</v>
      </c>
      <c r="AL36" s="59">
        <v>-1.88</v>
      </c>
      <c r="AM36" s="59">
        <v>0</v>
      </c>
      <c r="AN36" s="59">
        <v>1.38</v>
      </c>
      <c r="AO36" s="59">
        <v>-1.38</v>
      </c>
      <c r="AP36" s="59">
        <v>0</v>
      </c>
      <c r="AQ36" s="59">
        <v>1.62</v>
      </c>
      <c r="AR36" s="59">
        <v>-1.62</v>
      </c>
      <c r="AS36" s="59">
        <v>0</v>
      </c>
      <c r="AT36" s="59">
        <v>1.1200000000000001</v>
      </c>
      <c r="AU36" s="59">
        <v>-1.1200000000000001</v>
      </c>
      <c r="AV36" s="59">
        <v>0</v>
      </c>
      <c r="AW36" s="59">
        <v>2</v>
      </c>
      <c r="AX36" s="59">
        <v>-2</v>
      </c>
    </row>
    <row r="37" spans="2:50" x14ac:dyDescent="0.3">
      <c r="B37" s="59" t="s">
        <v>84</v>
      </c>
      <c r="C37" s="59">
        <v>1.48</v>
      </c>
      <c r="D37" s="59">
        <v>2.38</v>
      </c>
      <c r="E37" s="59">
        <v>-0.9</v>
      </c>
      <c r="F37" s="59">
        <v>2</v>
      </c>
      <c r="G37" s="59">
        <v>1</v>
      </c>
      <c r="H37" s="59">
        <v>1</v>
      </c>
      <c r="I37" s="59">
        <v>0</v>
      </c>
      <c r="J37" s="59">
        <v>1.25</v>
      </c>
      <c r="K37" s="59">
        <v>-1.25</v>
      </c>
      <c r="L37" s="59">
        <v>0</v>
      </c>
      <c r="M37" s="59">
        <v>1.62</v>
      </c>
      <c r="N37" s="59">
        <v>-1.62</v>
      </c>
      <c r="O37" s="59">
        <v>0</v>
      </c>
      <c r="P37" s="59">
        <v>1.5</v>
      </c>
      <c r="Q37" s="59">
        <v>-1.5</v>
      </c>
      <c r="R37" s="59">
        <v>0</v>
      </c>
      <c r="S37" s="59">
        <v>1.38</v>
      </c>
      <c r="T37" s="59">
        <v>-1.38</v>
      </c>
      <c r="U37" s="59">
        <v>0</v>
      </c>
      <c r="V37" s="59">
        <v>1.5</v>
      </c>
      <c r="W37" s="59">
        <v>-1.5</v>
      </c>
      <c r="X37" s="59">
        <v>0</v>
      </c>
      <c r="Y37" s="59">
        <v>1.62</v>
      </c>
      <c r="Z37" s="59">
        <v>-1.62</v>
      </c>
      <c r="AA37" s="59">
        <v>0</v>
      </c>
      <c r="AB37" s="59">
        <v>2</v>
      </c>
      <c r="AC37" s="59">
        <v>-2</v>
      </c>
      <c r="AD37" s="59">
        <v>0</v>
      </c>
      <c r="AE37" s="59">
        <v>1</v>
      </c>
      <c r="AF37" s="59">
        <v>-1</v>
      </c>
      <c r="AG37" s="59">
        <v>0</v>
      </c>
      <c r="AH37" s="59">
        <v>1.62</v>
      </c>
      <c r="AI37" s="59">
        <v>-1.62</v>
      </c>
      <c r="AJ37" s="59">
        <v>0</v>
      </c>
      <c r="AK37" s="59">
        <v>1.88</v>
      </c>
      <c r="AL37" s="59">
        <v>-1.88</v>
      </c>
      <c r="AM37" s="59">
        <v>0</v>
      </c>
      <c r="AN37" s="59">
        <v>1.38</v>
      </c>
      <c r="AO37" s="59">
        <v>-1.38</v>
      </c>
      <c r="AP37" s="59">
        <v>0</v>
      </c>
      <c r="AQ37" s="59">
        <v>1.62</v>
      </c>
      <c r="AR37" s="59">
        <v>-1.62</v>
      </c>
      <c r="AS37" s="59">
        <v>0</v>
      </c>
      <c r="AT37" s="59">
        <v>1.1200000000000001</v>
      </c>
      <c r="AU37" s="59">
        <v>-1.1200000000000001</v>
      </c>
      <c r="AV37" s="59">
        <v>0</v>
      </c>
      <c r="AW37" s="59">
        <v>2</v>
      </c>
      <c r="AX37" s="59">
        <v>-2</v>
      </c>
    </row>
    <row r="38" spans="2:50" x14ac:dyDescent="0.3">
      <c r="B38" s="59" t="s">
        <v>85</v>
      </c>
      <c r="C38" s="59">
        <v>1.1399999999999999</v>
      </c>
      <c r="D38" s="59">
        <v>2.38</v>
      </c>
      <c r="E38" s="59">
        <v>-1.23</v>
      </c>
      <c r="F38" s="59">
        <v>2</v>
      </c>
      <c r="G38" s="59">
        <v>1</v>
      </c>
      <c r="H38" s="59">
        <v>1</v>
      </c>
      <c r="I38" s="59">
        <v>0</v>
      </c>
      <c r="J38" s="59">
        <v>1.25</v>
      </c>
      <c r="K38" s="59">
        <v>-1.25</v>
      </c>
      <c r="L38" s="59">
        <v>0</v>
      </c>
      <c r="M38" s="59">
        <v>1.62</v>
      </c>
      <c r="N38" s="59">
        <v>-1.62</v>
      </c>
      <c r="O38" s="59">
        <v>0</v>
      </c>
      <c r="P38" s="59">
        <v>1.5</v>
      </c>
      <c r="Q38" s="59">
        <v>-1.5</v>
      </c>
      <c r="R38" s="59">
        <v>0</v>
      </c>
      <c r="S38" s="59">
        <v>1.38</v>
      </c>
      <c r="T38" s="59">
        <v>-1.38</v>
      </c>
      <c r="U38" s="59">
        <v>0</v>
      </c>
      <c r="V38" s="59">
        <v>1.5</v>
      </c>
      <c r="W38" s="59">
        <v>-1.5</v>
      </c>
      <c r="X38" s="59">
        <v>0</v>
      </c>
      <c r="Y38" s="59">
        <v>1.62</v>
      </c>
      <c r="Z38" s="59">
        <v>-1.62</v>
      </c>
      <c r="AA38" s="59">
        <v>0</v>
      </c>
      <c r="AB38" s="59">
        <v>2</v>
      </c>
      <c r="AC38" s="59">
        <v>-2</v>
      </c>
      <c r="AD38" s="59">
        <v>0</v>
      </c>
      <c r="AE38" s="59">
        <v>1</v>
      </c>
      <c r="AF38" s="59">
        <v>-1</v>
      </c>
      <c r="AG38" s="59">
        <v>0</v>
      </c>
      <c r="AH38" s="59">
        <v>1.62</v>
      </c>
      <c r="AI38" s="59">
        <v>-1.62</v>
      </c>
      <c r="AJ38" s="59">
        <v>0</v>
      </c>
      <c r="AK38" s="59">
        <v>1.88</v>
      </c>
      <c r="AL38" s="59">
        <v>-1.88</v>
      </c>
      <c r="AM38" s="59">
        <v>0</v>
      </c>
      <c r="AN38" s="59">
        <v>1.38</v>
      </c>
      <c r="AO38" s="59">
        <v>-1.38</v>
      </c>
      <c r="AP38" s="59">
        <v>0</v>
      </c>
      <c r="AQ38" s="59">
        <v>1.62</v>
      </c>
      <c r="AR38" s="59">
        <v>-1.62</v>
      </c>
      <c r="AS38" s="59">
        <v>0</v>
      </c>
      <c r="AT38" s="59">
        <v>1.1200000000000001</v>
      </c>
      <c r="AU38" s="59">
        <v>-1.1200000000000001</v>
      </c>
      <c r="AV38" s="59">
        <v>0</v>
      </c>
      <c r="AW38" s="59">
        <v>2</v>
      </c>
      <c r="AX38" s="59">
        <v>-2</v>
      </c>
    </row>
    <row r="39" spans="2:50" x14ac:dyDescent="0.3">
      <c r="B39" s="59" t="s">
        <v>86</v>
      </c>
      <c r="C39" s="59">
        <v>1.1399999999999999</v>
      </c>
      <c r="D39" s="59">
        <v>2.38</v>
      </c>
      <c r="E39" s="59">
        <v>-1.23</v>
      </c>
      <c r="F39" s="59">
        <v>2</v>
      </c>
      <c r="G39" s="59">
        <v>1</v>
      </c>
      <c r="H39" s="59">
        <v>1</v>
      </c>
      <c r="I39" s="59">
        <v>0</v>
      </c>
      <c r="J39" s="59">
        <v>1.25</v>
      </c>
      <c r="K39" s="59">
        <v>-1.25</v>
      </c>
      <c r="L39" s="59">
        <v>0</v>
      </c>
      <c r="M39" s="59">
        <v>1.62</v>
      </c>
      <c r="N39" s="59">
        <v>-1.62</v>
      </c>
      <c r="O39" s="59">
        <v>0</v>
      </c>
      <c r="P39" s="59">
        <v>1.5</v>
      </c>
      <c r="Q39" s="59">
        <v>-1.5</v>
      </c>
      <c r="R39" s="59">
        <v>0</v>
      </c>
      <c r="S39" s="59">
        <v>1.38</v>
      </c>
      <c r="T39" s="59">
        <v>-1.38</v>
      </c>
      <c r="U39" s="59">
        <v>0</v>
      </c>
      <c r="V39" s="59">
        <v>1.5</v>
      </c>
      <c r="W39" s="59">
        <v>-1.5</v>
      </c>
      <c r="X39" s="59">
        <v>0</v>
      </c>
      <c r="Y39" s="59">
        <v>1.62</v>
      </c>
      <c r="Z39" s="59">
        <v>-1.62</v>
      </c>
      <c r="AA39" s="59">
        <v>0</v>
      </c>
      <c r="AB39" s="59">
        <v>2</v>
      </c>
      <c r="AC39" s="59">
        <v>-2</v>
      </c>
      <c r="AD39" s="59">
        <v>0</v>
      </c>
      <c r="AE39" s="59">
        <v>1</v>
      </c>
      <c r="AF39" s="59">
        <v>-1</v>
      </c>
      <c r="AG39" s="59">
        <v>0</v>
      </c>
      <c r="AH39" s="59">
        <v>1.62</v>
      </c>
      <c r="AI39" s="59">
        <v>-1.62</v>
      </c>
      <c r="AJ39" s="59">
        <v>0</v>
      </c>
      <c r="AK39" s="59">
        <v>1.88</v>
      </c>
      <c r="AL39" s="59">
        <v>-1.88</v>
      </c>
      <c r="AM39" s="59">
        <v>0</v>
      </c>
      <c r="AN39" s="59">
        <v>1.38</v>
      </c>
      <c r="AO39" s="59">
        <v>-1.38</v>
      </c>
      <c r="AP39" s="59">
        <v>0</v>
      </c>
      <c r="AQ39" s="59">
        <v>1.62</v>
      </c>
      <c r="AR39" s="59">
        <v>-1.62</v>
      </c>
      <c r="AS39" s="59">
        <v>0</v>
      </c>
      <c r="AT39" s="59">
        <v>1.1200000000000001</v>
      </c>
      <c r="AU39" s="59">
        <v>-1.1200000000000001</v>
      </c>
      <c r="AV39" s="59">
        <v>0</v>
      </c>
      <c r="AW39" s="59">
        <v>2</v>
      </c>
      <c r="AX39" s="59">
        <v>-2</v>
      </c>
    </row>
    <row r="40" spans="2:50" x14ac:dyDescent="0.3">
      <c r="B40" s="59" t="s">
        <v>87</v>
      </c>
      <c r="C40" s="59">
        <v>1.33</v>
      </c>
      <c r="D40" s="59">
        <v>2.38</v>
      </c>
      <c r="E40" s="59">
        <v>-1.04</v>
      </c>
      <c r="F40" s="59">
        <v>2.2400000000000002</v>
      </c>
      <c r="G40" s="59">
        <v>1</v>
      </c>
      <c r="H40" s="59">
        <v>1.24</v>
      </c>
      <c r="I40" s="59">
        <v>0</v>
      </c>
      <c r="J40" s="59">
        <v>1.25</v>
      </c>
      <c r="K40" s="59">
        <v>-1.25</v>
      </c>
      <c r="L40" s="59">
        <v>0</v>
      </c>
      <c r="M40" s="59">
        <v>1.62</v>
      </c>
      <c r="N40" s="59">
        <v>-1.62</v>
      </c>
      <c r="O40" s="59">
        <v>0</v>
      </c>
      <c r="P40" s="59">
        <v>1.5</v>
      </c>
      <c r="Q40" s="59">
        <v>-1.5</v>
      </c>
      <c r="R40" s="59">
        <v>0</v>
      </c>
      <c r="S40" s="59">
        <v>1.38</v>
      </c>
      <c r="T40" s="59">
        <v>-1.38</v>
      </c>
      <c r="U40" s="59">
        <v>0</v>
      </c>
      <c r="V40" s="59">
        <v>1.5</v>
      </c>
      <c r="W40" s="59">
        <v>-1.5</v>
      </c>
      <c r="X40" s="59">
        <v>0</v>
      </c>
      <c r="Y40" s="59">
        <v>1.62</v>
      </c>
      <c r="Z40" s="59">
        <v>-1.62</v>
      </c>
      <c r="AA40" s="59">
        <v>0</v>
      </c>
      <c r="AB40" s="59">
        <v>2</v>
      </c>
      <c r="AC40" s="59">
        <v>-2</v>
      </c>
      <c r="AD40" s="59">
        <v>0</v>
      </c>
      <c r="AE40" s="59">
        <v>1</v>
      </c>
      <c r="AF40" s="59">
        <v>-1</v>
      </c>
      <c r="AG40" s="59">
        <v>0</v>
      </c>
      <c r="AH40" s="59">
        <v>1.62</v>
      </c>
      <c r="AI40" s="59">
        <v>-1.62</v>
      </c>
      <c r="AJ40" s="59">
        <v>0</v>
      </c>
      <c r="AK40" s="59">
        <v>1.88</v>
      </c>
      <c r="AL40" s="59">
        <v>-1.88</v>
      </c>
      <c r="AM40" s="59">
        <v>0</v>
      </c>
      <c r="AN40" s="59">
        <v>1.38</v>
      </c>
      <c r="AO40" s="59">
        <v>-1.38</v>
      </c>
      <c r="AP40" s="59">
        <v>0</v>
      </c>
      <c r="AQ40" s="59">
        <v>1.62</v>
      </c>
      <c r="AR40" s="59">
        <v>-1.62</v>
      </c>
      <c r="AS40" s="59">
        <v>0</v>
      </c>
      <c r="AT40" s="59">
        <v>1.1200000000000001</v>
      </c>
      <c r="AU40" s="59">
        <v>-1.1200000000000001</v>
      </c>
      <c r="AV40" s="59">
        <v>0</v>
      </c>
      <c r="AW40" s="59">
        <v>2</v>
      </c>
      <c r="AX40" s="59">
        <v>-2</v>
      </c>
    </row>
    <row r="41" spans="2:50" x14ac:dyDescent="0.3">
      <c r="B41" s="59" t="s">
        <v>88</v>
      </c>
      <c r="C41" s="59">
        <v>1.33</v>
      </c>
      <c r="D41" s="59">
        <v>2.38</v>
      </c>
      <c r="E41" s="59">
        <v>-1.04</v>
      </c>
      <c r="F41" s="59">
        <v>2.2400000000000002</v>
      </c>
      <c r="G41" s="59">
        <v>1</v>
      </c>
      <c r="H41" s="59">
        <v>1.24</v>
      </c>
      <c r="I41" s="59">
        <v>0</v>
      </c>
      <c r="J41" s="59">
        <v>1.25</v>
      </c>
      <c r="K41" s="59">
        <v>-1.25</v>
      </c>
      <c r="L41" s="59">
        <v>0</v>
      </c>
      <c r="M41" s="59">
        <v>1.62</v>
      </c>
      <c r="N41" s="59">
        <v>-1.62</v>
      </c>
      <c r="O41" s="59">
        <v>0</v>
      </c>
      <c r="P41" s="59">
        <v>1.5</v>
      </c>
      <c r="Q41" s="59">
        <v>-1.5</v>
      </c>
      <c r="R41" s="59">
        <v>0</v>
      </c>
      <c r="S41" s="59">
        <v>1.38</v>
      </c>
      <c r="T41" s="59">
        <v>-1.38</v>
      </c>
      <c r="U41" s="59">
        <v>0</v>
      </c>
      <c r="V41" s="59">
        <v>1.5</v>
      </c>
      <c r="W41" s="59">
        <v>-1.5</v>
      </c>
      <c r="X41" s="59">
        <v>0</v>
      </c>
      <c r="Y41" s="59">
        <v>1.62</v>
      </c>
      <c r="Z41" s="59">
        <v>-1.62</v>
      </c>
      <c r="AA41" s="59">
        <v>0</v>
      </c>
      <c r="AB41" s="59">
        <v>2</v>
      </c>
      <c r="AC41" s="59">
        <v>-2</v>
      </c>
      <c r="AD41" s="59">
        <v>0</v>
      </c>
      <c r="AE41" s="59">
        <v>1</v>
      </c>
      <c r="AF41" s="59">
        <v>-1</v>
      </c>
      <c r="AG41" s="59">
        <v>0</v>
      </c>
      <c r="AH41" s="59">
        <v>1.62</v>
      </c>
      <c r="AI41" s="59">
        <v>-1.62</v>
      </c>
      <c r="AJ41" s="59">
        <v>0</v>
      </c>
      <c r="AK41" s="59">
        <v>1.88</v>
      </c>
      <c r="AL41" s="59">
        <v>-1.88</v>
      </c>
      <c r="AM41" s="59">
        <v>0</v>
      </c>
      <c r="AN41" s="59">
        <v>1.38</v>
      </c>
      <c r="AO41" s="59">
        <v>-1.38</v>
      </c>
      <c r="AP41" s="59">
        <v>0</v>
      </c>
      <c r="AQ41" s="59">
        <v>1.62</v>
      </c>
      <c r="AR41" s="59">
        <v>-1.62</v>
      </c>
      <c r="AS41" s="59">
        <v>0</v>
      </c>
      <c r="AT41" s="59">
        <v>1.1200000000000001</v>
      </c>
      <c r="AU41" s="59">
        <v>-1.1200000000000001</v>
      </c>
      <c r="AV41" s="59">
        <v>0</v>
      </c>
      <c r="AW41" s="59">
        <v>2</v>
      </c>
      <c r="AX41" s="59">
        <v>-2</v>
      </c>
    </row>
    <row r="42" spans="2:50" x14ac:dyDescent="0.3">
      <c r="B42" s="59" t="s">
        <v>89</v>
      </c>
      <c r="C42" s="59">
        <v>1.9</v>
      </c>
      <c r="D42" s="59">
        <v>2.38</v>
      </c>
      <c r="E42" s="59">
        <v>-0.47</v>
      </c>
      <c r="F42" s="59">
        <v>2.2400000000000002</v>
      </c>
      <c r="G42" s="59">
        <v>1</v>
      </c>
      <c r="H42" s="59">
        <v>1.24</v>
      </c>
      <c r="I42" s="59">
        <v>0</v>
      </c>
      <c r="J42" s="59">
        <v>1.25</v>
      </c>
      <c r="K42" s="59">
        <v>-1.25</v>
      </c>
      <c r="L42" s="59">
        <v>0</v>
      </c>
      <c r="M42" s="59">
        <v>1.62</v>
      </c>
      <c r="N42" s="59">
        <v>-1.62</v>
      </c>
      <c r="O42" s="59">
        <v>0</v>
      </c>
      <c r="P42" s="59">
        <v>1.5</v>
      </c>
      <c r="Q42" s="59">
        <v>-1.5</v>
      </c>
      <c r="R42" s="59">
        <v>0</v>
      </c>
      <c r="S42" s="59">
        <v>1.38</v>
      </c>
      <c r="T42" s="59">
        <v>-1.38</v>
      </c>
      <c r="U42" s="59">
        <v>0</v>
      </c>
      <c r="V42" s="59">
        <v>1.5</v>
      </c>
      <c r="W42" s="59">
        <v>-1.5</v>
      </c>
      <c r="X42" s="59">
        <v>0</v>
      </c>
      <c r="Y42" s="59">
        <v>1.62</v>
      </c>
      <c r="Z42" s="59">
        <v>-1.62</v>
      </c>
      <c r="AA42" s="59">
        <v>0</v>
      </c>
      <c r="AB42" s="59">
        <v>2</v>
      </c>
      <c r="AC42" s="59">
        <v>-2</v>
      </c>
      <c r="AD42" s="59">
        <v>0</v>
      </c>
      <c r="AE42" s="59">
        <v>1</v>
      </c>
      <c r="AF42" s="59">
        <v>-1</v>
      </c>
      <c r="AG42" s="59">
        <v>0</v>
      </c>
      <c r="AH42" s="59">
        <v>1.62</v>
      </c>
      <c r="AI42" s="59">
        <v>-1.62</v>
      </c>
      <c r="AJ42" s="59">
        <v>0</v>
      </c>
      <c r="AK42" s="59">
        <v>1.88</v>
      </c>
      <c r="AL42" s="59">
        <v>-1.88</v>
      </c>
      <c r="AM42" s="59">
        <v>0</v>
      </c>
      <c r="AN42" s="59">
        <v>1.38</v>
      </c>
      <c r="AO42" s="59">
        <v>-1.38</v>
      </c>
      <c r="AP42" s="59">
        <v>0</v>
      </c>
      <c r="AQ42" s="59">
        <v>1.62</v>
      </c>
      <c r="AR42" s="59">
        <v>-1.62</v>
      </c>
      <c r="AS42" s="59">
        <v>0</v>
      </c>
      <c r="AT42" s="59">
        <v>1.1200000000000001</v>
      </c>
      <c r="AU42" s="59">
        <v>-1.1200000000000001</v>
      </c>
      <c r="AV42" s="59">
        <v>0</v>
      </c>
      <c r="AW42" s="59">
        <v>2</v>
      </c>
      <c r="AX42" s="59">
        <v>-2</v>
      </c>
    </row>
    <row r="43" spans="2:50" x14ac:dyDescent="0.3">
      <c r="B43" s="59" t="s">
        <v>90</v>
      </c>
      <c r="C43" s="59">
        <v>1.9</v>
      </c>
      <c r="D43" s="59">
        <v>2.38</v>
      </c>
      <c r="E43" s="59">
        <v>-0.47</v>
      </c>
      <c r="F43" s="59">
        <v>2.2400000000000002</v>
      </c>
      <c r="G43" s="59">
        <v>1</v>
      </c>
      <c r="H43" s="59">
        <v>1.24</v>
      </c>
      <c r="I43" s="59">
        <v>0</v>
      </c>
      <c r="J43" s="59">
        <v>1.25</v>
      </c>
      <c r="K43" s="59">
        <v>-1.25</v>
      </c>
      <c r="L43" s="59">
        <v>0</v>
      </c>
      <c r="M43" s="59">
        <v>1.62</v>
      </c>
      <c r="N43" s="59">
        <v>-1.62</v>
      </c>
      <c r="O43" s="59">
        <v>0</v>
      </c>
      <c r="P43" s="59">
        <v>1.5</v>
      </c>
      <c r="Q43" s="59">
        <v>-1.5</v>
      </c>
      <c r="R43" s="59">
        <v>0</v>
      </c>
      <c r="S43" s="59">
        <v>1.38</v>
      </c>
      <c r="T43" s="59">
        <v>-1.38</v>
      </c>
      <c r="U43" s="59">
        <v>0</v>
      </c>
      <c r="V43" s="59">
        <v>1.5</v>
      </c>
      <c r="W43" s="59">
        <v>-1.5</v>
      </c>
      <c r="X43" s="59">
        <v>0</v>
      </c>
      <c r="Y43" s="59">
        <v>1.62</v>
      </c>
      <c r="Z43" s="59">
        <v>-1.62</v>
      </c>
      <c r="AA43" s="59">
        <v>0</v>
      </c>
      <c r="AB43" s="59">
        <v>2</v>
      </c>
      <c r="AC43" s="59">
        <v>-2</v>
      </c>
      <c r="AD43" s="59">
        <v>0</v>
      </c>
      <c r="AE43" s="59">
        <v>1</v>
      </c>
      <c r="AF43" s="59">
        <v>-1</v>
      </c>
      <c r="AG43" s="59">
        <v>0</v>
      </c>
      <c r="AH43" s="59">
        <v>1.62</v>
      </c>
      <c r="AI43" s="59">
        <v>-1.62</v>
      </c>
      <c r="AJ43" s="59">
        <v>0</v>
      </c>
      <c r="AK43" s="59">
        <v>1.88</v>
      </c>
      <c r="AL43" s="59">
        <v>-1.88</v>
      </c>
      <c r="AM43" s="59">
        <v>0</v>
      </c>
      <c r="AN43" s="59">
        <v>1.38</v>
      </c>
      <c r="AO43" s="59">
        <v>-1.38</v>
      </c>
      <c r="AP43" s="59">
        <v>0</v>
      </c>
      <c r="AQ43" s="59">
        <v>1.62</v>
      </c>
      <c r="AR43" s="59">
        <v>-1.62</v>
      </c>
      <c r="AS43" s="59">
        <v>0</v>
      </c>
      <c r="AT43" s="59">
        <v>1.1200000000000001</v>
      </c>
      <c r="AU43" s="59">
        <v>-1.1200000000000001</v>
      </c>
      <c r="AV43" s="59">
        <v>0</v>
      </c>
      <c r="AW43" s="59">
        <v>2</v>
      </c>
      <c r="AX43" s="59">
        <v>-2</v>
      </c>
    </row>
    <row r="44" spans="2:50" x14ac:dyDescent="0.3">
      <c r="B44" s="59" t="s">
        <v>91</v>
      </c>
      <c r="C44" s="59">
        <v>1.95</v>
      </c>
      <c r="D44" s="59">
        <v>2.38</v>
      </c>
      <c r="E44" s="59">
        <v>-0.42</v>
      </c>
      <c r="F44" s="59">
        <v>2.2400000000000002</v>
      </c>
      <c r="G44" s="59">
        <v>1</v>
      </c>
      <c r="H44" s="59">
        <v>1.24</v>
      </c>
      <c r="I44" s="59">
        <v>0</v>
      </c>
      <c r="J44" s="59">
        <v>1.25</v>
      </c>
      <c r="K44" s="59">
        <v>-1.25</v>
      </c>
      <c r="L44" s="59">
        <v>0</v>
      </c>
      <c r="M44" s="59">
        <v>1.62</v>
      </c>
      <c r="N44" s="59">
        <v>-1.62</v>
      </c>
      <c r="O44" s="59">
        <v>0</v>
      </c>
      <c r="P44" s="59">
        <v>1.5</v>
      </c>
      <c r="Q44" s="59">
        <v>-1.5</v>
      </c>
      <c r="R44" s="59">
        <v>0</v>
      </c>
      <c r="S44" s="59">
        <v>1.38</v>
      </c>
      <c r="T44" s="59">
        <v>-1.38</v>
      </c>
      <c r="U44" s="59">
        <v>0</v>
      </c>
      <c r="V44" s="59">
        <v>1.5</v>
      </c>
      <c r="W44" s="59">
        <v>-1.5</v>
      </c>
      <c r="X44" s="59">
        <v>0</v>
      </c>
      <c r="Y44" s="59">
        <v>1.62</v>
      </c>
      <c r="Z44" s="59">
        <v>-1.62</v>
      </c>
      <c r="AA44" s="59">
        <v>0</v>
      </c>
      <c r="AB44" s="59">
        <v>2</v>
      </c>
      <c r="AC44" s="59">
        <v>-2</v>
      </c>
      <c r="AD44" s="59">
        <v>0</v>
      </c>
      <c r="AE44" s="59">
        <v>1</v>
      </c>
      <c r="AF44" s="59">
        <v>-1</v>
      </c>
      <c r="AG44" s="59">
        <v>0</v>
      </c>
      <c r="AH44" s="59">
        <v>1.62</v>
      </c>
      <c r="AI44" s="59">
        <v>-1.62</v>
      </c>
      <c r="AJ44" s="59">
        <v>0</v>
      </c>
      <c r="AK44" s="59">
        <v>1.88</v>
      </c>
      <c r="AL44" s="59">
        <v>-1.88</v>
      </c>
      <c r="AM44" s="59">
        <v>0</v>
      </c>
      <c r="AN44" s="59">
        <v>1.38</v>
      </c>
      <c r="AO44" s="59">
        <v>-1.38</v>
      </c>
      <c r="AP44" s="59">
        <v>0</v>
      </c>
      <c r="AQ44" s="59">
        <v>1.62</v>
      </c>
      <c r="AR44" s="59">
        <v>-1.62</v>
      </c>
      <c r="AS44" s="59">
        <v>0</v>
      </c>
      <c r="AT44" s="59">
        <v>1.1200000000000001</v>
      </c>
      <c r="AU44" s="59">
        <v>-1.1200000000000001</v>
      </c>
      <c r="AV44" s="59">
        <v>0</v>
      </c>
      <c r="AW44" s="59">
        <v>2</v>
      </c>
      <c r="AX44" s="59">
        <v>-2</v>
      </c>
    </row>
    <row r="45" spans="2:50" x14ac:dyDescent="0.3">
      <c r="B45" s="59" t="s">
        <v>92</v>
      </c>
      <c r="C45" s="59">
        <v>2</v>
      </c>
      <c r="D45" s="59">
        <v>2.38</v>
      </c>
      <c r="E45" s="59">
        <v>-0.38</v>
      </c>
      <c r="F45" s="59">
        <v>2.2400000000000002</v>
      </c>
      <c r="G45" s="59">
        <v>1</v>
      </c>
      <c r="H45" s="59">
        <v>1.24</v>
      </c>
      <c r="I45" s="59">
        <v>0</v>
      </c>
      <c r="J45" s="59">
        <v>1.25</v>
      </c>
      <c r="K45" s="59">
        <v>-1.25</v>
      </c>
      <c r="L45" s="59">
        <v>0</v>
      </c>
      <c r="M45" s="59">
        <v>1.62</v>
      </c>
      <c r="N45" s="59">
        <v>-1.62</v>
      </c>
      <c r="O45" s="59">
        <v>0</v>
      </c>
      <c r="P45" s="59">
        <v>1.5</v>
      </c>
      <c r="Q45" s="59">
        <v>-1.5</v>
      </c>
      <c r="R45" s="59">
        <v>0</v>
      </c>
      <c r="S45" s="59">
        <v>1.38</v>
      </c>
      <c r="T45" s="59">
        <v>-1.38</v>
      </c>
      <c r="U45" s="59">
        <v>0</v>
      </c>
      <c r="V45" s="59">
        <v>1.5</v>
      </c>
      <c r="W45" s="59">
        <v>-1.5</v>
      </c>
      <c r="X45" s="59">
        <v>0</v>
      </c>
      <c r="Y45" s="59">
        <v>1.62</v>
      </c>
      <c r="Z45" s="59">
        <v>-1.62</v>
      </c>
      <c r="AA45" s="59">
        <v>0</v>
      </c>
      <c r="AB45" s="59">
        <v>2</v>
      </c>
      <c r="AC45" s="59">
        <v>-2</v>
      </c>
      <c r="AD45" s="59">
        <v>0</v>
      </c>
      <c r="AE45" s="59">
        <v>1</v>
      </c>
      <c r="AF45" s="59">
        <v>-1</v>
      </c>
      <c r="AG45" s="59">
        <v>0</v>
      </c>
      <c r="AH45" s="59">
        <v>1.62</v>
      </c>
      <c r="AI45" s="59">
        <v>-1.62</v>
      </c>
      <c r="AJ45" s="59">
        <v>0</v>
      </c>
      <c r="AK45" s="59">
        <v>1.88</v>
      </c>
      <c r="AL45" s="59">
        <v>-1.88</v>
      </c>
      <c r="AM45" s="59">
        <v>0</v>
      </c>
      <c r="AN45" s="59">
        <v>1.38</v>
      </c>
      <c r="AO45" s="59">
        <v>-1.38</v>
      </c>
      <c r="AP45" s="59">
        <v>0</v>
      </c>
      <c r="AQ45" s="59">
        <v>1.62</v>
      </c>
      <c r="AR45" s="59">
        <v>-1.62</v>
      </c>
      <c r="AS45" s="59">
        <v>0</v>
      </c>
      <c r="AT45" s="59">
        <v>1.1200000000000001</v>
      </c>
      <c r="AU45" s="59">
        <v>-1.1200000000000001</v>
      </c>
      <c r="AV45" s="59">
        <v>0</v>
      </c>
      <c r="AW45" s="59">
        <v>2</v>
      </c>
      <c r="AX45" s="59">
        <v>-2</v>
      </c>
    </row>
    <row r="46" spans="2:50" x14ac:dyDescent="0.3">
      <c r="B46" s="59" t="s">
        <v>93</v>
      </c>
      <c r="C46" s="59">
        <v>1.05</v>
      </c>
      <c r="D46" s="59">
        <v>2.38</v>
      </c>
      <c r="E46" s="59">
        <v>-1.33</v>
      </c>
      <c r="F46" s="59">
        <v>2.2400000000000002</v>
      </c>
      <c r="G46" s="59">
        <v>1</v>
      </c>
      <c r="H46" s="59">
        <v>1.24</v>
      </c>
      <c r="I46" s="59">
        <v>0</v>
      </c>
      <c r="J46" s="59">
        <v>1.25</v>
      </c>
      <c r="K46" s="59">
        <v>-1.25</v>
      </c>
      <c r="L46" s="59">
        <v>0</v>
      </c>
      <c r="M46" s="59">
        <v>1.62</v>
      </c>
      <c r="N46" s="59">
        <v>-1.62</v>
      </c>
      <c r="O46" s="59">
        <v>0</v>
      </c>
      <c r="P46" s="59">
        <v>1.5</v>
      </c>
      <c r="Q46" s="59">
        <v>-1.5</v>
      </c>
      <c r="R46" s="59">
        <v>0</v>
      </c>
      <c r="S46" s="59">
        <v>1.38</v>
      </c>
      <c r="T46" s="59">
        <v>-1.38</v>
      </c>
      <c r="U46" s="59">
        <v>0</v>
      </c>
      <c r="V46" s="59">
        <v>1.5</v>
      </c>
      <c r="W46" s="59">
        <v>-1.5</v>
      </c>
      <c r="X46" s="59">
        <v>0</v>
      </c>
      <c r="Y46" s="59">
        <v>1.62</v>
      </c>
      <c r="Z46" s="59">
        <v>-1.62</v>
      </c>
      <c r="AA46" s="59">
        <v>0</v>
      </c>
      <c r="AB46" s="59">
        <v>2</v>
      </c>
      <c r="AC46" s="59">
        <v>-2</v>
      </c>
      <c r="AD46" s="59">
        <v>0</v>
      </c>
      <c r="AE46" s="59">
        <v>1</v>
      </c>
      <c r="AF46" s="59">
        <v>-1</v>
      </c>
      <c r="AG46" s="59">
        <v>0</v>
      </c>
      <c r="AH46" s="59">
        <v>1.62</v>
      </c>
      <c r="AI46" s="59">
        <v>-1.62</v>
      </c>
      <c r="AJ46" s="59">
        <v>0</v>
      </c>
      <c r="AK46" s="59">
        <v>1.88</v>
      </c>
      <c r="AL46" s="59">
        <v>-1.88</v>
      </c>
      <c r="AM46" s="59">
        <v>0</v>
      </c>
      <c r="AN46" s="59">
        <v>1.38</v>
      </c>
      <c r="AO46" s="59">
        <v>-1.38</v>
      </c>
      <c r="AP46" s="59">
        <v>0</v>
      </c>
      <c r="AQ46" s="59">
        <v>1.62</v>
      </c>
      <c r="AR46" s="59">
        <v>-1.62</v>
      </c>
      <c r="AS46" s="59">
        <v>0</v>
      </c>
      <c r="AT46" s="59">
        <v>1.1200000000000001</v>
      </c>
      <c r="AU46" s="59">
        <v>-1.1200000000000001</v>
      </c>
      <c r="AV46" s="59">
        <v>0</v>
      </c>
      <c r="AW46" s="59">
        <v>2</v>
      </c>
      <c r="AX46" s="59">
        <v>-2</v>
      </c>
    </row>
    <row r="47" spans="2:50" x14ac:dyDescent="0.3">
      <c r="B47" s="59" t="s">
        <v>94</v>
      </c>
      <c r="C47" s="59">
        <v>2.14</v>
      </c>
      <c r="D47" s="59">
        <v>2.38</v>
      </c>
      <c r="E47" s="59">
        <v>-0.23</v>
      </c>
      <c r="F47" s="59">
        <v>2.2400000000000002</v>
      </c>
      <c r="G47" s="59">
        <v>1</v>
      </c>
      <c r="H47" s="59">
        <v>1.24</v>
      </c>
      <c r="I47" s="59">
        <v>0</v>
      </c>
      <c r="J47" s="59">
        <v>1.25</v>
      </c>
      <c r="K47" s="59">
        <v>-1.25</v>
      </c>
      <c r="L47" s="59">
        <v>0</v>
      </c>
      <c r="M47" s="59">
        <v>1.62</v>
      </c>
      <c r="N47" s="59">
        <v>-1.62</v>
      </c>
      <c r="O47" s="59">
        <v>0</v>
      </c>
      <c r="P47" s="59">
        <v>1.5</v>
      </c>
      <c r="Q47" s="59">
        <v>-1.5</v>
      </c>
      <c r="R47" s="59">
        <v>0</v>
      </c>
      <c r="S47" s="59">
        <v>1.38</v>
      </c>
      <c r="T47" s="59">
        <v>-1.38</v>
      </c>
      <c r="U47" s="59">
        <v>0</v>
      </c>
      <c r="V47" s="59">
        <v>1.5</v>
      </c>
      <c r="W47" s="59">
        <v>-1.5</v>
      </c>
      <c r="X47" s="59">
        <v>0</v>
      </c>
      <c r="Y47" s="59">
        <v>1.62</v>
      </c>
      <c r="Z47" s="59">
        <v>-1.62</v>
      </c>
      <c r="AA47" s="59">
        <v>0</v>
      </c>
      <c r="AB47" s="59">
        <v>2</v>
      </c>
      <c r="AC47" s="59">
        <v>-2</v>
      </c>
      <c r="AD47" s="59">
        <v>0</v>
      </c>
      <c r="AE47" s="59">
        <v>1</v>
      </c>
      <c r="AF47" s="59">
        <v>-1</v>
      </c>
      <c r="AG47" s="59">
        <v>0</v>
      </c>
      <c r="AH47" s="59">
        <v>1.62</v>
      </c>
      <c r="AI47" s="59">
        <v>-1.62</v>
      </c>
      <c r="AJ47" s="59">
        <v>0</v>
      </c>
      <c r="AK47" s="59">
        <v>1.88</v>
      </c>
      <c r="AL47" s="59">
        <v>-1.88</v>
      </c>
      <c r="AM47" s="59">
        <v>0</v>
      </c>
      <c r="AN47" s="59">
        <v>1.38</v>
      </c>
      <c r="AO47" s="59">
        <v>-1.38</v>
      </c>
      <c r="AP47" s="59">
        <v>0</v>
      </c>
      <c r="AQ47" s="59">
        <v>1.62</v>
      </c>
      <c r="AR47" s="59">
        <v>-1.62</v>
      </c>
      <c r="AS47" s="59">
        <v>0</v>
      </c>
      <c r="AT47" s="59">
        <v>1.1200000000000001</v>
      </c>
      <c r="AU47" s="59">
        <v>-1.1200000000000001</v>
      </c>
      <c r="AV47" s="59">
        <v>0</v>
      </c>
      <c r="AW47" s="59">
        <v>2</v>
      </c>
      <c r="AX47" s="59">
        <v>-2</v>
      </c>
    </row>
    <row r="48" spans="2:50" x14ac:dyDescent="0.3">
      <c r="B48" s="59" t="s">
        <v>95</v>
      </c>
      <c r="C48" s="59">
        <v>1.24</v>
      </c>
      <c r="D48" s="59">
        <v>2.38</v>
      </c>
      <c r="E48" s="59">
        <v>-1.1399999999999999</v>
      </c>
      <c r="F48" s="59">
        <v>2.2400000000000002</v>
      </c>
      <c r="G48" s="59">
        <v>1</v>
      </c>
      <c r="H48" s="59">
        <v>1.24</v>
      </c>
      <c r="I48" s="59">
        <v>0</v>
      </c>
      <c r="J48" s="59">
        <v>1.25</v>
      </c>
      <c r="K48" s="59">
        <v>-1.25</v>
      </c>
      <c r="L48" s="59">
        <v>0</v>
      </c>
      <c r="M48" s="59">
        <v>1.62</v>
      </c>
      <c r="N48" s="59">
        <v>-1.62</v>
      </c>
      <c r="O48" s="59">
        <v>0</v>
      </c>
      <c r="P48" s="59">
        <v>1.5</v>
      </c>
      <c r="Q48" s="59">
        <v>-1.5</v>
      </c>
      <c r="R48" s="59">
        <v>0</v>
      </c>
      <c r="S48" s="59">
        <v>1.38</v>
      </c>
      <c r="T48" s="59">
        <v>-1.38</v>
      </c>
      <c r="U48" s="59">
        <v>0</v>
      </c>
      <c r="V48" s="59">
        <v>1.5</v>
      </c>
      <c r="W48" s="59">
        <v>-1.5</v>
      </c>
      <c r="X48" s="59">
        <v>0</v>
      </c>
      <c r="Y48" s="59">
        <v>1.62</v>
      </c>
      <c r="Z48" s="59">
        <v>-1.62</v>
      </c>
      <c r="AA48" s="59">
        <v>0</v>
      </c>
      <c r="AB48" s="59">
        <v>2</v>
      </c>
      <c r="AC48" s="59">
        <v>-2</v>
      </c>
      <c r="AD48" s="59">
        <v>0</v>
      </c>
      <c r="AE48" s="59">
        <v>1</v>
      </c>
      <c r="AF48" s="59">
        <v>-1</v>
      </c>
      <c r="AG48" s="59">
        <v>0</v>
      </c>
      <c r="AH48" s="59">
        <v>1.62</v>
      </c>
      <c r="AI48" s="59">
        <v>-1.62</v>
      </c>
      <c r="AJ48" s="59">
        <v>0</v>
      </c>
      <c r="AK48" s="59">
        <v>1.88</v>
      </c>
      <c r="AL48" s="59">
        <v>-1.88</v>
      </c>
      <c r="AM48" s="59">
        <v>0</v>
      </c>
      <c r="AN48" s="59">
        <v>1.38</v>
      </c>
      <c r="AO48" s="59">
        <v>-1.38</v>
      </c>
      <c r="AP48" s="59">
        <v>0</v>
      </c>
      <c r="AQ48" s="59">
        <v>1.62</v>
      </c>
      <c r="AR48" s="59">
        <v>-1.62</v>
      </c>
      <c r="AS48" s="59">
        <v>0</v>
      </c>
      <c r="AT48" s="59">
        <v>1.1200000000000001</v>
      </c>
      <c r="AU48" s="59">
        <v>-1.1200000000000001</v>
      </c>
      <c r="AV48" s="59">
        <v>0</v>
      </c>
      <c r="AW48" s="59">
        <v>2</v>
      </c>
      <c r="AX48" s="59">
        <v>-2</v>
      </c>
    </row>
    <row r="49" spans="2:50" x14ac:dyDescent="0.3">
      <c r="B49" s="59" t="s">
        <v>96</v>
      </c>
      <c r="C49" s="59">
        <v>0.81</v>
      </c>
      <c r="D49" s="59">
        <v>2.38</v>
      </c>
      <c r="E49" s="59">
        <v>-1.57</v>
      </c>
      <c r="F49" s="59">
        <v>2.2400000000000002</v>
      </c>
      <c r="G49" s="59">
        <v>1</v>
      </c>
      <c r="H49" s="59">
        <v>1.24</v>
      </c>
      <c r="I49" s="59">
        <v>0</v>
      </c>
      <c r="J49" s="59">
        <v>1.25</v>
      </c>
      <c r="K49" s="59">
        <v>-1.25</v>
      </c>
      <c r="L49" s="59">
        <v>0</v>
      </c>
      <c r="M49" s="59">
        <v>1.62</v>
      </c>
      <c r="N49" s="59">
        <v>-1.62</v>
      </c>
      <c r="O49" s="59">
        <v>0</v>
      </c>
      <c r="P49" s="59">
        <v>1.5</v>
      </c>
      <c r="Q49" s="59">
        <v>-1.5</v>
      </c>
      <c r="R49" s="59">
        <v>0</v>
      </c>
      <c r="S49" s="59">
        <v>1.38</v>
      </c>
      <c r="T49" s="59">
        <v>-1.38</v>
      </c>
      <c r="U49" s="59">
        <v>0</v>
      </c>
      <c r="V49" s="59">
        <v>1.5</v>
      </c>
      <c r="W49" s="59">
        <v>-1.5</v>
      </c>
      <c r="X49" s="59">
        <v>0</v>
      </c>
      <c r="Y49" s="59">
        <v>1.62</v>
      </c>
      <c r="Z49" s="59">
        <v>-1.62</v>
      </c>
      <c r="AA49" s="59">
        <v>0</v>
      </c>
      <c r="AB49" s="59">
        <v>2</v>
      </c>
      <c r="AC49" s="59">
        <v>-2</v>
      </c>
      <c r="AD49" s="59">
        <v>0</v>
      </c>
      <c r="AE49" s="59">
        <v>1</v>
      </c>
      <c r="AF49" s="59">
        <v>-1</v>
      </c>
      <c r="AG49" s="59">
        <v>0</v>
      </c>
      <c r="AH49" s="59">
        <v>1.62</v>
      </c>
      <c r="AI49" s="59">
        <v>-1.62</v>
      </c>
      <c r="AJ49" s="59">
        <v>0</v>
      </c>
      <c r="AK49" s="59">
        <v>1.88</v>
      </c>
      <c r="AL49" s="59">
        <v>-1.88</v>
      </c>
      <c r="AM49" s="59">
        <v>0</v>
      </c>
      <c r="AN49" s="59">
        <v>1.38</v>
      </c>
      <c r="AO49" s="59">
        <v>-1.38</v>
      </c>
      <c r="AP49" s="59">
        <v>0</v>
      </c>
      <c r="AQ49" s="59">
        <v>1.62</v>
      </c>
      <c r="AR49" s="59">
        <v>-1.62</v>
      </c>
      <c r="AS49" s="59">
        <v>0</v>
      </c>
      <c r="AT49" s="59">
        <v>1.1200000000000001</v>
      </c>
      <c r="AU49" s="59">
        <v>-1.1200000000000001</v>
      </c>
      <c r="AV49" s="59">
        <v>0</v>
      </c>
      <c r="AW49" s="59">
        <v>2</v>
      </c>
      <c r="AX49" s="59">
        <v>-2</v>
      </c>
    </row>
    <row r="50" spans="2:50" x14ac:dyDescent="0.3">
      <c r="B50" s="59" t="s">
        <v>97</v>
      </c>
      <c r="C50" s="59">
        <v>1.9</v>
      </c>
      <c r="D50" s="59">
        <v>2.38</v>
      </c>
      <c r="E50" s="59">
        <v>-0.47</v>
      </c>
      <c r="F50" s="59">
        <v>2.2400000000000002</v>
      </c>
      <c r="G50" s="59">
        <v>1</v>
      </c>
      <c r="H50" s="59">
        <v>1.24</v>
      </c>
      <c r="I50" s="59">
        <v>0</v>
      </c>
      <c r="J50" s="59">
        <v>1.25</v>
      </c>
      <c r="K50" s="59">
        <v>-1.25</v>
      </c>
      <c r="L50" s="59">
        <v>0</v>
      </c>
      <c r="M50" s="59">
        <v>1.62</v>
      </c>
      <c r="N50" s="59">
        <v>-1.62</v>
      </c>
      <c r="O50" s="59">
        <v>0</v>
      </c>
      <c r="P50" s="59">
        <v>1.5</v>
      </c>
      <c r="Q50" s="59">
        <v>-1.5</v>
      </c>
      <c r="R50" s="59">
        <v>0</v>
      </c>
      <c r="S50" s="59">
        <v>1.38</v>
      </c>
      <c r="T50" s="59">
        <v>-1.38</v>
      </c>
      <c r="U50" s="59">
        <v>0</v>
      </c>
      <c r="V50" s="59">
        <v>1.5</v>
      </c>
      <c r="W50" s="59">
        <v>-1.5</v>
      </c>
      <c r="X50" s="59">
        <v>0</v>
      </c>
      <c r="Y50" s="59">
        <v>1.62</v>
      </c>
      <c r="Z50" s="59">
        <v>-1.62</v>
      </c>
      <c r="AA50" s="59">
        <v>0</v>
      </c>
      <c r="AB50" s="59">
        <v>2</v>
      </c>
      <c r="AC50" s="59">
        <v>-2</v>
      </c>
      <c r="AD50" s="59">
        <v>0</v>
      </c>
      <c r="AE50" s="59">
        <v>1</v>
      </c>
      <c r="AF50" s="59">
        <v>-1</v>
      </c>
      <c r="AG50" s="59">
        <v>0</v>
      </c>
      <c r="AH50" s="59">
        <v>1.62</v>
      </c>
      <c r="AI50" s="59">
        <v>-1.62</v>
      </c>
      <c r="AJ50" s="59">
        <v>0</v>
      </c>
      <c r="AK50" s="59">
        <v>1.88</v>
      </c>
      <c r="AL50" s="59">
        <v>-1.88</v>
      </c>
      <c r="AM50" s="59">
        <v>0</v>
      </c>
      <c r="AN50" s="59">
        <v>1.38</v>
      </c>
      <c r="AO50" s="59">
        <v>-1.38</v>
      </c>
      <c r="AP50" s="59">
        <v>0</v>
      </c>
      <c r="AQ50" s="59">
        <v>1.62</v>
      </c>
      <c r="AR50" s="59">
        <v>-1.62</v>
      </c>
      <c r="AS50" s="59">
        <v>0</v>
      </c>
      <c r="AT50" s="59">
        <v>1.1200000000000001</v>
      </c>
      <c r="AU50" s="59">
        <v>-1.1200000000000001</v>
      </c>
      <c r="AV50" s="59">
        <v>0</v>
      </c>
      <c r="AW50" s="59">
        <v>2</v>
      </c>
      <c r="AX50" s="59">
        <v>-2</v>
      </c>
    </row>
    <row r="51" spans="2:50" x14ac:dyDescent="0.3">
      <c r="B51" s="59" t="s">
        <v>98</v>
      </c>
      <c r="C51" s="59">
        <v>3.52</v>
      </c>
      <c r="D51" s="59">
        <v>2.38</v>
      </c>
      <c r="E51" s="59">
        <v>1.1499999999999999</v>
      </c>
      <c r="F51" s="59">
        <v>2.2400000000000002</v>
      </c>
      <c r="G51" s="59">
        <v>1</v>
      </c>
      <c r="H51" s="59">
        <v>1.24</v>
      </c>
      <c r="I51" s="59">
        <v>0</v>
      </c>
      <c r="J51" s="59">
        <v>1.25</v>
      </c>
      <c r="K51" s="59">
        <v>-1.25</v>
      </c>
      <c r="L51" s="59">
        <v>0</v>
      </c>
      <c r="M51" s="59">
        <v>1.62</v>
      </c>
      <c r="N51" s="59">
        <v>-1.62</v>
      </c>
      <c r="O51" s="59">
        <v>0</v>
      </c>
      <c r="P51" s="59">
        <v>1.5</v>
      </c>
      <c r="Q51" s="59">
        <v>-1.5</v>
      </c>
      <c r="R51" s="59">
        <v>0</v>
      </c>
      <c r="S51" s="59">
        <v>1.38</v>
      </c>
      <c r="T51" s="59">
        <v>-1.38</v>
      </c>
      <c r="U51" s="59">
        <v>0</v>
      </c>
      <c r="V51" s="59">
        <v>1.5</v>
      </c>
      <c r="W51" s="59">
        <v>-1.5</v>
      </c>
      <c r="X51" s="59">
        <v>0</v>
      </c>
      <c r="Y51" s="59">
        <v>1.62</v>
      </c>
      <c r="Z51" s="59">
        <v>-1.62</v>
      </c>
      <c r="AA51" s="59">
        <v>0</v>
      </c>
      <c r="AB51" s="59">
        <v>2</v>
      </c>
      <c r="AC51" s="59">
        <v>-2</v>
      </c>
      <c r="AD51" s="59">
        <v>0</v>
      </c>
      <c r="AE51" s="59">
        <v>1</v>
      </c>
      <c r="AF51" s="59">
        <v>-1</v>
      </c>
      <c r="AG51" s="59">
        <v>0</v>
      </c>
      <c r="AH51" s="59">
        <v>1.62</v>
      </c>
      <c r="AI51" s="59">
        <v>-1.62</v>
      </c>
      <c r="AJ51" s="59">
        <v>0</v>
      </c>
      <c r="AK51" s="59">
        <v>1.88</v>
      </c>
      <c r="AL51" s="59">
        <v>-1.88</v>
      </c>
      <c r="AM51" s="59">
        <v>0</v>
      </c>
      <c r="AN51" s="59">
        <v>1.38</v>
      </c>
      <c r="AO51" s="59">
        <v>-1.38</v>
      </c>
      <c r="AP51" s="59">
        <v>0</v>
      </c>
      <c r="AQ51" s="59">
        <v>1.62</v>
      </c>
      <c r="AR51" s="59">
        <v>-1.62</v>
      </c>
      <c r="AS51" s="59">
        <v>0</v>
      </c>
      <c r="AT51" s="59">
        <v>1.1200000000000001</v>
      </c>
      <c r="AU51" s="59">
        <v>-1.1200000000000001</v>
      </c>
      <c r="AV51" s="59">
        <v>0</v>
      </c>
      <c r="AW51" s="59">
        <v>2</v>
      </c>
      <c r="AX51" s="59">
        <v>-2</v>
      </c>
    </row>
    <row r="52" spans="2:50" x14ac:dyDescent="0.3">
      <c r="B52" s="59" t="s">
        <v>99</v>
      </c>
      <c r="C52" s="59">
        <v>1.48</v>
      </c>
      <c r="D52" s="59">
        <v>2.38</v>
      </c>
      <c r="E52" s="59">
        <v>-0.9</v>
      </c>
      <c r="F52" s="59">
        <v>2.2400000000000002</v>
      </c>
      <c r="G52" s="59">
        <v>1</v>
      </c>
      <c r="H52" s="59">
        <v>1.24</v>
      </c>
      <c r="I52" s="59">
        <v>0</v>
      </c>
      <c r="J52" s="59">
        <v>1.25</v>
      </c>
      <c r="K52" s="59">
        <v>-1.25</v>
      </c>
      <c r="L52" s="59">
        <v>0</v>
      </c>
      <c r="M52" s="59">
        <v>1.62</v>
      </c>
      <c r="N52" s="59">
        <v>-1.62</v>
      </c>
      <c r="O52" s="59">
        <v>0</v>
      </c>
      <c r="P52" s="59">
        <v>1.5</v>
      </c>
      <c r="Q52" s="59">
        <v>-1.5</v>
      </c>
      <c r="R52" s="59">
        <v>0</v>
      </c>
      <c r="S52" s="59">
        <v>1.38</v>
      </c>
      <c r="T52" s="59">
        <v>-1.38</v>
      </c>
      <c r="U52" s="59">
        <v>0</v>
      </c>
      <c r="V52" s="59">
        <v>1.5</v>
      </c>
      <c r="W52" s="59">
        <v>-1.5</v>
      </c>
      <c r="X52" s="59">
        <v>0</v>
      </c>
      <c r="Y52" s="59">
        <v>1.62</v>
      </c>
      <c r="Z52" s="59">
        <v>-1.62</v>
      </c>
      <c r="AA52" s="59">
        <v>0</v>
      </c>
      <c r="AB52" s="59">
        <v>2</v>
      </c>
      <c r="AC52" s="59">
        <v>-2</v>
      </c>
      <c r="AD52" s="59">
        <v>0</v>
      </c>
      <c r="AE52" s="59">
        <v>1</v>
      </c>
      <c r="AF52" s="59">
        <v>-1</v>
      </c>
      <c r="AG52" s="59">
        <v>0</v>
      </c>
      <c r="AH52" s="59">
        <v>1.62</v>
      </c>
      <c r="AI52" s="59">
        <v>-1.62</v>
      </c>
      <c r="AJ52" s="59">
        <v>0</v>
      </c>
      <c r="AK52" s="59">
        <v>1.88</v>
      </c>
      <c r="AL52" s="59">
        <v>-1.88</v>
      </c>
      <c r="AM52" s="59">
        <v>0</v>
      </c>
      <c r="AN52" s="59">
        <v>1.38</v>
      </c>
      <c r="AO52" s="59">
        <v>-1.38</v>
      </c>
      <c r="AP52" s="59">
        <v>0</v>
      </c>
      <c r="AQ52" s="59">
        <v>1.62</v>
      </c>
      <c r="AR52" s="59">
        <v>-1.62</v>
      </c>
      <c r="AS52" s="59">
        <v>0</v>
      </c>
      <c r="AT52" s="59">
        <v>1.1200000000000001</v>
      </c>
      <c r="AU52" s="59">
        <v>-1.1200000000000001</v>
      </c>
      <c r="AV52" s="59">
        <v>0</v>
      </c>
      <c r="AW52" s="59">
        <v>2</v>
      </c>
      <c r="AX52" s="59">
        <v>-2</v>
      </c>
    </row>
    <row r="53" spans="2:50" x14ac:dyDescent="0.3">
      <c r="B53" s="59" t="s">
        <v>100</v>
      </c>
      <c r="C53" s="59">
        <v>1.71</v>
      </c>
      <c r="D53" s="59">
        <v>2.38</v>
      </c>
      <c r="E53" s="59">
        <v>-0.66</v>
      </c>
      <c r="F53" s="59">
        <v>2.2400000000000002</v>
      </c>
      <c r="G53" s="59">
        <v>1</v>
      </c>
      <c r="H53" s="59">
        <v>1.24</v>
      </c>
      <c r="I53" s="59">
        <v>0</v>
      </c>
      <c r="J53" s="59">
        <v>1.25</v>
      </c>
      <c r="K53" s="59">
        <v>-1.25</v>
      </c>
      <c r="L53" s="59">
        <v>0</v>
      </c>
      <c r="M53" s="59">
        <v>1.62</v>
      </c>
      <c r="N53" s="59">
        <v>-1.62</v>
      </c>
      <c r="O53" s="59">
        <v>0</v>
      </c>
      <c r="P53" s="59">
        <v>1.5</v>
      </c>
      <c r="Q53" s="59">
        <v>-1.5</v>
      </c>
      <c r="R53" s="59">
        <v>0</v>
      </c>
      <c r="S53" s="59">
        <v>1.38</v>
      </c>
      <c r="T53" s="59">
        <v>-1.38</v>
      </c>
      <c r="U53" s="59">
        <v>0</v>
      </c>
      <c r="V53" s="59">
        <v>1.5</v>
      </c>
      <c r="W53" s="59">
        <v>-1.5</v>
      </c>
      <c r="X53" s="59">
        <v>0</v>
      </c>
      <c r="Y53" s="59">
        <v>1.62</v>
      </c>
      <c r="Z53" s="59">
        <v>-1.62</v>
      </c>
      <c r="AA53" s="59">
        <v>0</v>
      </c>
      <c r="AB53" s="59">
        <v>2</v>
      </c>
      <c r="AC53" s="59">
        <v>-2</v>
      </c>
      <c r="AD53" s="59">
        <v>0</v>
      </c>
      <c r="AE53" s="59">
        <v>1</v>
      </c>
      <c r="AF53" s="59">
        <v>-1</v>
      </c>
      <c r="AG53" s="59">
        <v>0</v>
      </c>
      <c r="AH53" s="59">
        <v>1.62</v>
      </c>
      <c r="AI53" s="59">
        <v>-1.62</v>
      </c>
      <c r="AJ53" s="59">
        <v>0</v>
      </c>
      <c r="AK53" s="59">
        <v>1.88</v>
      </c>
      <c r="AL53" s="59">
        <v>-1.88</v>
      </c>
      <c r="AM53" s="59">
        <v>0</v>
      </c>
      <c r="AN53" s="59">
        <v>1.38</v>
      </c>
      <c r="AO53" s="59">
        <v>-1.38</v>
      </c>
      <c r="AP53" s="59">
        <v>0</v>
      </c>
      <c r="AQ53" s="59">
        <v>1.62</v>
      </c>
      <c r="AR53" s="59">
        <v>-1.62</v>
      </c>
      <c r="AS53" s="59">
        <v>0</v>
      </c>
      <c r="AT53" s="59">
        <v>1.1200000000000001</v>
      </c>
      <c r="AU53" s="59">
        <v>-1.1200000000000001</v>
      </c>
      <c r="AV53" s="59">
        <v>0</v>
      </c>
      <c r="AW53" s="59">
        <v>2</v>
      </c>
      <c r="AX53" s="59">
        <v>-2</v>
      </c>
    </row>
    <row r="54" spans="2:50" x14ac:dyDescent="0.3">
      <c r="B54" s="59" t="s">
        <v>101</v>
      </c>
      <c r="C54" s="59">
        <v>1.95</v>
      </c>
      <c r="D54" s="59">
        <v>2.38</v>
      </c>
      <c r="E54" s="59">
        <v>-0.42</v>
      </c>
      <c r="F54" s="59">
        <v>1.67</v>
      </c>
      <c r="G54" s="59">
        <v>1</v>
      </c>
      <c r="H54" s="59">
        <v>0.67</v>
      </c>
      <c r="I54" s="59">
        <v>0</v>
      </c>
      <c r="J54" s="59">
        <v>1.25</v>
      </c>
      <c r="K54" s="59">
        <v>-1.25</v>
      </c>
      <c r="L54" s="59">
        <v>0</v>
      </c>
      <c r="M54" s="59">
        <v>1.62</v>
      </c>
      <c r="N54" s="59">
        <v>-1.62</v>
      </c>
      <c r="O54" s="59">
        <v>0</v>
      </c>
      <c r="P54" s="59">
        <v>1.5</v>
      </c>
      <c r="Q54" s="59">
        <v>-1.5</v>
      </c>
      <c r="R54" s="59">
        <v>0</v>
      </c>
      <c r="S54" s="59">
        <v>1.38</v>
      </c>
      <c r="T54" s="59">
        <v>-1.38</v>
      </c>
      <c r="U54" s="59">
        <v>0</v>
      </c>
      <c r="V54" s="59">
        <v>1.5</v>
      </c>
      <c r="W54" s="59">
        <v>-1.5</v>
      </c>
      <c r="X54" s="59">
        <v>0</v>
      </c>
      <c r="Y54" s="59">
        <v>1.62</v>
      </c>
      <c r="Z54" s="59">
        <v>-1.62</v>
      </c>
      <c r="AA54" s="59">
        <v>0</v>
      </c>
      <c r="AB54" s="59">
        <v>2</v>
      </c>
      <c r="AC54" s="59">
        <v>-2</v>
      </c>
      <c r="AD54" s="59">
        <v>0</v>
      </c>
      <c r="AE54" s="59">
        <v>1</v>
      </c>
      <c r="AF54" s="59">
        <v>-1</v>
      </c>
      <c r="AG54" s="59">
        <v>0</v>
      </c>
      <c r="AH54" s="59">
        <v>1.62</v>
      </c>
      <c r="AI54" s="59">
        <v>-1.62</v>
      </c>
      <c r="AJ54" s="59">
        <v>0</v>
      </c>
      <c r="AK54" s="59">
        <v>1.88</v>
      </c>
      <c r="AL54" s="59">
        <v>-1.88</v>
      </c>
      <c r="AM54" s="59">
        <v>0</v>
      </c>
      <c r="AN54" s="59">
        <v>1.38</v>
      </c>
      <c r="AO54" s="59">
        <v>-1.38</v>
      </c>
      <c r="AP54" s="59">
        <v>0</v>
      </c>
      <c r="AQ54" s="59">
        <v>1.62</v>
      </c>
      <c r="AR54" s="59">
        <v>-1.62</v>
      </c>
      <c r="AS54" s="59">
        <v>0</v>
      </c>
      <c r="AT54" s="59">
        <v>1.1200000000000001</v>
      </c>
      <c r="AU54" s="59">
        <v>-1.1200000000000001</v>
      </c>
      <c r="AV54" s="59">
        <v>0</v>
      </c>
      <c r="AW54" s="59">
        <v>2</v>
      </c>
      <c r="AX54" s="59">
        <v>-2</v>
      </c>
    </row>
    <row r="55" spans="2:50" x14ac:dyDescent="0.3">
      <c r="B55" s="59" t="s">
        <v>102</v>
      </c>
      <c r="C55" s="59">
        <v>1.38</v>
      </c>
      <c r="D55" s="59">
        <v>2.38</v>
      </c>
      <c r="E55" s="59">
        <v>-0.99</v>
      </c>
      <c r="F55" s="59">
        <v>1.67</v>
      </c>
      <c r="G55" s="59">
        <v>1</v>
      </c>
      <c r="H55" s="59">
        <v>0.67</v>
      </c>
      <c r="I55" s="59">
        <v>0</v>
      </c>
      <c r="J55" s="59">
        <v>1.25</v>
      </c>
      <c r="K55" s="59">
        <v>-1.25</v>
      </c>
      <c r="L55" s="59">
        <v>0</v>
      </c>
      <c r="M55" s="59">
        <v>1.62</v>
      </c>
      <c r="N55" s="59">
        <v>-1.62</v>
      </c>
      <c r="O55" s="59">
        <v>0</v>
      </c>
      <c r="P55" s="59">
        <v>1.5</v>
      </c>
      <c r="Q55" s="59">
        <v>-1.5</v>
      </c>
      <c r="R55" s="59">
        <v>0</v>
      </c>
      <c r="S55" s="59">
        <v>1.38</v>
      </c>
      <c r="T55" s="59">
        <v>-1.38</v>
      </c>
      <c r="U55" s="59">
        <v>0</v>
      </c>
      <c r="V55" s="59">
        <v>1.5</v>
      </c>
      <c r="W55" s="59">
        <v>-1.5</v>
      </c>
      <c r="X55" s="59">
        <v>0</v>
      </c>
      <c r="Y55" s="59">
        <v>1.62</v>
      </c>
      <c r="Z55" s="59">
        <v>-1.62</v>
      </c>
      <c r="AA55" s="59">
        <v>0</v>
      </c>
      <c r="AB55" s="59">
        <v>2</v>
      </c>
      <c r="AC55" s="59">
        <v>-2</v>
      </c>
      <c r="AD55" s="59">
        <v>0</v>
      </c>
      <c r="AE55" s="59">
        <v>1</v>
      </c>
      <c r="AF55" s="59">
        <v>-1</v>
      </c>
      <c r="AG55" s="59">
        <v>0</v>
      </c>
      <c r="AH55" s="59">
        <v>1.62</v>
      </c>
      <c r="AI55" s="59">
        <v>-1.62</v>
      </c>
      <c r="AJ55" s="59">
        <v>0</v>
      </c>
      <c r="AK55" s="59">
        <v>1.88</v>
      </c>
      <c r="AL55" s="59">
        <v>-1.88</v>
      </c>
      <c r="AM55" s="59">
        <v>0</v>
      </c>
      <c r="AN55" s="59">
        <v>1.38</v>
      </c>
      <c r="AO55" s="59">
        <v>-1.38</v>
      </c>
      <c r="AP55" s="59">
        <v>0</v>
      </c>
      <c r="AQ55" s="59">
        <v>1.62</v>
      </c>
      <c r="AR55" s="59">
        <v>-1.62</v>
      </c>
      <c r="AS55" s="59">
        <v>0</v>
      </c>
      <c r="AT55" s="59">
        <v>1.1200000000000001</v>
      </c>
      <c r="AU55" s="59">
        <v>-1.1200000000000001</v>
      </c>
      <c r="AV55" s="59">
        <v>0</v>
      </c>
      <c r="AW55" s="59">
        <v>2</v>
      </c>
      <c r="AX55" s="59">
        <v>-2</v>
      </c>
    </row>
    <row r="56" spans="2:50" x14ac:dyDescent="0.3">
      <c r="B56" s="59" t="s">
        <v>103</v>
      </c>
      <c r="C56" s="59">
        <v>1.57</v>
      </c>
      <c r="D56" s="59">
        <v>2.38</v>
      </c>
      <c r="E56" s="59">
        <v>-0.8</v>
      </c>
      <c r="F56" s="59">
        <v>1.67</v>
      </c>
      <c r="G56" s="59">
        <v>1</v>
      </c>
      <c r="H56" s="59">
        <v>0.67</v>
      </c>
      <c r="I56" s="59">
        <v>0</v>
      </c>
      <c r="J56" s="59">
        <v>1.25</v>
      </c>
      <c r="K56" s="59">
        <v>-1.25</v>
      </c>
      <c r="L56" s="59">
        <v>0</v>
      </c>
      <c r="M56" s="59">
        <v>1.62</v>
      </c>
      <c r="N56" s="59">
        <v>-1.62</v>
      </c>
      <c r="O56" s="59">
        <v>0</v>
      </c>
      <c r="P56" s="59">
        <v>1.5</v>
      </c>
      <c r="Q56" s="59">
        <v>-1.5</v>
      </c>
      <c r="R56" s="59">
        <v>0</v>
      </c>
      <c r="S56" s="59">
        <v>1.38</v>
      </c>
      <c r="T56" s="59">
        <v>-1.38</v>
      </c>
      <c r="U56" s="59">
        <v>0</v>
      </c>
      <c r="V56" s="59">
        <v>1.5</v>
      </c>
      <c r="W56" s="59">
        <v>-1.5</v>
      </c>
      <c r="X56" s="59">
        <v>0</v>
      </c>
      <c r="Y56" s="59">
        <v>1.62</v>
      </c>
      <c r="Z56" s="59">
        <v>-1.62</v>
      </c>
      <c r="AA56" s="59">
        <v>0</v>
      </c>
      <c r="AB56" s="59">
        <v>2</v>
      </c>
      <c r="AC56" s="59">
        <v>-2</v>
      </c>
      <c r="AD56" s="59">
        <v>0</v>
      </c>
      <c r="AE56" s="59">
        <v>1</v>
      </c>
      <c r="AF56" s="59">
        <v>-1</v>
      </c>
      <c r="AG56" s="59">
        <v>0</v>
      </c>
      <c r="AH56" s="59">
        <v>1.62</v>
      </c>
      <c r="AI56" s="59">
        <v>-1.62</v>
      </c>
      <c r="AJ56" s="59">
        <v>0</v>
      </c>
      <c r="AK56" s="59">
        <v>1.88</v>
      </c>
      <c r="AL56" s="59">
        <v>-1.88</v>
      </c>
      <c r="AM56" s="59">
        <v>0</v>
      </c>
      <c r="AN56" s="59">
        <v>1.38</v>
      </c>
      <c r="AO56" s="59">
        <v>-1.38</v>
      </c>
      <c r="AP56" s="59">
        <v>0</v>
      </c>
      <c r="AQ56" s="59">
        <v>1.62</v>
      </c>
      <c r="AR56" s="59">
        <v>-1.62</v>
      </c>
      <c r="AS56" s="59">
        <v>0</v>
      </c>
      <c r="AT56" s="59">
        <v>1.1200000000000001</v>
      </c>
      <c r="AU56" s="59">
        <v>-1.1200000000000001</v>
      </c>
      <c r="AV56" s="59">
        <v>0</v>
      </c>
      <c r="AW56" s="59">
        <v>2</v>
      </c>
      <c r="AX56" s="59">
        <v>-2</v>
      </c>
    </row>
    <row r="57" spans="2:50" x14ac:dyDescent="0.3">
      <c r="B57" s="59" t="s">
        <v>104</v>
      </c>
      <c r="C57" s="59">
        <v>1.95</v>
      </c>
      <c r="D57" s="59">
        <v>2.38</v>
      </c>
      <c r="E57" s="59">
        <v>-0.42</v>
      </c>
      <c r="F57" s="59">
        <v>1.67</v>
      </c>
      <c r="G57" s="59">
        <v>1</v>
      </c>
      <c r="H57" s="59">
        <v>0.67</v>
      </c>
      <c r="I57" s="59">
        <v>0</v>
      </c>
      <c r="J57" s="59">
        <v>1.25</v>
      </c>
      <c r="K57" s="59">
        <v>-1.25</v>
      </c>
      <c r="L57" s="59">
        <v>0</v>
      </c>
      <c r="M57" s="59">
        <v>1.62</v>
      </c>
      <c r="N57" s="59">
        <v>-1.62</v>
      </c>
      <c r="O57" s="59">
        <v>0</v>
      </c>
      <c r="P57" s="59">
        <v>1.5</v>
      </c>
      <c r="Q57" s="59">
        <v>-1.5</v>
      </c>
      <c r="R57" s="59">
        <v>0</v>
      </c>
      <c r="S57" s="59">
        <v>1.38</v>
      </c>
      <c r="T57" s="59">
        <v>-1.38</v>
      </c>
      <c r="U57" s="59">
        <v>0</v>
      </c>
      <c r="V57" s="59">
        <v>1.5</v>
      </c>
      <c r="W57" s="59">
        <v>-1.5</v>
      </c>
      <c r="X57" s="59">
        <v>0</v>
      </c>
      <c r="Y57" s="59">
        <v>1.62</v>
      </c>
      <c r="Z57" s="59">
        <v>-1.62</v>
      </c>
      <c r="AA57" s="59">
        <v>0</v>
      </c>
      <c r="AB57" s="59">
        <v>2</v>
      </c>
      <c r="AC57" s="59">
        <v>-2</v>
      </c>
      <c r="AD57" s="59">
        <v>0</v>
      </c>
      <c r="AE57" s="59">
        <v>1</v>
      </c>
      <c r="AF57" s="59">
        <v>-1</v>
      </c>
      <c r="AG57" s="59">
        <v>0</v>
      </c>
      <c r="AH57" s="59">
        <v>1.62</v>
      </c>
      <c r="AI57" s="59">
        <v>-1.62</v>
      </c>
      <c r="AJ57" s="59">
        <v>0</v>
      </c>
      <c r="AK57" s="59">
        <v>1.88</v>
      </c>
      <c r="AL57" s="59">
        <v>-1.88</v>
      </c>
      <c r="AM57" s="59">
        <v>0</v>
      </c>
      <c r="AN57" s="59">
        <v>1.38</v>
      </c>
      <c r="AO57" s="59">
        <v>-1.38</v>
      </c>
      <c r="AP57" s="59">
        <v>0</v>
      </c>
      <c r="AQ57" s="59">
        <v>1.62</v>
      </c>
      <c r="AR57" s="59">
        <v>-1.62</v>
      </c>
      <c r="AS57" s="59">
        <v>0</v>
      </c>
      <c r="AT57" s="59">
        <v>1.1200000000000001</v>
      </c>
      <c r="AU57" s="59">
        <v>-1.1200000000000001</v>
      </c>
      <c r="AV57" s="59">
        <v>0</v>
      </c>
      <c r="AW57" s="59">
        <v>2</v>
      </c>
      <c r="AX57" s="59">
        <v>-2</v>
      </c>
    </row>
    <row r="58" spans="2:50" x14ac:dyDescent="0.3">
      <c r="B58" s="59" t="s">
        <v>105</v>
      </c>
      <c r="C58" s="59">
        <v>0.95</v>
      </c>
      <c r="D58" s="59">
        <v>2.38</v>
      </c>
      <c r="E58" s="59">
        <v>-1.42</v>
      </c>
      <c r="F58" s="59">
        <v>1.67</v>
      </c>
      <c r="G58" s="59">
        <v>1</v>
      </c>
      <c r="H58" s="59">
        <v>0.67</v>
      </c>
      <c r="I58" s="59">
        <v>0</v>
      </c>
      <c r="J58" s="59">
        <v>1.25</v>
      </c>
      <c r="K58" s="59">
        <v>-1.25</v>
      </c>
      <c r="L58" s="59">
        <v>0</v>
      </c>
      <c r="M58" s="59">
        <v>1.62</v>
      </c>
      <c r="N58" s="59">
        <v>-1.62</v>
      </c>
      <c r="O58" s="59">
        <v>0</v>
      </c>
      <c r="P58" s="59">
        <v>1.5</v>
      </c>
      <c r="Q58" s="59">
        <v>-1.5</v>
      </c>
      <c r="R58" s="59">
        <v>0</v>
      </c>
      <c r="S58" s="59">
        <v>1.38</v>
      </c>
      <c r="T58" s="59">
        <v>-1.38</v>
      </c>
      <c r="U58" s="59">
        <v>0</v>
      </c>
      <c r="V58" s="59">
        <v>1.5</v>
      </c>
      <c r="W58" s="59">
        <v>-1.5</v>
      </c>
      <c r="X58" s="59">
        <v>0</v>
      </c>
      <c r="Y58" s="59">
        <v>1.62</v>
      </c>
      <c r="Z58" s="59">
        <v>-1.62</v>
      </c>
      <c r="AA58" s="59">
        <v>0</v>
      </c>
      <c r="AB58" s="59">
        <v>2</v>
      </c>
      <c r="AC58" s="59">
        <v>-2</v>
      </c>
      <c r="AD58" s="59">
        <v>0</v>
      </c>
      <c r="AE58" s="59">
        <v>1</v>
      </c>
      <c r="AF58" s="59">
        <v>-1</v>
      </c>
      <c r="AG58" s="59">
        <v>0</v>
      </c>
      <c r="AH58" s="59">
        <v>1.62</v>
      </c>
      <c r="AI58" s="59">
        <v>-1.62</v>
      </c>
      <c r="AJ58" s="59">
        <v>0</v>
      </c>
      <c r="AK58" s="59">
        <v>1.88</v>
      </c>
      <c r="AL58" s="59">
        <v>-1.88</v>
      </c>
      <c r="AM58" s="59">
        <v>0</v>
      </c>
      <c r="AN58" s="59">
        <v>1.38</v>
      </c>
      <c r="AO58" s="59">
        <v>-1.38</v>
      </c>
      <c r="AP58" s="59">
        <v>0</v>
      </c>
      <c r="AQ58" s="59">
        <v>1.62</v>
      </c>
      <c r="AR58" s="59">
        <v>-1.62</v>
      </c>
      <c r="AS58" s="59">
        <v>0</v>
      </c>
      <c r="AT58" s="59">
        <v>1.1200000000000001</v>
      </c>
      <c r="AU58" s="59">
        <v>-1.1200000000000001</v>
      </c>
      <c r="AV58" s="59">
        <v>0</v>
      </c>
      <c r="AW58" s="59">
        <v>2</v>
      </c>
      <c r="AX58" s="59">
        <v>-2</v>
      </c>
    </row>
    <row r="59" spans="2:50" x14ac:dyDescent="0.3">
      <c r="B59" s="59" t="s">
        <v>106</v>
      </c>
      <c r="C59" s="59">
        <v>1.33</v>
      </c>
      <c r="D59" s="59">
        <v>2.38</v>
      </c>
      <c r="E59" s="59">
        <v>-1.04</v>
      </c>
      <c r="F59" s="59">
        <v>1.43</v>
      </c>
      <c r="G59" s="59">
        <v>1</v>
      </c>
      <c r="H59" s="59">
        <v>0.43</v>
      </c>
      <c r="I59" s="59">
        <v>0</v>
      </c>
      <c r="J59" s="59">
        <v>1.25</v>
      </c>
      <c r="K59" s="59">
        <v>-1.25</v>
      </c>
      <c r="L59" s="59">
        <v>0</v>
      </c>
      <c r="M59" s="59">
        <v>1.62</v>
      </c>
      <c r="N59" s="59">
        <v>-1.62</v>
      </c>
      <c r="O59" s="59">
        <v>0</v>
      </c>
      <c r="P59" s="59">
        <v>1.5</v>
      </c>
      <c r="Q59" s="59">
        <v>-1.5</v>
      </c>
      <c r="R59" s="59">
        <v>0</v>
      </c>
      <c r="S59" s="59">
        <v>1.38</v>
      </c>
      <c r="T59" s="59">
        <v>-1.38</v>
      </c>
      <c r="U59" s="59">
        <v>0</v>
      </c>
      <c r="V59" s="59">
        <v>1.5</v>
      </c>
      <c r="W59" s="59">
        <v>-1.5</v>
      </c>
      <c r="X59" s="59">
        <v>0</v>
      </c>
      <c r="Y59" s="59">
        <v>1.62</v>
      </c>
      <c r="Z59" s="59">
        <v>-1.62</v>
      </c>
      <c r="AA59" s="59">
        <v>0</v>
      </c>
      <c r="AB59" s="59">
        <v>2</v>
      </c>
      <c r="AC59" s="59">
        <v>-2</v>
      </c>
      <c r="AD59" s="59">
        <v>0</v>
      </c>
      <c r="AE59" s="59">
        <v>1</v>
      </c>
      <c r="AF59" s="59">
        <v>-1</v>
      </c>
      <c r="AG59" s="59">
        <v>0</v>
      </c>
      <c r="AH59" s="59">
        <v>1.62</v>
      </c>
      <c r="AI59" s="59">
        <v>-1.62</v>
      </c>
      <c r="AJ59" s="59">
        <v>0</v>
      </c>
      <c r="AK59" s="59">
        <v>1.88</v>
      </c>
      <c r="AL59" s="59">
        <v>-1.88</v>
      </c>
      <c r="AM59" s="59">
        <v>0</v>
      </c>
      <c r="AN59" s="59">
        <v>1.38</v>
      </c>
      <c r="AO59" s="59">
        <v>-1.38</v>
      </c>
      <c r="AP59" s="59">
        <v>0</v>
      </c>
      <c r="AQ59" s="59">
        <v>1.62</v>
      </c>
      <c r="AR59" s="59">
        <v>-1.62</v>
      </c>
      <c r="AS59" s="59">
        <v>0</v>
      </c>
      <c r="AT59" s="59">
        <v>1.1200000000000001</v>
      </c>
      <c r="AU59" s="59">
        <v>-1.1200000000000001</v>
      </c>
      <c r="AV59" s="59">
        <v>0</v>
      </c>
      <c r="AW59" s="59">
        <v>2</v>
      </c>
      <c r="AX59" s="59">
        <v>-2</v>
      </c>
    </row>
    <row r="60" spans="2:50" x14ac:dyDescent="0.3">
      <c r="B60" s="59" t="s">
        <v>107</v>
      </c>
      <c r="C60" s="59">
        <v>1.33</v>
      </c>
      <c r="D60" s="59">
        <v>2.38</v>
      </c>
      <c r="E60" s="59">
        <v>-1.04</v>
      </c>
      <c r="F60" s="59">
        <v>1.43</v>
      </c>
      <c r="G60" s="59">
        <v>1</v>
      </c>
      <c r="H60" s="59">
        <v>0.43</v>
      </c>
      <c r="I60" s="59">
        <v>0</v>
      </c>
      <c r="J60" s="59">
        <v>1.25</v>
      </c>
      <c r="K60" s="59">
        <v>-1.25</v>
      </c>
      <c r="L60" s="59">
        <v>0</v>
      </c>
      <c r="M60" s="59">
        <v>1.62</v>
      </c>
      <c r="N60" s="59">
        <v>-1.62</v>
      </c>
      <c r="O60" s="59">
        <v>0</v>
      </c>
      <c r="P60" s="59">
        <v>1.5</v>
      </c>
      <c r="Q60" s="59">
        <v>-1.5</v>
      </c>
      <c r="R60" s="59">
        <v>0</v>
      </c>
      <c r="S60" s="59">
        <v>1.38</v>
      </c>
      <c r="T60" s="59">
        <v>-1.38</v>
      </c>
      <c r="U60" s="59">
        <v>0</v>
      </c>
      <c r="V60" s="59">
        <v>1.5</v>
      </c>
      <c r="W60" s="59">
        <v>-1.5</v>
      </c>
      <c r="X60" s="59">
        <v>0</v>
      </c>
      <c r="Y60" s="59">
        <v>1.62</v>
      </c>
      <c r="Z60" s="59">
        <v>-1.62</v>
      </c>
      <c r="AA60" s="59">
        <v>0</v>
      </c>
      <c r="AB60" s="59">
        <v>2</v>
      </c>
      <c r="AC60" s="59">
        <v>-2</v>
      </c>
      <c r="AD60" s="59">
        <v>0</v>
      </c>
      <c r="AE60" s="59">
        <v>1</v>
      </c>
      <c r="AF60" s="59">
        <v>-1</v>
      </c>
      <c r="AG60" s="59">
        <v>0</v>
      </c>
      <c r="AH60" s="59">
        <v>1.62</v>
      </c>
      <c r="AI60" s="59">
        <v>-1.62</v>
      </c>
      <c r="AJ60" s="59">
        <v>0</v>
      </c>
      <c r="AK60" s="59">
        <v>1.88</v>
      </c>
      <c r="AL60" s="59">
        <v>-1.88</v>
      </c>
      <c r="AM60" s="59">
        <v>0</v>
      </c>
      <c r="AN60" s="59">
        <v>1.38</v>
      </c>
      <c r="AO60" s="59">
        <v>-1.38</v>
      </c>
      <c r="AP60" s="59">
        <v>0</v>
      </c>
      <c r="AQ60" s="59">
        <v>1.62</v>
      </c>
      <c r="AR60" s="59">
        <v>-1.62</v>
      </c>
      <c r="AS60" s="59">
        <v>0</v>
      </c>
      <c r="AT60" s="59">
        <v>1.1200000000000001</v>
      </c>
      <c r="AU60" s="59">
        <v>-1.1200000000000001</v>
      </c>
      <c r="AV60" s="59">
        <v>0</v>
      </c>
      <c r="AW60" s="59">
        <v>2</v>
      </c>
      <c r="AX60" s="59">
        <v>-2</v>
      </c>
    </row>
    <row r="61" spans="2:50" x14ac:dyDescent="0.3">
      <c r="B61" s="59" t="s">
        <v>108</v>
      </c>
      <c r="C61" s="59">
        <v>1.76</v>
      </c>
      <c r="D61" s="59">
        <v>2.38</v>
      </c>
      <c r="E61" s="59">
        <v>-0.61</v>
      </c>
      <c r="F61" s="59">
        <v>1.05</v>
      </c>
      <c r="G61" s="59">
        <v>1</v>
      </c>
      <c r="H61" s="59">
        <v>0.05</v>
      </c>
      <c r="I61" s="59">
        <v>0</v>
      </c>
      <c r="J61" s="59">
        <v>1.25</v>
      </c>
      <c r="K61" s="59">
        <v>-1.25</v>
      </c>
      <c r="L61" s="59">
        <v>0</v>
      </c>
      <c r="M61" s="59">
        <v>1.62</v>
      </c>
      <c r="N61" s="59">
        <v>-1.62</v>
      </c>
      <c r="O61" s="59">
        <v>0</v>
      </c>
      <c r="P61" s="59">
        <v>1.5</v>
      </c>
      <c r="Q61" s="59">
        <v>-1.5</v>
      </c>
      <c r="R61" s="59">
        <v>0</v>
      </c>
      <c r="S61" s="59">
        <v>1.38</v>
      </c>
      <c r="T61" s="59">
        <v>-1.38</v>
      </c>
      <c r="U61" s="59">
        <v>0</v>
      </c>
      <c r="V61" s="59">
        <v>1.5</v>
      </c>
      <c r="W61" s="59">
        <v>-1.5</v>
      </c>
      <c r="X61" s="59">
        <v>0</v>
      </c>
      <c r="Y61" s="59">
        <v>1.62</v>
      </c>
      <c r="Z61" s="59">
        <v>-1.62</v>
      </c>
      <c r="AA61" s="59">
        <v>0</v>
      </c>
      <c r="AB61" s="59">
        <v>2</v>
      </c>
      <c r="AC61" s="59">
        <v>-2</v>
      </c>
      <c r="AD61" s="59">
        <v>0</v>
      </c>
      <c r="AE61" s="59">
        <v>1</v>
      </c>
      <c r="AF61" s="59">
        <v>-1</v>
      </c>
      <c r="AG61" s="59">
        <v>0</v>
      </c>
      <c r="AH61" s="59">
        <v>1.62</v>
      </c>
      <c r="AI61" s="59">
        <v>-1.62</v>
      </c>
      <c r="AJ61" s="59">
        <v>0</v>
      </c>
      <c r="AK61" s="59">
        <v>1.88</v>
      </c>
      <c r="AL61" s="59">
        <v>-1.88</v>
      </c>
      <c r="AM61" s="59">
        <v>0</v>
      </c>
      <c r="AN61" s="59">
        <v>1.38</v>
      </c>
      <c r="AO61" s="59">
        <v>-1.38</v>
      </c>
      <c r="AP61" s="59">
        <v>0</v>
      </c>
      <c r="AQ61" s="59">
        <v>1.62</v>
      </c>
      <c r="AR61" s="59">
        <v>-1.62</v>
      </c>
      <c r="AS61" s="59">
        <v>0</v>
      </c>
      <c r="AT61" s="59">
        <v>1.1200000000000001</v>
      </c>
      <c r="AU61" s="59">
        <v>-1.1200000000000001</v>
      </c>
      <c r="AV61" s="59">
        <v>0</v>
      </c>
      <c r="AW61" s="59">
        <v>2</v>
      </c>
      <c r="AX61" s="59">
        <v>-2</v>
      </c>
    </row>
    <row r="62" spans="2:50" x14ac:dyDescent="0.3">
      <c r="B62" s="59" t="s">
        <v>109</v>
      </c>
      <c r="C62" s="59">
        <v>1.9</v>
      </c>
      <c r="D62" s="59">
        <v>2.38</v>
      </c>
      <c r="E62" s="59">
        <v>-0.47</v>
      </c>
      <c r="F62" s="59">
        <v>1.05</v>
      </c>
      <c r="G62" s="59">
        <v>1</v>
      </c>
      <c r="H62" s="59">
        <v>0.05</v>
      </c>
      <c r="I62" s="59">
        <v>0</v>
      </c>
      <c r="J62" s="59">
        <v>1.25</v>
      </c>
      <c r="K62" s="59">
        <v>-1.25</v>
      </c>
      <c r="L62" s="59">
        <v>0</v>
      </c>
      <c r="M62" s="59">
        <v>1.62</v>
      </c>
      <c r="N62" s="59">
        <v>-1.62</v>
      </c>
      <c r="O62" s="59">
        <v>0</v>
      </c>
      <c r="P62" s="59">
        <v>1.5</v>
      </c>
      <c r="Q62" s="59">
        <v>-1.5</v>
      </c>
      <c r="R62" s="59">
        <v>0</v>
      </c>
      <c r="S62" s="59">
        <v>1.38</v>
      </c>
      <c r="T62" s="59">
        <v>-1.38</v>
      </c>
      <c r="U62" s="59">
        <v>0</v>
      </c>
      <c r="V62" s="59">
        <v>1.5</v>
      </c>
      <c r="W62" s="59">
        <v>-1.5</v>
      </c>
      <c r="X62" s="59">
        <v>0</v>
      </c>
      <c r="Y62" s="59">
        <v>1.62</v>
      </c>
      <c r="Z62" s="59">
        <v>-1.62</v>
      </c>
      <c r="AA62" s="59">
        <v>0</v>
      </c>
      <c r="AB62" s="59">
        <v>2</v>
      </c>
      <c r="AC62" s="59">
        <v>-2</v>
      </c>
      <c r="AD62" s="59">
        <v>0</v>
      </c>
      <c r="AE62" s="59">
        <v>1</v>
      </c>
      <c r="AF62" s="59">
        <v>-1</v>
      </c>
      <c r="AG62" s="59">
        <v>0</v>
      </c>
      <c r="AH62" s="59">
        <v>1.62</v>
      </c>
      <c r="AI62" s="59">
        <v>-1.62</v>
      </c>
      <c r="AJ62" s="59">
        <v>0</v>
      </c>
      <c r="AK62" s="59">
        <v>1.88</v>
      </c>
      <c r="AL62" s="59">
        <v>-1.88</v>
      </c>
      <c r="AM62" s="59">
        <v>0</v>
      </c>
      <c r="AN62" s="59">
        <v>1.38</v>
      </c>
      <c r="AO62" s="59">
        <v>-1.38</v>
      </c>
      <c r="AP62" s="59">
        <v>0</v>
      </c>
      <c r="AQ62" s="59">
        <v>1.62</v>
      </c>
      <c r="AR62" s="59">
        <v>-1.62</v>
      </c>
      <c r="AS62" s="59">
        <v>0</v>
      </c>
      <c r="AT62" s="59">
        <v>1.1200000000000001</v>
      </c>
      <c r="AU62" s="59">
        <v>-1.1200000000000001</v>
      </c>
      <c r="AV62" s="59">
        <v>0</v>
      </c>
      <c r="AW62" s="59">
        <v>2</v>
      </c>
      <c r="AX62" s="59">
        <v>-2</v>
      </c>
    </row>
    <row r="63" spans="2:50" x14ac:dyDescent="0.3">
      <c r="B63" s="59" t="s">
        <v>110</v>
      </c>
      <c r="C63" s="59">
        <v>0.81</v>
      </c>
      <c r="D63" s="59">
        <v>2.38</v>
      </c>
      <c r="E63" s="59">
        <v>-1.57</v>
      </c>
      <c r="F63" s="59">
        <v>1.05</v>
      </c>
      <c r="G63" s="59">
        <v>1</v>
      </c>
      <c r="H63" s="59">
        <v>0.05</v>
      </c>
      <c r="I63" s="59">
        <v>0</v>
      </c>
      <c r="J63" s="59">
        <v>1.25</v>
      </c>
      <c r="K63" s="59">
        <v>-1.25</v>
      </c>
      <c r="L63" s="59">
        <v>0</v>
      </c>
      <c r="M63" s="59">
        <v>1.62</v>
      </c>
      <c r="N63" s="59">
        <v>-1.62</v>
      </c>
      <c r="O63" s="59">
        <v>0</v>
      </c>
      <c r="P63" s="59">
        <v>1.5</v>
      </c>
      <c r="Q63" s="59">
        <v>-1.5</v>
      </c>
      <c r="R63" s="59">
        <v>0</v>
      </c>
      <c r="S63" s="59">
        <v>1.38</v>
      </c>
      <c r="T63" s="59">
        <v>-1.38</v>
      </c>
      <c r="U63" s="59">
        <v>0</v>
      </c>
      <c r="V63" s="59">
        <v>1.5</v>
      </c>
      <c r="W63" s="59">
        <v>-1.5</v>
      </c>
      <c r="X63" s="59">
        <v>0</v>
      </c>
      <c r="Y63" s="59">
        <v>1.62</v>
      </c>
      <c r="Z63" s="59">
        <v>-1.62</v>
      </c>
      <c r="AA63" s="59">
        <v>0</v>
      </c>
      <c r="AB63" s="59">
        <v>2</v>
      </c>
      <c r="AC63" s="59">
        <v>-2</v>
      </c>
      <c r="AD63" s="59">
        <v>0</v>
      </c>
      <c r="AE63" s="59">
        <v>1</v>
      </c>
      <c r="AF63" s="59">
        <v>-1</v>
      </c>
      <c r="AG63" s="59">
        <v>0</v>
      </c>
      <c r="AH63" s="59">
        <v>1.62</v>
      </c>
      <c r="AI63" s="59">
        <v>-1.62</v>
      </c>
      <c r="AJ63" s="59">
        <v>0</v>
      </c>
      <c r="AK63" s="59">
        <v>1.88</v>
      </c>
      <c r="AL63" s="59">
        <v>-1.88</v>
      </c>
      <c r="AM63" s="59">
        <v>0</v>
      </c>
      <c r="AN63" s="59">
        <v>1.38</v>
      </c>
      <c r="AO63" s="59">
        <v>-1.38</v>
      </c>
      <c r="AP63" s="59">
        <v>0</v>
      </c>
      <c r="AQ63" s="59">
        <v>1.62</v>
      </c>
      <c r="AR63" s="59">
        <v>-1.62</v>
      </c>
      <c r="AS63" s="59">
        <v>0</v>
      </c>
      <c r="AT63" s="59">
        <v>1.1200000000000001</v>
      </c>
      <c r="AU63" s="59">
        <v>-1.1200000000000001</v>
      </c>
      <c r="AV63" s="59">
        <v>0</v>
      </c>
      <c r="AW63" s="59">
        <v>2</v>
      </c>
      <c r="AX63" s="59">
        <v>-2</v>
      </c>
    </row>
    <row r="64" spans="2:50" x14ac:dyDescent="0.3">
      <c r="B64" s="59" t="s">
        <v>111</v>
      </c>
      <c r="C64" s="59">
        <v>2.1</v>
      </c>
      <c r="D64" s="59">
        <v>2.38</v>
      </c>
      <c r="E64" s="59">
        <v>-0.28000000000000003</v>
      </c>
      <c r="F64" s="59">
        <v>1.05</v>
      </c>
      <c r="G64" s="59">
        <v>1</v>
      </c>
      <c r="H64" s="59">
        <v>0.05</v>
      </c>
      <c r="I64" s="59">
        <v>0</v>
      </c>
      <c r="J64" s="59">
        <v>1.25</v>
      </c>
      <c r="K64" s="59">
        <v>-1.25</v>
      </c>
      <c r="L64" s="59">
        <v>0</v>
      </c>
      <c r="M64" s="59">
        <v>1.62</v>
      </c>
      <c r="N64" s="59">
        <v>-1.62</v>
      </c>
      <c r="O64" s="59">
        <v>0</v>
      </c>
      <c r="P64" s="59">
        <v>1.5</v>
      </c>
      <c r="Q64" s="59">
        <v>-1.5</v>
      </c>
      <c r="R64" s="59">
        <v>0</v>
      </c>
      <c r="S64" s="59">
        <v>1.38</v>
      </c>
      <c r="T64" s="59">
        <v>-1.38</v>
      </c>
      <c r="U64" s="59">
        <v>0</v>
      </c>
      <c r="V64" s="59">
        <v>1.5</v>
      </c>
      <c r="W64" s="59">
        <v>-1.5</v>
      </c>
      <c r="X64" s="59">
        <v>0</v>
      </c>
      <c r="Y64" s="59">
        <v>1.62</v>
      </c>
      <c r="Z64" s="59">
        <v>-1.62</v>
      </c>
      <c r="AA64" s="59">
        <v>0</v>
      </c>
      <c r="AB64" s="59">
        <v>2</v>
      </c>
      <c r="AC64" s="59">
        <v>-2</v>
      </c>
      <c r="AD64" s="59">
        <v>0</v>
      </c>
      <c r="AE64" s="59">
        <v>1</v>
      </c>
      <c r="AF64" s="59">
        <v>-1</v>
      </c>
      <c r="AG64" s="59">
        <v>0</v>
      </c>
      <c r="AH64" s="59">
        <v>1.62</v>
      </c>
      <c r="AI64" s="59">
        <v>-1.62</v>
      </c>
      <c r="AJ64" s="59">
        <v>0</v>
      </c>
      <c r="AK64" s="59">
        <v>1.88</v>
      </c>
      <c r="AL64" s="59">
        <v>-1.88</v>
      </c>
      <c r="AM64" s="59">
        <v>0</v>
      </c>
      <c r="AN64" s="59">
        <v>1.38</v>
      </c>
      <c r="AO64" s="59">
        <v>-1.38</v>
      </c>
      <c r="AP64" s="59">
        <v>0</v>
      </c>
      <c r="AQ64" s="59">
        <v>1.62</v>
      </c>
      <c r="AR64" s="59">
        <v>-1.62</v>
      </c>
      <c r="AS64" s="59">
        <v>0</v>
      </c>
      <c r="AT64" s="59">
        <v>1.1200000000000001</v>
      </c>
      <c r="AU64" s="59">
        <v>-1.1200000000000001</v>
      </c>
      <c r="AV64" s="59">
        <v>0</v>
      </c>
      <c r="AW64" s="59">
        <v>2</v>
      </c>
      <c r="AX64" s="59">
        <v>-2</v>
      </c>
    </row>
    <row r="65" spans="2:50" x14ac:dyDescent="0.3">
      <c r="B65" s="59" t="s">
        <v>112</v>
      </c>
      <c r="C65" s="59">
        <v>1.1399999999999999</v>
      </c>
      <c r="D65" s="59">
        <v>2.38</v>
      </c>
      <c r="E65" s="59">
        <v>-1.23</v>
      </c>
      <c r="F65" s="59">
        <v>0</v>
      </c>
      <c r="G65" s="59">
        <v>1</v>
      </c>
      <c r="H65" s="59">
        <v>-1</v>
      </c>
      <c r="I65" s="59">
        <v>0</v>
      </c>
      <c r="J65" s="59">
        <v>1.25</v>
      </c>
      <c r="K65" s="59">
        <v>-1.25</v>
      </c>
      <c r="L65" s="59">
        <v>0</v>
      </c>
      <c r="M65" s="59">
        <v>1.62</v>
      </c>
      <c r="N65" s="59">
        <v>-1.62</v>
      </c>
      <c r="O65" s="59">
        <v>0</v>
      </c>
      <c r="P65" s="59">
        <v>1.5</v>
      </c>
      <c r="Q65" s="59">
        <v>-1.5</v>
      </c>
      <c r="R65" s="59">
        <v>0</v>
      </c>
      <c r="S65" s="59">
        <v>1.38</v>
      </c>
      <c r="T65" s="59">
        <v>-1.38</v>
      </c>
      <c r="U65" s="59">
        <v>0</v>
      </c>
      <c r="V65" s="59">
        <v>1.5</v>
      </c>
      <c r="W65" s="59">
        <v>-1.5</v>
      </c>
      <c r="X65" s="59">
        <v>0</v>
      </c>
      <c r="Y65" s="59">
        <v>1.62</v>
      </c>
      <c r="Z65" s="59">
        <v>-1.62</v>
      </c>
      <c r="AA65" s="59">
        <v>0</v>
      </c>
      <c r="AB65" s="59">
        <v>2</v>
      </c>
      <c r="AC65" s="59">
        <v>-2</v>
      </c>
      <c r="AD65" s="59">
        <v>0</v>
      </c>
      <c r="AE65" s="59">
        <v>1</v>
      </c>
      <c r="AF65" s="59">
        <v>-1</v>
      </c>
      <c r="AG65" s="59">
        <v>0</v>
      </c>
      <c r="AH65" s="59">
        <v>1.62</v>
      </c>
      <c r="AI65" s="59">
        <v>-1.62</v>
      </c>
      <c r="AJ65" s="59">
        <v>0</v>
      </c>
      <c r="AK65" s="59">
        <v>1.88</v>
      </c>
      <c r="AL65" s="59">
        <v>-1.88</v>
      </c>
      <c r="AM65" s="59">
        <v>0</v>
      </c>
      <c r="AN65" s="59">
        <v>1.38</v>
      </c>
      <c r="AO65" s="59">
        <v>-1.38</v>
      </c>
      <c r="AP65" s="59">
        <v>0</v>
      </c>
      <c r="AQ65" s="59">
        <v>1.62</v>
      </c>
      <c r="AR65" s="59">
        <v>-1.62</v>
      </c>
      <c r="AS65" s="59">
        <v>0</v>
      </c>
      <c r="AT65" s="59">
        <v>1.1200000000000001</v>
      </c>
      <c r="AU65" s="59">
        <v>-1.1200000000000001</v>
      </c>
      <c r="AV65" s="59">
        <v>0</v>
      </c>
      <c r="AW65" s="59">
        <v>2</v>
      </c>
      <c r="AX65" s="59">
        <v>-2</v>
      </c>
    </row>
    <row r="66" spans="2:50" x14ac:dyDescent="0.3">
      <c r="B66" s="59" t="s">
        <v>113</v>
      </c>
      <c r="C66" s="59">
        <v>2.0499999999999998</v>
      </c>
      <c r="D66" s="59">
        <v>2.38</v>
      </c>
      <c r="E66" s="59">
        <v>-0.33</v>
      </c>
      <c r="F66" s="59">
        <v>0</v>
      </c>
      <c r="G66" s="59">
        <v>1</v>
      </c>
      <c r="H66" s="59">
        <v>-1</v>
      </c>
      <c r="I66" s="59">
        <v>0</v>
      </c>
      <c r="J66" s="59">
        <v>1.25</v>
      </c>
      <c r="K66" s="59">
        <v>-1.25</v>
      </c>
      <c r="L66" s="59">
        <v>0</v>
      </c>
      <c r="M66" s="59">
        <v>1.62</v>
      </c>
      <c r="N66" s="59">
        <v>-1.62</v>
      </c>
      <c r="O66" s="59">
        <v>0</v>
      </c>
      <c r="P66" s="59">
        <v>1.5</v>
      </c>
      <c r="Q66" s="59">
        <v>-1.5</v>
      </c>
      <c r="R66" s="59">
        <v>0</v>
      </c>
      <c r="S66" s="59">
        <v>1.38</v>
      </c>
      <c r="T66" s="59">
        <v>-1.38</v>
      </c>
      <c r="U66" s="59">
        <v>0</v>
      </c>
      <c r="V66" s="59">
        <v>1.5</v>
      </c>
      <c r="W66" s="59">
        <v>-1.5</v>
      </c>
      <c r="X66" s="59">
        <v>0</v>
      </c>
      <c r="Y66" s="59">
        <v>1.62</v>
      </c>
      <c r="Z66" s="59">
        <v>-1.62</v>
      </c>
      <c r="AA66" s="59">
        <v>0</v>
      </c>
      <c r="AB66" s="59">
        <v>2</v>
      </c>
      <c r="AC66" s="59">
        <v>-2</v>
      </c>
      <c r="AD66" s="59">
        <v>0</v>
      </c>
      <c r="AE66" s="59">
        <v>1</v>
      </c>
      <c r="AF66" s="59">
        <v>-1</v>
      </c>
      <c r="AG66" s="59">
        <v>0</v>
      </c>
      <c r="AH66" s="59">
        <v>1.62</v>
      </c>
      <c r="AI66" s="59">
        <v>-1.62</v>
      </c>
      <c r="AJ66" s="59">
        <v>0</v>
      </c>
      <c r="AK66" s="59">
        <v>1.88</v>
      </c>
      <c r="AL66" s="59">
        <v>-1.88</v>
      </c>
      <c r="AM66" s="59">
        <v>0</v>
      </c>
      <c r="AN66" s="59">
        <v>1.38</v>
      </c>
      <c r="AO66" s="59">
        <v>-1.38</v>
      </c>
      <c r="AP66" s="59">
        <v>0</v>
      </c>
      <c r="AQ66" s="59">
        <v>1.62</v>
      </c>
      <c r="AR66" s="59">
        <v>-1.62</v>
      </c>
      <c r="AS66" s="59">
        <v>0</v>
      </c>
      <c r="AT66" s="59">
        <v>1.1200000000000001</v>
      </c>
      <c r="AU66" s="59">
        <v>-1.1200000000000001</v>
      </c>
      <c r="AV66" s="59">
        <v>0</v>
      </c>
      <c r="AW66" s="59">
        <v>2</v>
      </c>
      <c r="AX66" s="59">
        <v>-2</v>
      </c>
    </row>
    <row r="67" spans="2:50" x14ac:dyDescent="0.3">
      <c r="B67" s="59" t="s">
        <v>114</v>
      </c>
      <c r="C67" s="59">
        <v>1.33</v>
      </c>
      <c r="D67" s="59">
        <v>2.38</v>
      </c>
      <c r="E67" s="59">
        <v>-1.04</v>
      </c>
      <c r="F67" s="59">
        <v>0</v>
      </c>
      <c r="G67" s="59">
        <v>1</v>
      </c>
      <c r="H67" s="59">
        <v>-1</v>
      </c>
      <c r="I67" s="59">
        <v>0</v>
      </c>
      <c r="J67" s="59">
        <v>1.25</v>
      </c>
      <c r="K67" s="59">
        <v>-1.25</v>
      </c>
      <c r="L67" s="59">
        <v>0</v>
      </c>
      <c r="M67" s="59">
        <v>1.62</v>
      </c>
      <c r="N67" s="59">
        <v>-1.62</v>
      </c>
      <c r="O67" s="59">
        <v>0</v>
      </c>
      <c r="P67" s="59">
        <v>1.5</v>
      </c>
      <c r="Q67" s="59">
        <v>-1.5</v>
      </c>
      <c r="R67" s="59">
        <v>0</v>
      </c>
      <c r="S67" s="59">
        <v>1.38</v>
      </c>
      <c r="T67" s="59">
        <v>-1.38</v>
      </c>
      <c r="U67" s="59">
        <v>0</v>
      </c>
      <c r="V67" s="59">
        <v>1.5</v>
      </c>
      <c r="W67" s="59">
        <v>-1.5</v>
      </c>
      <c r="X67" s="59">
        <v>0</v>
      </c>
      <c r="Y67" s="59">
        <v>1.62</v>
      </c>
      <c r="Z67" s="59">
        <v>-1.62</v>
      </c>
      <c r="AA67" s="59">
        <v>0</v>
      </c>
      <c r="AB67" s="59">
        <v>2</v>
      </c>
      <c r="AC67" s="59">
        <v>-2</v>
      </c>
      <c r="AD67" s="59">
        <v>0</v>
      </c>
      <c r="AE67" s="59">
        <v>1</v>
      </c>
      <c r="AF67" s="59">
        <v>-1</v>
      </c>
      <c r="AG67" s="59">
        <v>0</v>
      </c>
      <c r="AH67" s="59">
        <v>1.62</v>
      </c>
      <c r="AI67" s="59">
        <v>-1.62</v>
      </c>
      <c r="AJ67" s="59">
        <v>0</v>
      </c>
      <c r="AK67" s="59">
        <v>1.88</v>
      </c>
      <c r="AL67" s="59">
        <v>-1.88</v>
      </c>
      <c r="AM67" s="59">
        <v>0</v>
      </c>
      <c r="AN67" s="59">
        <v>1.38</v>
      </c>
      <c r="AO67" s="59">
        <v>-1.38</v>
      </c>
      <c r="AP67" s="59">
        <v>0</v>
      </c>
      <c r="AQ67" s="59">
        <v>1.62</v>
      </c>
      <c r="AR67" s="59">
        <v>-1.62</v>
      </c>
      <c r="AS67" s="59">
        <v>0</v>
      </c>
      <c r="AT67" s="59">
        <v>1.1200000000000001</v>
      </c>
      <c r="AU67" s="59">
        <v>-1.1200000000000001</v>
      </c>
      <c r="AV67" s="59">
        <v>0</v>
      </c>
      <c r="AW67" s="59">
        <v>2</v>
      </c>
      <c r="AX67" s="59">
        <v>-2</v>
      </c>
    </row>
    <row r="68" spans="2:50" x14ac:dyDescent="0.3">
      <c r="B68" s="59" t="s">
        <v>115</v>
      </c>
      <c r="C68" s="59">
        <v>0.81</v>
      </c>
      <c r="D68" s="59">
        <v>2.38</v>
      </c>
      <c r="E68" s="59">
        <v>-1.57</v>
      </c>
      <c r="F68" s="59">
        <v>0</v>
      </c>
      <c r="G68" s="59">
        <v>1</v>
      </c>
      <c r="H68" s="59">
        <v>-1</v>
      </c>
      <c r="I68" s="59">
        <v>0</v>
      </c>
      <c r="J68" s="59">
        <v>1.25</v>
      </c>
      <c r="K68" s="59">
        <v>-1.25</v>
      </c>
      <c r="L68" s="59">
        <v>0</v>
      </c>
      <c r="M68" s="59">
        <v>1.62</v>
      </c>
      <c r="N68" s="59">
        <v>-1.62</v>
      </c>
      <c r="O68" s="59">
        <v>0</v>
      </c>
      <c r="P68" s="59">
        <v>1.5</v>
      </c>
      <c r="Q68" s="59">
        <v>-1.5</v>
      </c>
      <c r="R68" s="59">
        <v>0</v>
      </c>
      <c r="S68" s="59">
        <v>1.38</v>
      </c>
      <c r="T68" s="59">
        <v>-1.38</v>
      </c>
      <c r="U68" s="59">
        <v>0</v>
      </c>
      <c r="V68" s="59">
        <v>1.5</v>
      </c>
      <c r="W68" s="59">
        <v>-1.5</v>
      </c>
      <c r="X68" s="59">
        <v>0</v>
      </c>
      <c r="Y68" s="59">
        <v>1.62</v>
      </c>
      <c r="Z68" s="59">
        <v>-1.62</v>
      </c>
      <c r="AA68" s="59">
        <v>0</v>
      </c>
      <c r="AB68" s="59">
        <v>2</v>
      </c>
      <c r="AC68" s="59">
        <v>-2</v>
      </c>
      <c r="AD68" s="59">
        <v>0</v>
      </c>
      <c r="AE68" s="59">
        <v>1</v>
      </c>
      <c r="AF68" s="59">
        <v>-1</v>
      </c>
      <c r="AG68" s="59">
        <v>0</v>
      </c>
      <c r="AH68" s="59">
        <v>1.62</v>
      </c>
      <c r="AI68" s="59">
        <v>-1.62</v>
      </c>
      <c r="AJ68" s="59">
        <v>0</v>
      </c>
      <c r="AK68" s="59">
        <v>1.88</v>
      </c>
      <c r="AL68" s="59">
        <v>-1.88</v>
      </c>
      <c r="AM68" s="59">
        <v>0</v>
      </c>
      <c r="AN68" s="59">
        <v>1.38</v>
      </c>
      <c r="AO68" s="59">
        <v>-1.38</v>
      </c>
      <c r="AP68" s="59">
        <v>0</v>
      </c>
      <c r="AQ68" s="59">
        <v>1.62</v>
      </c>
      <c r="AR68" s="59">
        <v>-1.62</v>
      </c>
      <c r="AS68" s="59">
        <v>0</v>
      </c>
      <c r="AT68" s="59">
        <v>1.1200000000000001</v>
      </c>
      <c r="AU68" s="59">
        <v>-1.1200000000000001</v>
      </c>
      <c r="AV68" s="59">
        <v>0</v>
      </c>
      <c r="AW68" s="59">
        <v>2</v>
      </c>
      <c r="AX68" s="59">
        <v>-2</v>
      </c>
    </row>
    <row r="69" spans="2:50" x14ac:dyDescent="0.3">
      <c r="B69"/>
    </row>
    <row r="70" spans="2:50" x14ac:dyDescent="0.3">
      <c r="B70"/>
    </row>
    <row r="71" spans="2:50" x14ac:dyDescent="0.3">
      <c r="B71"/>
    </row>
    <row r="72" spans="2:50" x14ac:dyDescent="0.3">
      <c r="B72"/>
    </row>
    <row r="73" spans="2:50" x14ac:dyDescent="0.3">
      <c r="B73"/>
    </row>
    <row r="74" spans="2:50" x14ac:dyDescent="0.3">
      <c r="B74"/>
    </row>
    <row r="75" spans="2:50" x14ac:dyDescent="0.3">
      <c r="B75"/>
    </row>
    <row r="76" spans="2:50" x14ac:dyDescent="0.3">
      <c r="B76"/>
    </row>
    <row r="77" spans="2:50" x14ac:dyDescent="0.3">
      <c r="B77"/>
    </row>
    <row r="78" spans="2:50" x14ac:dyDescent="0.3">
      <c r="B78"/>
    </row>
    <row r="79" spans="2:50" x14ac:dyDescent="0.3">
      <c r="B79"/>
    </row>
    <row r="80" spans="2:50"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row r="151" spans="2:2" x14ac:dyDescent="0.3">
      <c r="B151"/>
    </row>
    <row r="152" spans="2:2" x14ac:dyDescent="0.3">
      <c r="B152"/>
    </row>
    <row r="153" spans="2:2" x14ac:dyDescent="0.3">
      <c r="B153"/>
    </row>
    <row r="154" spans="2:2" x14ac:dyDescent="0.3">
      <c r="B154"/>
    </row>
    <row r="155" spans="2:2" x14ac:dyDescent="0.3">
      <c r="B155"/>
    </row>
    <row r="156" spans="2:2" x14ac:dyDescent="0.3">
      <c r="B156"/>
    </row>
    <row r="157" spans="2:2" x14ac:dyDescent="0.3">
      <c r="B157"/>
    </row>
    <row r="158" spans="2:2" x14ac:dyDescent="0.3">
      <c r="B158"/>
    </row>
    <row r="159" spans="2:2" x14ac:dyDescent="0.3">
      <c r="B159"/>
    </row>
    <row r="160" spans="2:2" x14ac:dyDescent="0.3">
      <c r="B160"/>
    </row>
    <row r="161" spans="2:2" x14ac:dyDescent="0.3">
      <c r="B161"/>
    </row>
    <row r="162" spans="2:2" x14ac:dyDescent="0.3">
      <c r="B162"/>
    </row>
    <row r="163" spans="2:2" x14ac:dyDescent="0.3">
      <c r="B163"/>
    </row>
    <row r="164" spans="2:2" x14ac:dyDescent="0.3">
      <c r="B164"/>
    </row>
    <row r="165" spans="2:2" x14ac:dyDescent="0.3">
      <c r="B165"/>
    </row>
    <row r="166" spans="2:2" x14ac:dyDescent="0.3">
      <c r="B166"/>
    </row>
    <row r="167" spans="2:2" x14ac:dyDescent="0.3">
      <c r="B167"/>
    </row>
    <row r="168" spans="2:2" x14ac:dyDescent="0.3">
      <c r="B168"/>
    </row>
    <row r="169" spans="2:2" x14ac:dyDescent="0.3">
      <c r="B169"/>
    </row>
    <row r="170" spans="2:2" x14ac:dyDescent="0.3">
      <c r="B170"/>
    </row>
    <row r="171" spans="2:2" x14ac:dyDescent="0.3">
      <c r="B171"/>
    </row>
    <row r="172" spans="2:2" x14ac:dyDescent="0.3">
      <c r="B172"/>
    </row>
    <row r="173" spans="2:2" x14ac:dyDescent="0.3">
      <c r="B173"/>
    </row>
    <row r="174" spans="2:2" x14ac:dyDescent="0.3">
      <c r="B174"/>
    </row>
    <row r="175" spans="2:2" x14ac:dyDescent="0.3">
      <c r="B175"/>
    </row>
    <row r="176" spans="2:2"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sheetData>
  <mergeCells count="16">
    <mergeCell ref="C14:E14"/>
    <mergeCell ref="F14:H14"/>
    <mergeCell ref="AS14:AU14"/>
    <mergeCell ref="AV14:AX14"/>
    <mergeCell ref="I14:K14"/>
    <mergeCell ref="L14:N14"/>
    <mergeCell ref="O14:Q14"/>
    <mergeCell ref="U14:W14"/>
    <mergeCell ref="X14:Z14"/>
    <mergeCell ref="AA14:AC14"/>
    <mergeCell ref="AD14:AF14"/>
    <mergeCell ref="AG14:AI14"/>
    <mergeCell ref="AJ14:AL14"/>
    <mergeCell ref="AM14:AO14"/>
    <mergeCell ref="AP14:AR14"/>
    <mergeCell ref="R14:T14"/>
  </mergeCells>
  <conditionalFormatting sqref="B15">
    <cfRule type="colorScale" priority="131">
      <colorScale>
        <cfvo type="num" val="0"/>
        <cfvo type="num" val="5"/>
        <color rgb="FFFFEF9C"/>
        <color rgb="FF63BE7B"/>
      </colorScale>
    </cfRule>
  </conditionalFormatting>
  <conditionalFormatting sqref="B16:AX68">
    <cfRule type="colorScale" priority="1">
      <colorScale>
        <cfvo type="num" val="0"/>
        <cfvo type="num" val="5"/>
        <color rgb="FFFFEF9C"/>
        <color rgb="FF63BE7B"/>
      </colorScale>
    </cfRule>
  </conditionalFormatting>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6854-361D-42A6-8831-3671B096AFF6}">
  <sheetPr codeName="ShComparaisonV2">
    <tabColor theme="5" tint="-0.249977111117893"/>
  </sheetPr>
  <dimension ref="B1:BC200"/>
  <sheetViews>
    <sheetView showGridLines="0" zoomScaleNormal="100" workbookViewId="0">
      <selection activeCell="E13" sqref="E13:G13"/>
    </sheetView>
  </sheetViews>
  <sheetFormatPr baseColWidth="10" defaultColWidth="11.5546875" defaultRowHeight="14.4" x14ac:dyDescent="0.3"/>
  <cols>
    <col min="1" max="1" width="3.33203125" customWidth="1"/>
    <col min="2" max="2" width="62.6640625" style="15" bestFit="1" customWidth="1"/>
    <col min="3" max="5" width="15.88671875" customWidth="1"/>
    <col min="6" max="6" width="26.109375" customWidth="1"/>
    <col min="7" max="7" width="25.109375" customWidth="1"/>
    <col min="8" max="8" width="22.5546875" customWidth="1"/>
    <col min="9" max="44" width="11.6640625" customWidth="1"/>
    <col min="45" max="95" width="14.6640625" customWidth="1"/>
  </cols>
  <sheetData>
    <row r="1" spans="2:55" ht="19.95" customHeight="1" x14ac:dyDescent="0.3">
      <c r="B1"/>
    </row>
    <row r="2" spans="2:55" ht="16.2" hidden="1" customHeight="1" x14ac:dyDescent="0.3">
      <c r="B2"/>
    </row>
    <row r="3" spans="2:55" ht="19.95" customHeight="1" x14ac:dyDescent="0.3">
      <c r="B3"/>
    </row>
    <row r="4" spans="2:55" ht="14.4" hidden="1" customHeight="1" x14ac:dyDescent="0.3">
      <c r="B4"/>
    </row>
    <row r="5" spans="2:55" ht="19.95" customHeight="1" thickBot="1" x14ac:dyDescent="0.35">
      <c r="B5"/>
    </row>
    <row r="6" spans="2:55" ht="28.2" customHeight="1" thickTop="1" thickBot="1" x14ac:dyDescent="0.35">
      <c r="B6" s="7" t="s">
        <v>152</v>
      </c>
      <c r="C6" s="7"/>
      <c r="D6" s="6"/>
      <c r="E6" s="6"/>
      <c r="F6" s="6"/>
      <c r="G6" s="6"/>
      <c r="H6" s="6"/>
      <c r="I6" s="6"/>
      <c r="J6" s="6"/>
      <c r="K6" s="6"/>
      <c r="L6" s="6"/>
      <c r="M6" s="6"/>
      <c r="N6" s="6"/>
      <c r="O6" s="6"/>
      <c r="P6" s="6"/>
      <c r="Q6" s="6"/>
      <c r="R6" s="6"/>
      <c r="S6" s="6"/>
      <c r="T6" s="6"/>
      <c r="U6" s="6"/>
      <c r="V6" s="6"/>
      <c r="W6" s="6"/>
      <c r="X6" s="6"/>
      <c r="Y6" s="6"/>
      <c r="Z6" s="6"/>
    </row>
    <row r="7" spans="2:55" ht="15" thickTop="1" x14ac:dyDescent="0.3">
      <c r="B7"/>
    </row>
    <row r="8" spans="2:55" hidden="1" x14ac:dyDescent="0.3">
      <c r="B8"/>
    </row>
    <row r="9" spans="2:55" hidden="1" x14ac:dyDescent="0.3">
      <c r="B9"/>
    </row>
    <row r="10" spans="2:55" hidden="1" x14ac:dyDescent="0.3">
      <c r="B10"/>
    </row>
    <row r="11" spans="2:55" hidden="1" x14ac:dyDescent="0.3">
      <c r="B11"/>
    </row>
    <row r="12" spans="2:55" x14ac:dyDescent="0.3">
      <c r="B12"/>
      <c r="C12" s="58" t="s">
        <v>153</v>
      </c>
      <c r="D12" s="58"/>
      <c r="E12" s="58"/>
      <c r="F12" s="58"/>
      <c r="G12" s="58"/>
      <c r="H12" s="58"/>
    </row>
    <row r="13" spans="2:55" x14ac:dyDescent="0.3">
      <c r="B13" s="80"/>
      <c r="C13" s="104" t="s">
        <v>159</v>
      </c>
      <c r="D13" s="105"/>
      <c r="E13" s="107" t="s">
        <v>135</v>
      </c>
      <c r="F13" s="107"/>
      <c r="G13" s="107"/>
      <c r="H13" s="81"/>
    </row>
    <row r="14" spans="2:55" s="51" customFormat="1" ht="4.2" customHeight="1" x14ac:dyDescent="0.3">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row>
    <row r="15" spans="2:55" s="57" customFormat="1" x14ac:dyDescent="0.3">
      <c r="B15" s="76" t="s">
        <v>160</v>
      </c>
      <c r="C15" s="27" t="s">
        <v>156</v>
      </c>
      <c r="D15" s="27" t="s">
        <v>157</v>
      </c>
      <c r="E15" s="27" t="s">
        <v>158</v>
      </c>
      <c r="F15" s="27" t="s">
        <v>161</v>
      </c>
      <c r="G15" s="27" t="s">
        <v>162</v>
      </c>
      <c r="H15" s="27" t="s">
        <v>163</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row>
    <row r="16" spans="2:55" x14ac:dyDescent="0.3">
      <c r="B16" s="59" t="s">
        <v>54</v>
      </c>
      <c r="C16" s="59">
        <v>5</v>
      </c>
      <c r="D16" s="59">
        <v>1</v>
      </c>
      <c r="E16" s="59">
        <v>-4</v>
      </c>
      <c r="F16" s="59" t="s">
        <v>402</v>
      </c>
      <c r="G16" s="59"/>
      <c r="H16" s="59"/>
    </row>
    <row r="17" spans="2:8" x14ac:dyDescent="0.3">
      <c r="B17" s="59" t="s">
        <v>55</v>
      </c>
      <c r="C17" s="59">
        <v>4</v>
      </c>
      <c r="D17" s="59">
        <v>1</v>
      </c>
      <c r="E17" s="59">
        <v>-3</v>
      </c>
      <c r="F17" s="59"/>
      <c r="G17" s="59"/>
      <c r="H17" s="59"/>
    </row>
    <row r="18" spans="2:8" x14ac:dyDescent="0.3">
      <c r="B18" s="59" t="s">
        <v>56</v>
      </c>
      <c r="C18" s="59">
        <v>4</v>
      </c>
      <c r="D18" s="59">
        <v>1</v>
      </c>
      <c r="E18" s="59">
        <v>-3</v>
      </c>
      <c r="F18" s="59"/>
      <c r="G18" s="59"/>
      <c r="H18" s="59"/>
    </row>
    <row r="19" spans="2:8" x14ac:dyDescent="0.3">
      <c r="B19" s="59" t="s">
        <v>57</v>
      </c>
      <c r="C19" s="59">
        <v>3</v>
      </c>
      <c r="D19" s="59">
        <v>4</v>
      </c>
      <c r="E19" s="59">
        <v>1</v>
      </c>
      <c r="F19" s="59"/>
      <c r="G19" s="59"/>
      <c r="H19" s="59"/>
    </row>
    <row r="20" spans="2:8" x14ac:dyDescent="0.3">
      <c r="B20" s="59" t="s">
        <v>58</v>
      </c>
      <c r="C20" s="59">
        <v>1</v>
      </c>
      <c r="D20" s="59">
        <v>1</v>
      </c>
      <c r="E20" s="59">
        <v>0</v>
      </c>
      <c r="F20" s="59"/>
      <c r="G20" s="59"/>
      <c r="H20" s="59"/>
    </row>
    <row r="21" spans="2:8" x14ac:dyDescent="0.3">
      <c r="B21" s="59" t="s">
        <v>59</v>
      </c>
      <c r="C21" s="59">
        <v>4</v>
      </c>
      <c r="D21" s="59">
        <v>4</v>
      </c>
      <c r="E21" s="59">
        <v>0</v>
      </c>
      <c r="F21" s="59"/>
      <c r="G21" s="59"/>
      <c r="H21" s="59"/>
    </row>
    <row r="22" spans="2:8" x14ac:dyDescent="0.3">
      <c r="B22" s="59" t="s">
        <v>60</v>
      </c>
      <c r="C22" s="59">
        <v>3</v>
      </c>
      <c r="D22" s="59">
        <v>3</v>
      </c>
      <c r="E22" s="59">
        <v>0</v>
      </c>
      <c r="F22" s="59"/>
      <c r="G22" s="59"/>
      <c r="H22" s="59"/>
    </row>
    <row r="23" spans="2:8" x14ac:dyDescent="0.3">
      <c r="B23" s="59" t="s">
        <v>61</v>
      </c>
      <c r="C23" s="59">
        <v>1</v>
      </c>
      <c r="D23" s="59">
        <v>2</v>
      </c>
      <c r="E23" s="59">
        <v>1</v>
      </c>
      <c r="F23" s="59"/>
      <c r="G23" s="59"/>
      <c r="H23" s="59"/>
    </row>
    <row r="24" spans="2:8" x14ac:dyDescent="0.3">
      <c r="B24"/>
    </row>
    <row r="25" spans="2:8" x14ac:dyDescent="0.3">
      <c r="B25"/>
    </row>
    <row r="26" spans="2:8" x14ac:dyDescent="0.3">
      <c r="B26"/>
    </row>
    <row r="27" spans="2:8" x14ac:dyDescent="0.3">
      <c r="B27"/>
    </row>
    <row r="28" spans="2:8" x14ac:dyDescent="0.3">
      <c r="B28"/>
    </row>
    <row r="29" spans="2:8" x14ac:dyDescent="0.3">
      <c r="B29"/>
    </row>
    <row r="30" spans="2:8" x14ac:dyDescent="0.3">
      <c r="B30"/>
    </row>
    <row r="31" spans="2:8" x14ac:dyDescent="0.3">
      <c r="B31"/>
    </row>
    <row r="32" spans="2:8"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row r="151" spans="2:2" x14ac:dyDescent="0.3">
      <c r="B151"/>
    </row>
    <row r="152" spans="2:2" x14ac:dyDescent="0.3">
      <c r="B152"/>
    </row>
    <row r="153" spans="2:2" x14ac:dyDescent="0.3">
      <c r="B153"/>
    </row>
    <row r="154" spans="2:2" x14ac:dyDescent="0.3">
      <c r="B154"/>
    </row>
    <row r="155" spans="2:2" x14ac:dyDescent="0.3">
      <c r="B155"/>
    </row>
    <row r="156" spans="2:2" x14ac:dyDescent="0.3">
      <c r="B156"/>
    </row>
    <row r="157" spans="2:2" x14ac:dyDescent="0.3">
      <c r="B157"/>
    </row>
    <row r="158" spans="2:2" x14ac:dyDescent="0.3">
      <c r="B158"/>
    </row>
    <row r="159" spans="2:2" x14ac:dyDescent="0.3">
      <c r="B159"/>
    </row>
    <row r="160" spans="2:2" x14ac:dyDescent="0.3">
      <c r="B160"/>
    </row>
    <row r="161" spans="2:2" x14ac:dyDescent="0.3">
      <c r="B161"/>
    </row>
    <row r="162" spans="2:2" x14ac:dyDescent="0.3">
      <c r="B162"/>
    </row>
    <row r="163" spans="2:2" x14ac:dyDescent="0.3">
      <c r="B163"/>
    </row>
    <row r="164" spans="2:2" x14ac:dyDescent="0.3">
      <c r="B164"/>
    </row>
    <row r="165" spans="2:2" x14ac:dyDescent="0.3">
      <c r="B165"/>
    </row>
    <row r="166" spans="2:2" x14ac:dyDescent="0.3">
      <c r="B166"/>
    </row>
    <row r="167" spans="2:2" x14ac:dyDescent="0.3">
      <c r="B167"/>
    </row>
    <row r="168" spans="2:2" x14ac:dyDescent="0.3">
      <c r="B168"/>
    </row>
    <row r="169" spans="2:2" x14ac:dyDescent="0.3">
      <c r="B169"/>
    </row>
    <row r="170" spans="2:2" x14ac:dyDescent="0.3">
      <c r="B170"/>
    </row>
    <row r="171" spans="2:2" x14ac:dyDescent="0.3">
      <c r="B171"/>
    </row>
    <row r="172" spans="2:2" x14ac:dyDescent="0.3">
      <c r="B172"/>
    </row>
    <row r="173" spans="2:2" x14ac:dyDescent="0.3">
      <c r="B173"/>
    </row>
    <row r="174" spans="2:2" x14ac:dyDescent="0.3">
      <c r="B174"/>
    </row>
    <row r="175" spans="2:2" x14ac:dyDescent="0.3">
      <c r="B175"/>
    </row>
    <row r="176" spans="2:2"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sheetData>
  <mergeCells count="2">
    <mergeCell ref="C13:D13"/>
    <mergeCell ref="E13:G13"/>
  </mergeCells>
  <phoneticPr fontId="10" type="noConversion"/>
  <conditionalFormatting sqref="B16:E23">
    <cfRule type="colorScale" priority="1">
      <colorScale>
        <cfvo type="num" val="0"/>
        <cfvo type="num" val="5"/>
        <color rgb="FFFFEF9C"/>
        <color rgb="FF63BE7B"/>
      </colorScale>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1A36DB0-51CE-427E-BA7E-FA211D09A28A}">
          <x14:formula1>
            <xm:f>'Matrice Ressources-Compétences'!$B$15:$B$30</xm:f>
          </x14:formula1>
          <xm:sqref>E13:G13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27478-F194-40B8-AFAF-497004A3FFA3}">
  <sheetPr codeName="ShDashboard">
    <tabColor rgb="FF7030A0"/>
  </sheetPr>
  <dimension ref="A1:AF73"/>
  <sheetViews>
    <sheetView showGridLines="0" topLeftCell="A6" zoomScale="85" zoomScaleNormal="85" workbookViewId="0">
      <selection activeCell="Q35" sqref="Q35"/>
    </sheetView>
  </sheetViews>
  <sheetFormatPr baseColWidth="10" defaultColWidth="11.5546875" defaultRowHeight="14.4" x14ac:dyDescent="0.3"/>
  <cols>
    <col min="1" max="1" width="2.109375" customWidth="1"/>
    <col min="4" max="6" width="14.6640625" customWidth="1"/>
    <col min="11" max="13" width="14.6640625" customWidth="1"/>
  </cols>
  <sheetData>
    <row r="1" spans="2:32" ht="19.95" customHeight="1" x14ac:dyDescent="0.3"/>
    <row r="2" spans="2:32" ht="16.2" hidden="1" customHeight="1" x14ac:dyDescent="0.3"/>
    <row r="3" spans="2:32" ht="19.95" customHeight="1" x14ac:dyDescent="0.3"/>
    <row r="4" spans="2:32" ht="14.4" hidden="1" customHeight="1" x14ac:dyDescent="0.3"/>
    <row r="5" spans="2:32" ht="19.95" customHeight="1" thickBot="1" x14ac:dyDescent="0.35"/>
    <row r="6" spans="2:32" ht="28.2" customHeight="1" thickTop="1" thickBot="1" x14ac:dyDescent="0.35">
      <c r="B6" s="7" t="s">
        <v>164</v>
      </c>
      <c r="C6" s="7"/>
      <c r="D6" s="6"/>
      <c r="E6" s="6"/>
      <c r="F6" s="6"/>
      <c r="G6" s="6"/>
      <c r="H6" s="6"/>
      <c r="I6" s="6"/>
      <c r="J6" s="6"/>
      <c r="K6" s="6"/>
      <c r="L6" s="6"/>
      <c r="M6" s="6"/>
      <c r="N6" s="6"/>
      <c r="O6" s="6"/>
      <c r="P6" s="6"/>
      <c r="Q6" s="6"/>
      <c r="R6" s="6"/>
      <c r="S6" s="6"/>
      <c r="T6" s="6"/>
      <c r="U6" s="6"/>
      <c r="V6" s="6"/>
      <c r="W6" s="6"/>
      <c r="X6" s="6"/>
      <c r="Y6" s="6"/>
      <c r="Z6" s="6"/>
      <c r="AA6" s="6"/>
      <c r="AB6" s="6"/>
      <c r="AC6" s="6"/>
      <c r="AD6" s="6"/>
      <c r="AE6" s="6"/>
      <c r="AF6" s="6"/>
    </row>
    <row r="7" spans="2:32" ht="15" thickTop="1" x14ac:dyDescent="0.3"/>
    <row r="8" spans="2:32" hidden="1" x14ac:dyDescent="0.3"/>
    <row r="9" spans="2:32" hidden="1" x14ac:dyDescent="0.3"/>
    <row r="10" spans="2:32" hidden="1" x14ac:dyDescent="0.3"/>
    <row r="12" spans="2:32" x14ac:dyDescent="0.3">
      <c r="C12" s="42" t="s">
        <v>53</v>
      </c>
      <c r="D12" s="108" t="s">
        <v>50</v>
      </c>
      <c r="E12" s="108"/>
      <c r="F12" s="108"/>
      <c r="G12" s="62"/>
      <c r="H12" s="62"/>
      <c r="I12" s="62"/>
      <c r="J12" s="42" t="s">
        <v>165</v>
      </c>
      <c r="K12" s="108" t="s">
        <v>135</v>
      </c>
      <c r="L12" s="108"/>
      <c r="M12" s="108"/>
    </row>
    <row r="15" spans="2:32" x14ac:dyDescent="0.3">
      <c r="D15" s="79"/>
      <c r="E15" s="79"/>
      <c r="F15" s="79"/>
      <c r="G15" s="79"/>
    </row>
    <row r="16" spans="2:32" x14ac:dyDescent="0.3">
      <c r="D16" s="79"/>
      <c r="E16" s="79"/>
      <c r="F16" s="79"/>
      <c r="G16" s="79"/>
    </row>
    <row r="17" spans="1:15" x14ac:dyDescent="0.3">
      <c r="D17" s="79"/>
      <c r="E17" s="79"/>
      <c r="F17" s="79"/>
      <c r="G17" s="79"/>
    </row>
    <row r="18" spans="1:15" x14ac:dyDescent="0.3">
      <c r="D18" s="79"/>
      <c r="E18" s="79"/>
      <c r="F18" s="79"/>
      <c r="G18" s="79"/>
      <c r="I18" s="79"/>
      <c r="J18" s="79"/>
      <c r="K18" s="79"/>
      <c r="L18" s="79"/>
      <c r="M18" s="79"/>
      <c r="N18" s="79"/>
      <c r="O18" s="79"/>
    </row>
    <row r="19" spans="1:15" x14ac:dyDescent="0.3">
      <c r="D19" s="79"/>
      <c r="E19" s="79">
        <f>14+MATCH(P_Fonction,TabFonction[],0)</f>
        <v>15</v>
      </c>
      <c r="F19" s="79"/>
      <c r="G19" s="79"/>
      <c r="I19" s="79"/>
      <c r="J19" s="79"/>
      <c r="K19" s="79"/>
      <c r="L19" s="79"/>
      <c r="M19" s="79"/>
      <c r="N19" s="79"/>
      <c r="O19" s="79"/>
    </row>
    <row r="20" spans="1:15" x14ac:dyDescent="0.3">
      <c r="D20" s="79"/>
      <c r="E20" s="79"/>
      <c r="F20" s="79"/>
      <c r="G20" s="79"/>
      <c r="I20" s="79"/>
      <c r="J20" s="79"/>
      <c r="K20" s="79"/>
      <c r="L20" s="79"/>
      <c r="M20" s="79"/>
      <c r="N20" s="79"/>
      <c r="O20" s="79"/>
    </row>
    <row r="21" spans="1:15" x14ac:dyDescent="0.3">
      <c r="D21" s="79"/>
      <c r="E21" s="79"/>
      <c r="F21" s="79"/>
      <c r="G21" s="79"/>
      <c r="I21" s="79"/>
      <c r="J21" s="79"/>
      <c r="K21" s="79"/>
      <c r="L21" s="79">
        <f>14+MATCH(Dashboard!K12,TabRessComp[Liste des ressources],0)</f>
        <v>15</v>
      </c>
      <c r="M21" s="79"/>
      <c r="N21" s="79"/>
      <c r="O21" s="79"/>
    </row>
    <row r="22" spans="1:15" x14ac:dyDescent="0.3">
      <c r="D22" s="79"/>
      <c r="E22" s="79"/>
      <c r="F22" s="79"/>
      <c r="G22" s="79"/>
      <c r="I22" s="79"/>
      <c r="J22" s="79"/>
      <c r="K22" s="79"/>
      <c r="L22" s="79"/>
      <c r="M22" s="79"/>
      <c r="N22" s="79"/>
      <c r="O22" s="79"/>
    </row>
    <row r="23" spans="1:15" x14ac:dyDescent="0.3">
      <c r="D23" s="79"/>
      <c r="E23" s="79"/>
      <c r="F23" s="79"/>
      <c r="G23" s="79"/>
      <c r="I23" s="79"/>
      <c r="J23" s="79"/>
      <c r="K23" s="79"/>
      <c r="L23" s="79"/>
      <c r="M23" s="79"/>
      <c r="N23" s="79"/>
      <c r="O23" s="79"/>
    </row>
    <row r="24" spans="1:15" x14ac:dyDescent="0.3">
      <c r="D24" s="79"/>
      <c r="E24" s="79"/>
      <c r="F24" s="79"/>
      <c r="G24" s="79"/>
      <c r="I24" s="79"/>
      <c r="J24" s="79"/>
      <c r="K24" s="79"/>
      <c r="L24" s="79"/>
      <c r="M24" s="79"/>
      <c r="N24" s="79"/>
      <c r="O24" s="79"/>
    </row>
    <row r="25" spans="1:15" x14ac:dyDescent="0.3">
      <c r="D25" s="79"/>
      <c r="E25" s="79"/>
      <c r="F25" s="79"/>
      <c r="G25" s="79"/>
      <c r="I25" s="79"/>
      <c r="J25" s="79"/>
      <c r="K25" s="79"/>
      <c r="L25" s="79"/>
      <c r="M25" s="79"/>
      <c r="N25" s="79"/>
      <c r="O25" s="79"/>
    </row>
    <row r="26" spans="1:15" x14ac:dyDescent="0.3">
      <c r="D26" s="79"/>
      <c r="E26" s="79"/>
      <c r="F26" s="79"/>
      <c r="G26" s="79"/>
      <c r="I26" s="79"/>
      <c r="J26" s="79"/>
      <c r="K26" s="79"/>
      <c r="L26" s="79"/>
      <c r="M26" s="79"/>
      <c r="N26" s="79"/>
      <c r="O26" s="79"/>
    </row>
    <row r="27" spans="1:15" x14ac:dyDescent="0.3">
      <c r="D27" s="79"/>
      <c r="E27" s="79"/>
      <c r="F27" s="79"/>
      <c r="G27" s="79"/>
      <c r="I27" s="79"/>
      <c r="J27" s="79"/>
      <c r="K27" s="79"/>
      <c r="L27" s="79"/>
      <c r="M27" s="79"/>
      <c r="N27" s="79"/>
      <c r="O27" s="79"/>
    </row>
    <row r="28" spans="1:15" x14ac:dyDescent="0.3">
      <c r="D28" s="79"/>
      <c r="E28" s="79"/>
      <c r="F28" s="79"/>
      <c r="G28" s="79"/>
      <c r="I28" s="79"/>
      <c r="J28" s="79"/>
      <c r="K28" s="79"/>
      <c r="L28" s="79"/>
      <c r="M28" s="79"/>
      <c r="N28" s="79"/>
      <c r="O28" s="79"/>
    </row>
    <row r="29" spans="1:15" x14ac:dyDescent="0.3">
      <c r="I29" s="79"/>
      <c r="J29" s="79"/>
      <c r="K29" s="79"/>
      <c r="L29" s="79"/>
      <c r="M29" s="79"/>
      <c r="N29" s="79"/>
      <c r="O29" s="79"/>
    </row>
    <row r="30" spans="1:15" x14ac:dyDescent="0.3">
      <c r="A30" s="55"/>
    </row>
    <row r="36" spans="14:14" ht="18" x14ac:dyDescent="0.3">
      <c r="N36" s="53"/>
    </row>
    <row r="38" spans="14:14" ht="15.6" x14ac:dyDescent="0.3">
      <c r="N38" s="54"/>
    </row>
    <row r="39" spans="14:14" x14ac:dyDescent="0.3">
      <c r="N39" s="55"/>
    </row>
    <row r="40" spans="14:14" x14ac:dyDescent="0.3">
      <c r="N40" s="55"/>
    </row>
    <row r="41" spans="14:14" x14ac:dyDescent="0.3">
      <c r="N41" s="55"/>
    </row>
    <row r="42" spans="14:14" x14ac:dyDescent="0.3">
      <c r="N42" s="55"/>
    </row>
    <row r="43" spans="14:14" x14ac:dyDescent="0.3">
      <c r="N43" s="55"/>
    </row>
    <row r="44" spans="14:14" x14ac:dyDescent="0.3">
      <c r="N44" s="55"/>
    </row>
    <row r="45" spans="14:14" x14ac:dyDescent="0.3">
      <c r="N45" s="55"/>
    </row>
    <row r="46" spans="14:14" x14ac:dyDescent="0.3">
      <c r="N46" s="55"/>
    </row>
    <row r="48" spans="14:14" ht="15.6" x14ac:dyDescent="0.3">
      <c r="N48" s="54"/>
    </row>
    <row r="59" spans="1:1" x14ac:dyDescent="0.3">
      <c r="A59" s="55"/>
    </row>
    <row r="60" spans="1:1" x14ac:dyDescent="0.3">
      <c r="A60" s="55"/>
    </row>
    <row r="61" spans="1:1" x14ac:dyDescent="0.3">
      <c r="A61" s="55"/>
    </row>
    <row r="62" spans="1:1" x14ac:dyDescent="0.3">
      <c r="A62" s="55"/>
    </row>
    <row r="63" spans="1:1" x14ac:dyDescent="0.3">
      <c r="A63" s="55"/>
    </row>
    <row r="65" spans="1:1" ht="15.6" x14ac:dyDescent="0.3">
      <c r="A65" s="54"/>
    </row>
    <row r="66" spans="1:1" x14ac:dyDescent="0.3">
      <c r="A66" s="55"/>
    </row>
    <row r="67" spans="1:1" x14ac:dyDescent="0.3">
      <c r="A67" s="55"/>
    </row>
    <row r="68" spans="1:1" x14ac:dyDescent="0.3">
      <c r="A68" s="55"/>
    </row>
    <row r="69" spans="1:1" x14ac:dyDescent="0.3">
      <c r="A69" s="55"/>
    </row>
    <row r="70" spans="1:1" x14ac:dyDescent="0.3">
      <c r="A70" s="55"/>
    </row>
    <row r="71" spans="1:1" x14ac:dyDescent="0.3">
      <c r="A71" s="55"/>
    </row>
    <row r="72" spans="1:1" x14ac:dyDescent="0.3">
      <c r="A72" s="55"/>
    </row>
    <row r="73" spans="1:1" x14ac:dyDescent="0.3">
      <c r="A73" s="55"/>
    </row>
  </sheetData>
  <mergeCells count="2">
    <mergeCell ref="K12:M12"/>
    <mergeCell ref="D12:F12"/>
  </mergeCells>
  <dataValidations count="1">
    <dataValidation type="list" allowBlank="1" showInputMessage="1" showErrorMessage="1" sqref="D12:F12" xr:uid="{DF9A69A0-9622-450E-A499-2491A59C12BA}">
      <formula1>INDIRECT("TabFonction")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8B156BF5-E4D4-485D-A1F5-A734DDBE0288}">
          <x14:formula1>
            <xm:f>'Matrice Ressources-Compétences'!$B$15:$B$30</xm:f>
          </x14:formula1>
          <xm:sqref>K12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D9A60-AD9B-479E-AF20-993814EA7590}">
  <sheetPr codeName="ShPlanAcc">
    <tabColor rgb="FF00B050"/>
  </sheetPr>
  <dimension ref="B1:AF166"/>
  <sheetViews>
    <sheetView showGridLines="0" workbookViewId="0">
      <selection activeCell="C16" sqref="C16"/>
    </sheetView>
  </sheetViews>
  <sheetFormatPr baseColWidth="10" defaultColWidth="11.5546875" defaultRowHeight="14.4" x14ac:dyDescent="0.3"/>
  <cols>
    <col min="1" max="1" width="3.5546875" customWidth="1"/>
    <col min="2" max="2" width="58.5546875" customWidth="1"/>
    <col min="3" max="3" width="14.88671875" customWidth="1"/>
    <col min="4" max="4" width="26" customWidth="1"/>
    <col min="5" max="5" width="14.6640625" customWidth="1"/>
    <col min="6" max="6" width="41.6640625" customWidth="1"/>
    <col min="7" max="7" width="22.33203125" customWidth="1"/>
  </cols>
  <sheetData>
    <row r="1" spans="2:32" ht="19.95" customHeight="1" x14ac:dyDescent="0.3"/>
    <row r="2" spans="2:32" ht="16.2" hidden="1" customHeight="1" x14ac:dyDescent="0.3"/>
    <row r="3" spans="2:32" ht="19.95" customHeight="1" x14ac:dyDescent="0.3"/>
    <row r="4" spans="2:32" ht="14.4" hidden="1" customHeight="1" x14ac:dyDescent="0.3"/>
    <row r="5" spans="2:32" ht="19.95" customHeight="1" thickBot="1" x14ac:dyDescent="0.35"/>
    <row r="6" spans="2:32" ht="28.2" customHeight="1" thickTop="1" thickBot="1" x14ac:dyDescent="0.35">
      <c r="B6" s="7" t="s">
        <v>166</v>
      </c>
      <c r="C6" s="7"/>
      <c r="D6" s="6"/>
      <c r="E6" s="6"/>
      <c r="F6" s="6"/>
      <c r="G6" s="6"/>
      <c r="H6" s="6"/>
      <c r="I6" s="6"/>
      <c r="J6" s="6"/>
      <c r="K6" s="6"/>
      <c r="L6" s="6"/>
      <c r="M6" s="6"/>
      <c r="N6" s="6"/>
      <c r="O6" s="6"/>
      <c r="P6" s="6"/>
      <c r="Q6" s="6"/>
      <c r="R6" s="6"/>
      <c r="S6" s="6"/>
      <c r="T6" s="6"/>
      <c r="U6" s="6"/>
      <c r="V6" s="6"/>
      <c r="W6" s="6"/>
      <c r="X6" s="6"/>
      <c r="Y6" s="6"/>
      <c r="Z6" s="6"/>
      <c r="AA6" s="6"/>
      <c r="AB6" s="6"/>
      <c r="AC6" s="6"/>
      <c r="AD6" s="6"/>
      <c r="AE6" s="6"/>
      <c r="AF6" s="6"/>
    </row>
    <row r="7" spans="2:32" ht="12" customHeight="1" thickTop="1" x14ac:dyDescent="0.3"/>
    <row r="8" spans="2:32" ht="11.4" customHeight="1" x14ac:dyDescent="0.3">
      <c r="B8" s="52" t="s">
        <v>167</v>
      </c>
    </row>
    <row r="9" spans="2:32" ht="25.2" customHeight="1" x14ac:dyDescent="0.3">
      <c r="B9" s="49" t="s">
        <v>168</v>
      </c>
      <c r="C9" s="49" t="s">
        <v>169</v>
      </c>
      <c r="D9" s="49" t="s">
        <v>170</v>
      </c>
      <c r="E9" s="49" t="s">
        <v>171</v>
      </c>
      <c r="F9" s="49" t="s">
        <v>172</v>
      </c>
      <c r="G9" s="49" t="s">
        <v>173</v>
      </c>
    </row>
    <row r="10" spans="2:32" s="42" customFormat="1" ht="13.2" customHeight="1" x14ac:dyDescent="0.3">
      <c r="B10" s="43" t="s">
        <v>62</v>
      </c>
      <c r="C10" s="42">
        <v>3</v>
      </c>
      <c r="D10" s="42" t="s">
        <v>122</v>
      </c>
      <c r="G10" s="77"/>
    </row>
    <row r="11" spans="2:32" s="42" customFormat="1" ht="13.2" customHeight="1" x14ac:dyDescent="0.3">
      <c r="B11" s="43" t="s">
        <v>62</v>
      </c>
      <c r="C11" s="42">
        <v>1.1499999999999999</v>
      </c>
      <c r="D11" s="42" t="s">
        <v>121</v>
      </c>
      <c r="G11" s="77"/>
    </row>
    <row r="12" spans="2:32" s="42" customFormat="1" ht="13.2" customHeight="1" x14ac:dyDescent="0.3">
      <c r="B12" s="43" t="s">
        <v>64</v>
      </c>
      <c r="C12" s="42">
        <v>3</v>
      </c>
      <c r="D12" s="42" t="s">
        <v>122</v>
      </c>
      <c r="G12" s="77"/>
    </row>
    <row r="13" spans="2:32" s="42" customFormat="1" ht="13.2" customHeight="1" x14ac:dyDescent="0.3">
      <c r="B13" s="43" t="s">
        <v>65</v>
      </c>
      <c r="C13" s="42">
        <v>3</v>
      </c>
      <c r="D13" s="42" t="s">
        <v>122</v>
      </c>
      <c r="G13" s="77"/>
    </row>
    <row r="14" spans="2:32" s="42" customFormat="1" ht="13.2" customHeight="1" x14ac:dyDescent="0.3">
      <c r="B14" s="43" t="s">
        <v>66</v>
      </c>
      <c r="C14" s="42">
        <v>3</v>
      </c>
      <c r="D14" s="42" t="s">
        <v>122</v>
      </c>
      <c r="G14" s="77"/>
    </row>
    <row r="15" spans="2:32" s="42" customFormat="1" ht="13.2" customHeight="1" x14ac:dyDescent="0.3">
      <c r="B15" s="43" t="s">
        <v>67</v>
      </c>
      <c r="C15" s="42">
        <v>3</v>
      </c>
      <c r="D15" s="42" t="s">
        <v>122</v>
      </c>
      <c r="G15" s="77"/>
    </row>
    <row r="16" spans="2:32" s="42" customFormat="1" ht="13.2" customHeight="1" x14ac:dyDescent="0.3">
      <c r="B16" s="43" t="s">
        <v>68</v>
      </c>
      <c r="C16" s="42">
        <v>3</v>
      </c>
      <c r="D16" s="42" t="s">
        <v>122</v>
      </c>
      <c r="G16" s="77"/>
    </row>
    <row r="17" spans="2:7" s="42" customFormat="1" ht="13.2" customHeight="1" x14ac:dyDescent="0.3">
      <c r="B17" s="43" t="s">
        <v>69</v>
      </c>
      <c r="C17" s="42">
        <v>3</v>
      </c>
      <c r="D17" s="42" t="s">
        <v>122</v>
      </c>
      <c r="G17" s="77"/>
    </row>
    <row r="18" spans="2:7" s="42" customFormat="1" ht="13.2" customHeight="1" x14ac:dyDescent="0.3">
      <c r="B18" s="43" t="s">
        <v>70</v>
      </c>
      <c r="C18" s="42">
        <v>1</v>
      </c>
      <c r="D18" s="42" t="s">
        <v>122</v>
      </c>
      <c r="G18" s="77"/>
    </row>
    <row r="19" spans="2:7" s="42" customFormat="1" ht="13.2" customHeight="1" x14ac:dyDescent="0.3">
      <c r="B19" s="43" t="s">
        <v>71</v>
      </c>
      <c r="C19" s="42">
        <v>1</v>
      </c>
      <c r="D19" s="42" t="s">
        <v>122</v>
      </c>
      <c r="G19" s="77"/>
    </row>
    <row r="20" spans="2:7" s="42" customFormat="1" ht="13.2" customHeight="1" x14ac:dyDescent="0.3">
      <c r="B20" s="43" t="s">
        <v>72</v>
      </c>
      <c r="C20" s="42">
        <v>1</v>
      </c>
      <c r="D20" s="42" t="s">
        <v>122</v>
      </c>
      <c r="G20" s="77"/>
    </row>
    <row r="21" spans="2:7" s="42" customFormat="1" ht="13.2" customHeight="1" x14ac:dyDescent="0.3">
      <c r="B21" s="43" t="s">
        <v>73</v>
      </c>
      <c r="C21" s="42">
        <v>1</v>
      </c>
      <c r="D21" s="42" t="s">
        <v>122</v>
      </c>
      <c r="G21" s="77"/>
    </row>
    <row r="22" spans="2:7" s="42" customFormat="1" ht="13.2" customHeight="1" x14ac:dyDescent="0.3">
      <c r="B22" s="43" t="s">
        <v>74</v>
      </c>
      <c r="C22" s="42">
        <v>1</v>
      </c>
      <c r="D22" s="42" t="s">
        <v>122</v>
      </c>
      <c r="G22" s="77"/>
    </row>
    <row r="23" spans="2:7" s="42" customFormat="1" ht="13.2" customHeight="1" x14ac:dyDescent="0.3">
      <c r="B23" s="43" t="s">
        <v>75</v>
      </c>
      <c r="C23" s="42">
        <v>1</v>
      </c>
      <c r="D23" s="42" t="s">
        <v>122</v>
      </c>
      <c r="G23" s="77"/>
    </row>
    <row r="24" spans="2:7" s="42" customFormat="1" ht="13.2" customHeight="1" x14ac:dyDescent="0.3">
      <c r="B24" s="43" t="s">
        <v>76</v>
      </c>
      <c r="C24" s="42">
        <v>1</v>
      </c>
      <c r="D24" s="42" t="s">
        <v>122</v>
      </c>
      <c r="G24" s="77"/>
    </row>
    <row r="25" spans="2:7" s="42" customFormat="1" ht="13.2" customHeight="1" x14ac:dyDescent="0.3">
      <c r="B25" s="43" t="s">
        <v>77</v>
      </c>
      <c r="C25" s="42">
        <v>1</v>
      </c>
      <c r="D25" s="42" t="s">
        <v>122</v>
      </c>
      <c r="G25" s="77"/>
    </row>
    <row r="26" spans="2:7" s="42" customFormat="1" ht="13.2" customHeight="1" x14ac:dyDescent="0.3">
      <c r="B26" s="43" t="s">
        <v>78</v>
      </c>
      <c r="C26" s="42">
        <v>1</v>
      </c>
      <c r="D26" s="42" t="s">
        <v>122</v>
      </c>
      <c r="G26" s="77"/>
    </row>
    <row r="27" spans="2:7" s="42" customFormat="1" ht="13.2" customHeight="1" x14ac:dyDescent="0.3">
      <c r="B27" s="43" t="s">
        <v>79</v>
      </c>
      <c r="C27" s="42">
        <v>1</v>
      </c>
      <c r="D27" s="42" t="s">
        <v>122</v>
      </c>
      <c r="G27" s="77"/>
    </row>
    <row r="28" spans="2:7" s="42" customFormat="1" ht="13.2" customHeight="1" x14ac:dyDescent="0.3">
      <c r="B28" s="43" t="s">
        <v>80</v>
      </c>
      <c r="C28" s="42">
        <v>1</v>
      </c>
      <c r="D28" s="42" t="s">
        <v>122</v>
      </c>
      <c r="G28" s="77"/>
    </row>
    <row r="29" spans="2:7" s="42" customFormat="1" ht="13.2" customHeight="1" x14ac:dyDescent="0.3">
      <c r="B29" s="43" t="s">
        <v>81</v>
      </c>
      <c r="C29" s="42">
        <v>1</v>
      </c>
      <c r="D29" s="42" t="s">
        <v>122</v>
      </c>
      <c r="G29" s="77"/>
    </row>
    <row r="30" spans="2:7" s="42" customFormat="1" ht="13.2" customHeight="1" x14ac:dyDescent="0.3">
      <c r="B30" s="43" t="s">
        <v>82</v>
      </c>
      <c r="C30" s="42">
        <v>1</v>
      </c>
      <c r="D30" s="42" t="s">
        <v>122</v>
      </c>
      <c r="G30" s="77"/>
    </row>
    <row r="31" spans="2:7" s="42" customFormat="1" ht="13.2" customHeight="1" x14ac:dyDescent="0.3">
      <c r="B31" s="43" t="s">
        <v>83</v>
      </c>
      <c r="C31" s="42">
        <v>1</v>
      </c>
      <c r="D31" s="42" t="s">
        <v>122</v>
      </c>
      <c r="G31" s="77"/>
    </row>
    <row r="32" spans="2:7" s="42" customFormat="1" ht="13.2" customHeight="1" x14ac:dyDescent="0.3">
      <c r="B32" s="43" t="s">
        <v>84</v>
      </c>
      <c r="C32" s="42">
        <v>1</v>
      </c>
      <c r="D32" s="42" t="s">
        <v>122</v>
      </c>
      <c r="G32" s="77"/>
    </row>
    <row r="33" spans="2:7" s="42" customFormat="1" ht="13.2" customHeight="1" x14ac:dyDescent="0.3">
      <c r="B33" s="43" t="s">
        <v>85</v>
      </c>
      <c r="C33" s="42">
        <v>1</v>
      </c>
      <c r="D33" s="42" t="s">
        <v>122</v>
      </c>
      <c r="G33" s="77"/>
    </row>
    <row r="34" spans="2:7" s="42" customFormat="1" ht="13.2" customHeight="1" x14ac:dyDescent="0.3">
      <c r="B34" s="43" t="s">
        <v>86</v>
      </c>
      <c r="C34" s="42">
        <v>1</v>
      </c>
      <c r="D34" s="42" t="s">
        <v>122</v>
      </c>
      <c r="G34" s="77"/>
    </row>
    <row r="35" spans="2:7" ht="13.2" customHeight="1" x14ac:dyDescent="0.3">
      <c r="B35" s="43" t="s">
        <v>87</v>
      </c>
      <c r="C35" s="42">
        <v>1.24</v>
      </c>
      <c r="D35" s="42" t="s">
        <v>122</v>
      </c>
      <c r="E35" s="42"/>
      <c r="F35" s="42"/>
      <c r="G35" s="77"/>
    </row>
    <row r="36" spans="2:7" ht="13.2" customHeight="1" x14ac:dyDescent="0.3">
      <c r="B36" s="43" t="s">
        <v>88</v>
      </c>
      <c r="C36" s="42">
        <v>1.24</v>
      </c>
      <c r="D36" s="42" t="s">
        <v>122</v>
      </c>
      <c r="E36" s="42"/>
      <c r="F36" s="42"/>
      <c r="G36" s="77"/>
    </row>
    <row r="37" spans="2:7" ht="13.2" customHeight="1" x14ac:dyDescent="0.3">
      <c r="B37" s="43" t="s">
        <v>89</v>
      </c>
      <c r="C37" s="42">
        <v>1.24</v>
      </c>
      <c r="D37" s="42" t="s">
        <v>122</v>
      </c>
      <c r="E37" s="42"/>
      <c r="F37" s="42"/>
      <c r="G37" s="77"/>
    </row>
    <row r="38" spans="2:7" ht="13.2" customHeight="1" x14ac:dyDescent="0.3">
      <c r="B38" s="43" t="s">
        <v>90</v>
      </c>
      <c r="C38" s="42">
        <v>1.24</v>
      </c>
      <c r="D38" s="42" t="s">
        <v>122</v>
      </c>
      <c r="E38" s="42"/>
      <c r="F38" s="42"/>
      <c r="G38" s="77"/>
    </row>
    <row r="39" spans="2:7" ht="13.2" customHeight="1" x14ac:dyDescent="0.3">
      <c r="B39" s="43" t="s">
        <v>91</v>
      </c>
      <c r="C39" s="42">
        <v>1.24</v>
      </c>
      <c r="D39" s="42" t="s">
        <v>122</v>
      </c>
      <c r="E39" s="42"/>
      <c r="F39" s="42"/>
      <c r="G39" s="77"/>
    </row>
    <row r="40" spans="2:7" ht="13.2" customHeight="1" x14ac:dyDescent="0.3">
      <c r="B40" s="43" t="s">
        <v>92</v>
      </c>
      <c r="C40" s="42">
        <v>1.24</v>
      </c>
      <c r="D40" s="42" t="s">
        <v>122</v>
      </c>
      <c r="E40" s="42"/>
      <c r="F40" s="42"/>
      <c r="G40" s="77"/>
    </row>
    <row r="41" spans="2:7" ht="13.2" customHeight="1" x14ac:dyDescent="0.3">
      <c r="B41" s="43" t="s">
        <v>93</v>
      </c>
      <c r="C41" s="42">
        <v>1.24</v>
      </c>
      <c r="D41" s="42" t="s">
        <v>122</v>
      </c>
      <c r="E41" s="42"/>
      <c r="F41" s="42"/>
      <c r="G41" s="77"/>
    </row>
    <row r="42" spans="2:7" ht="13.2" customHeight="1" x14ac:dyDescent="0.3">
      <c r="B42" s="43" t="s">
        <v>94</v>
      </c>
      <c r="C42" s="42">
        <v>1.24</v>
      </c>
      <c r="D42" s="42" t="s">
        <v>122</v>
      </c>
      <c r="E42" s="42"/>
      <c r="F42" s="42"/>
      <c r="G42" s="77"/>
    </row>
    <row r="43" spans="2:7" ht="13.2" customHeight="1" x14ac:dyDescent="0.3">
      <c r="B43" s="43" t="s">
        <v>95</v>
      </c>
      <c r="C43" s="42">
        <v>1.24</v>
      </c>
      <c r="D43" s="42" t="s">
        <v>122</v>
      </c>
      <c r="E43" s="42"/>
      <c r="F43" s="42"/>
      <c r="G43" s="77"/>
    </row>
    <row r="44" spans="2:7" ht="13.2" customHeight="1" x14ac:dyDescent="0.3">
      <c r="B44" s="43" t="s">
        <v>96</v>
      </c>
      <c r="C44" s="42">
        <v>1.24</v>
      </c>
      <c r="D44" s="42" t="s">
        <v>122</v>
      </c>
      <c r="E44" s="42"/>
      <c r="F44" s="42"/>
      <c r="G44" s="77"/>
    </row>
    <row r="45" spans="2:7" ht="13.2" customHeight="1" x14ac:dyDescent="0.3">
      <c r="B45" s="43" t="s">
        <v>97</v>
      </c>
      <c r="C45" s="42">
        <v>1.24</v>
      </c>
      <c r="D45" s="42" t="s">
        <v>122</v>
      </c>
      <c r="E45" s="42"/>
      <c r="F45" s="42"/>
      <c r="G45" s="77"/>
    </row>
    <row r="46" spans="2:7" ht="13.2" customHeight="1" x14ac:dyDescent="0.3">
      <c r="B46" s="43" t="s">
        <v>98</v>
      </c>
      <c r="C46" s="42">
        <v>1.1499999999999999</v>
      </c>
      <c r="D46" s="42" t="s">
        <v>50</v>
      </c>
      <c r="E46" s="42"/>
      <c r="F46" s="42"/>
      <c r="G46" s="77"/>
    </row>
    <row r="47" spans="2:7" ht="13.2" customHeight="1" x14ac:dyDescent="0.3">
      <c r="B47" s="43" t="s">
        <v>98</v>
      </c>
      <c r="C47" s="42">
        <v>1.24</v>
      </c>
      <c r="D47" s="42" t="s">
        <v>122</v>
      </c>
      <c r="E47" s="42"/>
      <c r="F47" s="42"/>
      <c r="G47" s="77"/>
    </row>
    <row r="48" spans="2:7" ht="13.2" customHeight="1" x14ac:dyDescent="0.3">
      <c r="B48" s="43" t="s">
        <v>99</v>
      </c>
      <c r="C48" s="42">
        <v>1.24</v>
      </c>
      <c r="D48" s="42" t="s">
        <v>122</v>
      </c>
      <c r="E48" s="42"/>
      <c r="F48" s="42"/>
      <c r="G48" s="77"/>
    </row>
    <row r="49" spans="2:7" ht="13.2" customHeight="1" x14ac:dyDescent="0.3">
      <c r="B49" s="43" t="s">
        <v>100</v>
      </c>
      <c r="C49" s="42">
        <v>1.24</v>
      </c>
      <c r="D49" s="42" t="s">
        <v>122</v>
      </c>
      <c r="E49" s="42"/>
      <c r="F49" s="42"/>
      <c r="G49" s="77"/>
    </row>
    <row r="50" spans="2:7" ht="13.2" customHeight="1" x14ac:dyDescent="0.3">
      <c r="B50" s="43" t="s">
        <v>101</v>
      </c>
      <c r="C50" s="42">
        <v>0.67</v>
      </c>
      <c r="D50" s="42" t="s">
        <v>122</v>
      </c>
      <c r="E50" s="42"/>
      <c r="F50" s="42"/>
      <c r="G50" s="77"/>
    </row>
    <row r="51" spans="2:7" ht="13.2" customHeight="1" x14ac:dyDescent="0.3">
      <c r="B51" s="43" t="s">
        <v>102</v>
      </c>
      <c r="C51" s="42">
        <v>0.67</v>
      </c>
      <c r="D51" s="42" t="s">
        <v>122</v>
      </c>
      <c r="E51" s="42"/>
      <c r="F51" s="42"/>
      <c r="G51" s="77"/>
    </row>
    <row r="52" spans="2:7" ht="13.2" customHeight="1" x14ac:dyDescent="0.3">
      <c r="B52" s="43" t="s">
        <v>103</v>
      </c>
      <c r="C52" s="42">
        <v>0.67</v>
      </c>
      <c r="D52" s="42" t="s">
        <v>122</v>
      </c>
      <c r="E52" s="42"/>
      <c r="F52" s="42"/>
      <c r="G52" s="77"/>
    </row>
    <row r="53" spans="2:7" ht="13.2" customHeight="1" x14ac:dyDescent="0.3">
      <c r="B53" s="43" t="s">
        <v>104</v>
      </c>
      <c r="C53" s="42">
        <v>0.67</v>
      </c>
      <c r="D53" s="42" t="s">
        <v>122</v>
      </c>
      <c r="E53" s="42"/>
      <c r="F53" s="42"/>
      <c r="G53" s="77"/>
    </row>
    <row r="54" spans="2:7" ht="13.2" customHeight="1" x14ac:dyDescent="0.3">
      <c r="B54" s="43" t="s">
        <v>105</v>
      </c>
      <c r="C54" s="42">
        <v>0.67</v>
      </c>
      <c r="D54" s="42" t="s">
        <v>122</v>
      </c>
      <c r="E54" s="42"/>
      <c r="F54" s="42"/>
      <c r="G54" s="77"/>
    </row>
    <row r="55" spans="2:7" ht="13.2" customHeight="1" x14ac:dyDescent="0.3">
      <c r="B55" s="43" t="s">
        <v>106</v>
      </c>
      <c r="C55" s="42">
        <v>0.43</v>
      </c>
      <c r="D55" s="42" t="s">
        <v>122</v>
      </c>
      <c r="E55" s="42"/>
      <c r="F55" s="42"/>
      <c r="G55" s="77"/>
    </row>
    <row r="56" spans="2:7" ht="13.2" customHeight="1" x14ac:dyDescent="0.3">
      <c r="B56" s="43" t="s">
        <v>107</v>
      </c>
      <c r="C56" s="42">
        <v>0.43</v>
      </c>
      <c r="D56" s="42" t="s">
        <v>122</v>
      </c>
      <c r="E56" s="42"/>
      <c r="F56" s="42"/>
      <c r="G56" s="77"/>
    </row>
    <row r="57" spans="2:7" ht="13.2" customHeight="1" x14ac:dyDescent="0.3">
      <c r="B57" s="43" t="s">
        <v>108</v>
      </c>
      <c r="C57" s="42">
        <v>0.05</v>
      </c>
      <c r="D57" s="42" t="s">
        <v>122</v>
      </c>
      <c r="E57" s="42"/>
      <c r="F57" s="42"/>
      <c r="G57" s="77"/>
    </row>
    <row r="58" spans="2:7" ht="13.2" customHeight="1" x14ac:dyDescent="0.3">
      <c r="B58" s="43" t="s">
        <v>109</v>
      </c>
      <c r="C58" s="42">
        <v>0.05</v>
      </c>
      <c r="D58" s="42" t="s">
        <v>122</v>
      </c>
      <c r="E58" s="42"/>
      <c r="F58" s="42"/>
      <c r="G58" s="77"/>
    </row>
    <row r="59" spans="2:7" ht="13.2" customHeight="1" x14ac:dyDescent="0.3">
      <c r="B59" s="43" t="s">
        <v>110</v>
      </c>
      <c r="C59" s="42">
        <v>0.05</v>
      </c>
      <c r="D59" s="42" t="s">
        <v>122</v>
      </c>
      <c r="E59" s="42"/>
      <c r="F59" s="42"/>
      <c r="G59" s="77"/>
    </row>
    <row r="60" spans="2:7" ht="13.2" customHeight="1" x14ac:dyDescent="0.3">
      <c r="B60" s="43" t="s">
        <v>111</v>
      </c>
      <c r="C60" s="42">
        <v>0.05</v>
      </c>
      <c r="D60" s="42" t="s">
        <v>122</v>
      </c>
      <c r="E60" s="42"/>
      <c r="F60" s="42"/>
      <c r="G60" s="77"/>
    </row>
    <row r="61" spans="2:7" ht="13.2" customHeight="1" x14ac:dyDescent="0.3">
      <c r="B61" s="42"/>
      <c r="C61" s="42"/>
      <c r="D61" s="42"/>
      <c r="E61" s="42"/>
      <c r="F61" s="42"/>
    </row>
    <row r="62" spans="2:7" ht="13.2" customHeight="1" x14ac:dyDescent="0.3">
      <c r="B62" s="42"/>
      <c r="C62" s="42"/>
      <c r="D62" s="42"/>
      <c r="E62" s="42"/>
      <c r="F62" s="42"/>
    </row>
    <row r="63" spans="2:7" ht="13.2" customHeight="1" x14ac:dyDescent="0.3">
      <c r="B63" s="42"/>
      <c r="C63" s="42"/>
      <c r="D63" s="42"/>
      <c r="E63" s="42"/>
      <c r="F63" s="42"/>
    </row>
    <row r="64" spans="2:7" ht="13.2" customHeight="1" x14ac:dyDescent="0.3">
      <c r="B64" s="42"/>
      <c r="C64" s="42"/>
      <c r="D64" s="42"/>
      <c r="E64" s="42"/>
      <c r="F64" s="42"/>
    </row>
    <row r="65" spans="2:6" ht="13.2" customHeight="1" x14ac:dyDescent="0.3">
      <c r="B65" s="42"/>
      <c r="C65" s="42"/>
      <c r="D65" s="42"/>
      <c r="E65" s="42"/>
      <c r="F65" s="42"/>
    </row>
    <row r="66" spans="2:6" ht="13.2" customHeight="1" x14ac:dyDescent="0.3">
      <c r="B66" s="42"/>
      <c r="C66" s="42"/>
      <c r="D66" s="42"/>
      <c r="E66" s="42"/>
      <c r="F66" s="42"/>
    </row>
    <row r="67" spans="2:6" ht="13.2" customHeight="1" x14ac:dyDescent="0.3">
      <c r="B67" s="42"/>
      <c r="C67" s="42"/>
      <c r="D67" s="42"/>
      <c r="E67" s="42"/>
      <c r="F67" s="42"/>
    </row>
    <row r="68" spans="2:6" ht="13.2" customHeight="1" x14ac:dyDescent="0.3">
      <c r="B68" s="42"/>
      <c r="C68" s="42"/>
      <c r="D68" s="42"/>
      <c r="E68" s="42"/>
      <c r="F68" s="42"/>
    </row>
    <row r="69" spans="2:6" ht="13.2" customHeight="1" x14ac:dyDescent="0.3">
      <c r="B69" s="42"/>
      <c r="C69" s="42"/>
      <c r="D69" s="42"/>
      <c r="E69" s="42"/>
      <c r="F69" s="42"/>
    </row>
    <row r="70" spans="2:6" ht="13.2" customHeight="1" x14ac:dyDescent="0.3">
      <c r="B70" s="42"/>
      <c r="C70" s="42"/>
      <c r="D70" s="42"/>
      <c r="E70" s="42"/>
      <c r="F70" s="42"/>
    </row>
    <row r="71" spans="2:6" ht="13.2" customHeight="1" x14ac:dyDescent="0.3">
      <c r="B71" s="42"/>
      <c r="C71" s="42"/>
      <c r="D71" s="42"/>
      <c r="E71" s="42"/>
      <c r="F71" s="42"/>
    </row>
    <row r="72" spans="2:6" ht="13.2" customHeight="1" x14ac:dyDescent="0.3">
      <c r="B72" s="42"/>
      <c r="C72" s="42"/>
      <c r="D72" s="42"/>
      <c r="E72" s="42"/>
      <c r="F72" s="42"/>
    </row>
    <row r="73" spans="2:6" ht="13.2" customHeight="1" x14ac:dyDescent="0.3">
      <c r="B73" s="42"/>
      <c r="C73" s="42"/>
      <c r="D73" s="42"/>
      <c r="E73" s="42"/>
      <c r="F73" s="42"/>
    </row>
    <row r="74" spans="2:6" ht="13.2" customHeight="1" x14ac:dyDescent="0.3">
      <c r="B74" s="42"/>
      <c r="C74" s="42"/>
      <c r="D74" s="42"/>
      <c r="E74" s="42"/>
      <c r="F74" s="42"/>
    </row>
    <row r="75" spans="2:6" ht="13.2" customHeight="1" x14ac:dyDescent="0.3">
      <c r="B75" s="42"/>
      <c r="C75" s="42"/>
      <c r="D75" s="42"/>
      <c r="E75" s="42"/>
      <c r="F75" s="42"/>
    </row>
    <row r="76" spans="2:6" ht="13.2" customHeight="1" x14ac:dyDescent="0.3">
      <c r="B76" s="42"/>
      <c r="C76" s="42"/>
      <c r="D76" s="42"/>
      <c r="E76" s="42"/>
      <c r="F76" s="42"/>
    </row>
    <row r="77" spans="2:6" ht="13.2" customHeight="1" x14ac:dyDescent="0.3">
      <c r="B77" s="42"/>
      <c r="C77" s="42"/>
      <c r="D77" s="42"/>
      <c r="E77" s="42"/>
      <c r="F77" s="42"/>
    </row>
    <row r="78" spans="2:6" ht="13.2" customHeight="1" x14ac:dyDescent="0.3">
      <c r="B78" s="42"/>
      <c r="C78" s="42"/>
      <c r="D78" s="42"/>
      <c r="E78" s="42"/>
      <c r="F78" s="42"/>
    </row>
    <row r="79" spans="2:6" ht="13.2" customHeight="1" x14ac:dyDescent="0.3">
      <c r="B79" s="42"/>
      <c r="C79" s="42"/>
      <c r="D79" s="42"/>
      <c r="E79" s="42"/>
      <c r="F79" s="42"/>
    </row>
    <row r="80" spans="2:6" ht="13.2" customHeight="1" x14ac:dyDescent="0.3">
      <c r="B80" s="42"/>
      <c r="C80" s="42"/>
      <c r="D80" s="42"/>
      <c r="E80" s="42"/>
      <c r="F80" s="42"/>
    </row>
    <row r="81" spans="2:6" ht="13.2" customHeight="1" x14ac:dyDescent="0.3">
      <c r="B81" s="42"/>
      <c r="C81" s="42"/>
      <c r="D81" s="42"/>
      <c r="E81" s="42"/>
      <c r="F81" s="42"/>
    </row>
    <row r="82" spans="2:6" ht="13.2" customHeight="1" x14ac:dyDescent="0.3">
      <c r="B82" s="42"/>
      <c r="C82" s="42"/>
      <c r="D82" s="42"/>
      <c r="E82" s="42"/>
      <c r="F82" s="42"/>
    </row>
    <row r="83" spans="2:6" ht="13.2" customHeight="1" x14ac:dyDescent="0.3">
      <c r="B83" s="42"/>
      <c r="C83" s="42"/>
      <c r="D83" s="42"/>
      <c r="E83" s="42"/>
      <c r="F83" s="42"/>
    </row>
    <row r="84" spans="2:6" ht="13.2" customHeight="1" x14ac:dyDescent="0.3">
      <c r="B84" s="42"/>
      <c r="C84" s="42"/>
      <c r="D84" s="42"/>
      <c r="E84" s="42"/>
      <c r="F84" s="42"/>
    </row>
    <row r="85" spans="2:6" ht="13.2" customHeight="1" x14ac:dyDescent="0.3"/>
    <row r="86" spans="2:6" ht="13.2" customHeight="1" x14ac:dyDescent="0.3"/>
    <row r="87" spans="2:6" ht="13.2" customHeight="1" x14ac:dyDescent="0.3"/>
    <row r="88" spans="2:6" ht="13.2" customHeight="1" x14ac:dyDescent="0.3"/>
    <row r="89" spans="2:6" ht="13.2" customHeight="1" x14ac:dyDescent="0.3"/>
    <row r="90" spans="2:6" ht="13.2" customHeight="1" x14ac:dyDescent="0.3"/>
    <row r="91" spans="2:6" ht="13.2" customHeight="1" x14ac:dyDescent="0.3"/>
    <row r="92" spans="2:6" ht="13.2" customHeight="1" x14ac:dyDescent="0.3"/>
    <row r="93" spans="2:6" ht="13.2" customHeight="1" x14ac:dyDescent="0.3"/>
    <row r="94" spans="2:6" ht="13.2" customHeight="1" x14ac:dyDescent="0.3"/>
    <row r="95" spans="2:6" ht="13.2" customHeight="1" x14ac:dyDescent="0.3"/>
    <row r="96" spans="2:6" ht="13.2" customHeight="1" x14ac:dyDescent="0.3"/>
    <row r="97" ht="13.2" customHeight="1" x14ac:dyDescent="0.3"/>
    <row r="98" ht="13.2" customHeight="1" x14ac:dyDescent="0.3"/>
    <row r="99" ht="13.2" customHeight="1" x14ac:dyDescent="0.3"/>
    <row r="100" ht="13.2" customHeight="1" x14ac:dyDescent="0.3"/>
    <row r="101" ht="13.2" customHeight="1" x14ac:dyDescent="0.3"/>
    <row r="102" ht="13.2" customHeight="1" x14ac:dyDescent="0.3"/>
    <row r="103" ht="13.2" customHeight="1" x14ac:dyDescent="0.3"/>
    <row r="104" ht="13.2" customHeight="1" x14ac:dyDescent="0.3"/>
    <row r="105" ht="13.2" customHeight="1" x14ac:dyDescent="0.3"/>
    <row r="106" ht="13.2" customHeight="1" x14ac:dyDescent="0.3"/>
    <row r="107" ht="13.2" customHeight="1" x14ac:dyDescent="0.3"/>
    <row r="108" ht="13.2" customHeight="1" x14ac:dyDescent="0.3"/>
    <row r="109" ht="13.2" customHeight="1" x14ac:dyDescent="0.3"/>
    <row r="110" ht="13.2" customHeight="1" x14ac:dyDescent="0.3"/>
    <row r="111" ht="13.2" customHeight="1" x14ac:dyDescent="0.3"/>
    <row r="112" ht="13.2" customHeight="1" x14ac:dyDescent="0.3"/>
    <row r="113" ht="13.2" customHeight="1" x14ac:dyDescent="0.3"/>
    <row r="114" ht="13.2" customHeight="1" x14ac:dyDescent="0.3"/>
    <row r="115" ht="13.2" customHeight="1" x14ac:dyDescent="0.3"/>
    <row r="116" ht="13.2" customHeight="1" x14ac:dyDescent="0.3"/>
    <row r="117" ht="13.2" customHeight="1" x14ac:dyDescent="0.3"/>
    <row r="118" ht="13.2" customHeight="1" x14ac:dyDescent="0.3"/>
    <row r="119" ht="13.2" customHeight="1" x14ac:dyDescent="0.3"/>
    <row r="120" ht="13.2" customHeight="1" x14ac:dyDescent="0.3"/>
    <row r="121" ht="13.2" customHeight="1" x14ac:dyDescent="0.3"/>
    <row r="122" ht="13.2" customHeight="1" x14ac:dyDescent="0.3"/>
    <row r="123" ht="13.2" customHeight="1" x14ac:dyDescent="0.3"/>
    <row r="124" ht="13.2" customHeight="1" x14ac:dyDescent="0.3"/>
    <row r="125" ht="13.2" customHeight="1" x14ac:dyDescent="0.3"/>
    <row r="126" ht="13.2" customHeight="1" x14ac:dyDescent="0.3"/>
    <row r="127" ht="13.2" customHeight="1" x14ac:dyDescent="0.3"/>
    <row r="128" ht="13.2" customHeight="1" x14ac:dyDescent="0.3"/>
    <row r="129" ht="13.2" customHeight="1" x14ac:dyDescent="0.3"/>
    <row r="130" ht="13.2" customHeight="1" x14ac:dyDescent="0.3"/>
    <row r="131" ht="13.2" customHeight="1" x14ac:dyDescent="0.3"/>
    <row r="132" ht="13.2" customHeight="1" x14ac:dyDescent="0.3"/>
    <row r="133" ht="13.2" customHeight="1" x14ac:dyDescent="0.3"/>
    <row r="134" ht="13.2" customHeight="1" x14ac:dyDescent="0.3"/>
    <row r="135" ht="13.2" customHeight="1" x14ac:dyDescent="0.3"/>
    <row r="136" ht="13.2" customHeight="1" x14ac:dyDescent="0.3"/>
    <row r="137" ht="13.2" customHeight="1" x14ac:dyDescent="0.3"/>
    <row r="138" ht="13.2" customHeight="1" x14ac:dyDescent="0.3"/>
    <row r="139" ht="13.2" customHeight="1" x14ac:dyDescent="0.3"/>
    <row r="140" ht="13.2" customHeight="1" x14ac:dyDescent="0.3"/>
    <row r="141" ht="13.2" customHeight="1" x14ac:dyDescent="0.3"/>
    <row r="142" ht="13.2" customHeight="1" x14ac:dyDescent="0.3"/>
    <row r="143" ht="13.2" customHeight="1" x14ac:dyDescent="0.3"/>
    <row r="144" ht="13.2" customHeight="1" x14ac:dyDescent="0.3"/>
    <row r="145" ht="13.2" customHeight="1" x14ac:dyDescent="0.3"/>
    <row r="146" ht="13.2" customHeight="1" x14ac:dyDescent="0.3"/>
    <row r="147" ht="13.2" customHeight="1" x14ac:dyDescent="0.3"/>
    <row r="148" ht="13.2" customHeight="1" x14ac:dyDescent="0.3"/>
    <row r="149" ht="13.2" customHeight="1" x14ac:dyDescent="0.3"/>
    <row r="150" ht="13.2" customHeight="1" x14ac:dyDescent="0.3"/>
    <row r="151" ht="13.2" customHeight="1" x14ac:dyDescent="0.3"/>
    <row r="152" ht="13.2" customHeight="1" x14ac:dyDescent="0.3"/>
    <row r="153" ht="13.2" customHeight="1" x14ac:dyDescent="0.3"/>
    <row r="154" ht="13.2" customHeight="1" x14ac:dyDescent="0.3"/>
    <row r="155" ht="13.2" customHeight="1" x14ac:dyDescent="0.3"/>
    <row r="156" ht="13.2" customHeight="1" x14ac:dyDescent="0.3"/>
    <row r="157" ht="13.2" customHeight="1" x14ac:dyDescent="0.3"/>
    <row r="158" ht="13.2" customHeight="1" x14ac:dyDescent="0.3"/>
    <row r="159" ht="13.2" customHeight="1" x14ac:dyDescent="0.3"/>
    <row r="160" ht="13.2" customHeight="1" x14ac:dyDescent="0.3"/>
    <row r="161" ht="13.2" customHeight="1" x14ac:dyDescent="0.3"/>
    <row r="162" ht="13.2" customHeight="1" x14ac:dyDescent="0.3"/>
    <row r="163" ht="13.2" customHeight="1" x14ac:dyDescent="0.3"/>
    <row r="164" ht="13.2" customHeight="1" x14ac:dyDescent="0.3"/>
    <row r="165" ht="13.2" customHeight="1" x14ac:dyDescent="0.3"/>
    <row r="166" ht="13.2" customHeight="1" x14ac:dyDescent="0.3"/>
  </sheetData>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EF628-AA8C-4D66-A733-5E8ED9C61D1C}">
  <sheetPr codeName="ShSettings">
    <tabColor theme="4"/>
  </sheetPr>
  <dimension ref="A1:R72"/>
  <sheetViews>
    <sheetView showGridLines="0" topLeftCell="C6" workbookViewId="0">
      <selection activeCell="G27" sqref="G27"/>
    </sheetView>
  </sheetViews>
  <sheetFormatPr baseColWidth="10" defaultColWidth="0" defaultRowHeight="14.4" x14ac:dyDescent="0.3"/>
  <cols>
    <col min="1" max="1" width="3.109375" customWidth="1"/>
    <col min="2" max="2" width="5.6640625" customWidth="1"/>
    <col min="3" max="3" width="15.44140625" customWidth="1"/>
    <col min="4" max="4" width="16.88671875" customWidth="1"/>
    <col min="5" max="5" width="30.6640625" customWidth="1"/>
    <col min="6" max="6" width="5.5546875" customWidth="1"/>
    <col min="7" max="7" width="31.109375" customWidth="1"/>
    <col min="8" max="8" width="9.109375" customWidth="1"/>
    <col min="9" max="9" width="29.6640625" customWidth="1"/>
    <col min="10" max="10" width="16.44140625" customWidth="1"/>
    <col min="11" max="11" width="5.109375" customWidth="1"/>
    <col min="12" max="12" width="56.6640625" customWidth="1"/>
    <col min="13" max="13" width="17" customWidth="1"/>
    <col min="14" max="16" width="8.88671875" customWidth="1"/>
    <col min="17" max="18" width="0" hidden="1" customWidth="1"/>
    <col min="19" max="16384" width="8.88671875" hidden="1"/>
  </cols>
  <sheetData>
    <row r="1" spans="2:13" ht="19.95" customHeight="1" x14ac:dyDescent="0.3">
      <c r="E1" s="8" t="s">
        <v>0</v>
      </c>
      <c r="F1" s="8"/>
      <c r="G1" s="9" t="s">
        <v>1</v>
      </c>
      <c r="I1" s="8" t="s">
        <v>2</v>
      </c>
      <c r="J1" s="9" t="s">
        <v>3</v>
      </c>
      <c r="L1" s="1" t="s">
        <v>4</v>
      </c>
      <c r="M1" s="2">
        <v>44893</v>
      </c>
    </row>
    <row r="2" spans="2:13" ht="14.4" hidden="1" customHeight="1" x14ac:dyDescent="0.3">
      <c r="E2" s="10"/>
      <c r="F2" s="10"/>
      <c r="G2" s="11"/>
      <c r="I2" s="10"/>
      <c r="J2" s="11"/>
      <c r="L2" s="3"/>
      <c r="M2" s="4"/>
    </row>
    <row r="3" spans="2:13" ht="19.95" customHeight="1" x14ac:dyDescent="0.3">
      <c r="E3" s="8" t="s">
        <v>5</v>
      </c>
      <c r="F3" s="8"/>
      <c r="G3" s="9" t="s">
        <v>6</v>
      </c>
      <c r="I3" s="8" t="s">
        <v>7</v>
      </c>
      <c r="J3" s="9" t="s">
        <v>8</v>
      </c>
      <c r="L3" s="1" t="s">
        <v>9</v>
      </c>
      <c r="M3" s="2"/>
    </row>
    <row r="4" spans="2:13" ht="14.4" hidden="1" customHeight="1" x14ac:dyDescent="0.3">
      <c r="L4" s="3"/>
      <c r="M4" s="4"/>
    </row>
    <row r="5" spans="2:13" ht="19.95" customHeight="1" thickBot="1" x14ac:dyDescent="0.35">
      <c r="L5" s="5" t="s">
        <v>10</v>
      </c>
      <c r="M5" s="83" t="s">
        <v>11</v>
      </c>
    </row>
    <row r="6" spans="2:13" ht="28.2" customHeight="1" thickTop="1" thickBot="1" x14ac:dyDescent="0.35">
      <c r="B6" s="6"/>
      <c r="C6" s="7" t="s">
        <v>174</v>
      </c>
      <c r="D6" s="6"/>
      <c r="E6" s="6"/>
      <c r="F6" s="6"/>
      <c r="G6" s="6"/>
      <c r="H6" s="6"/>
      <c r="I6" s="6"/>
      <c r="J6" s="6"/>
      <c r="K6" s="6"/>
      <c r="L6" s="71">
        <v>2</v>
      </c>
      <c r="M6" s="71">
        <v>2</v>
      </c>
    </row>
    <row r="7" spans="2:13" ht="25.95" customHeight="1" thickTop="1" x14ac:dyDescent="0.3">
      <c r="H7" s="52"/>
    </row>
    <row r="8" spans="2:13" ht="21" customHeight="1" x14ac:dyDescent="0.3">
      <c r="D8" s="47" t="s">
        <v>175</v>
      </c>
    </row>
    <row r="9" spans="2:13" s="17" customFormat="1" ht="18" customHeight="1" x14ac:dyDescent="0.3">
      <c r="D9" s="28" t="s">
        <v>176</v>
      </c>
      <c r="E9" s="28" t="s">
        <v>177</v>
      </c>
      <c r="F9" s="45"/>
      <c r="G9" s="65" t="s">
        <v>53</v>
      </c>
      <c r="I9" s="66" t="s">
        <v>160</v>
      </c>
      <c r="J9" s="67" t="s">
        <v>178</v>
      </c>
      <c r="K9"/>
      <c r="L9" s="65" t="s">
        <v>168</v>
      </c>
    </row>
    <row r="10" spans="2:13" s="17" customFormat="1" hidden="1" x14ac:dyDescent="0.3">
      <c r="D10" s="18" t="s">
        <v>176</v>
      </c>
      <c r="E10" s="18" t="s">
        <v>177</v>
      </c>
      <c r="F10" s="18"/>
      <c r="G10" s="42" t="s">
        <v>53</v>
      </c>
      <c r="I10" s="42" t="s">
        <v>160</v>
      </c>
      <c r="J10" s="42" t="s">
        <v>178</v>
      </c>
      <c r="K10"/>
      <c r="L10" s="75" t="s">
        <v>168</v>
      </c>
    </row>
    <row r="11" spans="2:13" s="62" customFormat="1" ht="17.399999999999999" customHeight="1" x14ac:dyDescent="0.3">
      <c r="D11" s="19">
        <v>1</v>
      </c>
      <c r="E11" s="20" t="s">
        <v>179</v>
      </c>
      <c r="F11" s="20"/>
      <c r="G11" s="56" t="s">
        <v>50</v>
      </c>
      <c r="I11" s="64" t="s">
        <v>54</v>
      </c>
      <c r="J11" s="60">
        <v>2</v>
      </c>
      <c r="L11" s="72" t="s">
        <v>62</v>
      </c>
    </row>
    <row r="12" spans="2:13" s="62" customFormat="1" ht="17.399999999999999" customHeight="1" x14ac:dyDescent="0.3">
      <c r="D12" s="19">
        <v>2</v>
      </c>
      <c r="E12" s="20" t="s">
        <v>180</v>
      </c>
      <c r="F12" s="20"/>
      <c r="G12" s="56" t="s">
        <v>122</v>
      </c>
      <c r="I12" s="64" t="s">
        <v>55</v>
      </c>
      <c r="J12" s="60">
        <v>3</v>
      </c>
      <c r="L12" s="72" t="s">
        <v>64</v>
      </c>
    </row>
    <row r="13" spans="2:13" s="62" customFormat="1" ht="17.399999999999999" customHeight="1" x14ac:dyDescent="0.3">
      <c r="D13" s="19">
        <v>3</v>
      </c>
      <c r="E13" s="20" t="s">
        <v>181</v>
      </c>
      <c r="F13" s="20"/>
      <c r="G13" s="56" t="s">
        <v>126</v>
      </c>
      <c r="I13" s="64" t="s">
        <v>56</v>
      </c>
      <c r="J13" s="60">
        <v>4</v>
      </c>
      <c r="L13" s="72" t="s">
        <v>65</v>
      </c>
    </row>
    <row r="14" spans="2:13" s="62" customFormat="1" ht="17.399999999999999" customHeight="1" x14ac:dyDescent="0.3">
      <c r="D14" s="19">
        <v>4</v>
      </c>
      <c r="E14" s="20" t="s">
        <v>182</v>
      </c>
      <c r="F14" s="20"/>
      <c r="G14" s="56" t="s">
        <v>129</v>
      </c>
      <c r="I14" s="64" t="s">
        <v>57</v>
      </c>
      <c r="J14" s="60">
        <v>2</v>
      </c>
      <c r="L14" s="72" t="s">
        <v>66</v>
      </c>
    </row>
    <row r="15" spans="2:13" s="62" customFormat="1" ht="17.399999999999999" customHeight="1" x14ac:dyDescent="0.3">
      <c r="D15" s="19">
        <v>5</v>
      </c>
      <c r="E15" s="20" t="s">
        <v>183</v>
      </c>
      <c r="F15" s="20"/>
      <c r="G15" s="63" t="s">
        <v>63</v>
      </c>
      <c r="I15" s="64" t="s">
        <v>58</v>
      </c>
      <c r="J15" s="60">
        <v>4</v>
      </c>
      <c r="L15" s="72" t="s">
        <v>67</v>
      </c>
    </row>
    <row r="16" spans="2:13" s="62" customFormat="1" ht="17.399999999999999" customHeight="1" x14ac:dyDescent="0.3">
      <c r="G16" s="63" t="s">
        <v>121</v>
      </c>
      <c r="I16" s="64" t="s">
        <v>59</v>
      </c>
      <c r="J16" s="60">
        <v>1</v>
      </c>
      <c r="L16" s="72" t="s">
        <v>68</v>
      </c>
    </row>
    <row r="17" spans="7:12" s="62" customFormat="1" ht="17.399999999999999" customHeight="1" x14ac:dyDescent="0.3">
      <c r="G17" s="63" t="s">
        <v>126</v>
      </c>
      <c r="I17" s="64" t="s">
        <v>60</v>
      </c>
      <c r="J17" s="60">
        <v>2</v>
      </c>
      <c r="L17" s="72" t="s">
        <v>69</v>
      </c>
    </row>
    <row r="18" spans="7:12" s="62" customFormat="1" ht="17.399999999999999" customHeight="1" x14ac:dyDescent="0.3">
      <c r="G18" s="63" t="s">
        <v>124</v>
      </c>
      <c r="I18" s="64" t="s">
        <v>61</v>
      </c>
      <c r="J18" s="61">
        <v>3</v>
      </c>
      <c r="L18" s="72" t="s">
        <v>70</v>
      </c>
    </row>
    <row r="19" spans="7:12" s="62" customFormat="1" ht="17.399999999999999" customHeight="1" x14ac:dyDescent="0.3">
      <c r="G19" s="63" t="s">
        <v>128</v>
      </c>
      <c r="L19" s="72" t="s">
        <v>71</v>
      </c>
    </row>
    <row r="20" spans="7:12" s="62" customFormat="1" ht="17.399999999999999" customHeight="1" x14ac:dyDescent="0.3">
      <c r="G20" s="63" t="s">
        <v>116</v>
      </c>
      <c r="L20" s="72" t="s">
        <v>72</v>
      </c>
    </row>
    <row r="21" spans="7:12" s="62" customFormat="1" ht="17.399999999999999" customHeight="1" x14ac:dyDescent="0.3">
      <c r="G21" s="63" t="s">
        <v>123</v>
      </c>
      <c r="L21" s="72" t="s">
        <v>73</v>
      </c>
    </row>
    <row r="22" spans="7:12" s="62" customFormat="1" ht="17.399999999999999" customHeight="1" x14ac:dyDescent="0.3">
      <c r="G22" s="63" t="s">
        <v>125</v>
      </c>
      <c r="L22" s="72" t="s">
        <v>74</v>
      </c>
    </row>
    <row r="23" spans="7:12" s="62" customFormat="1" ht="17.399999999999999" customHeight="1" x14ac:dyDescent="0.3">
      <c r="G23" s="63" t="s">
        <v>118</v>
      </c>
      <c r="L23" s="72" t="s">
        <v>75</v>
      </c>
    </row>
    <row r="24" spans="7:12" s="62" customFormat="1" ht="17.399999999999999" customHeight="1" x14ac:dyDescent="0.3">
      <c r="G24" s="63" t="s">
        <v>120</v>
      </c>
      <c r="L24" s="72" t="s">
        <v>76</v>
      </c>
    </row>
    <row r="25" spans="7:12" s="62" customFormat="1" ht="17.399999999999999" customHeight="1" x14ac:dyDescent="0.3">
      <c r="G25" s="63" t="s">
        <v>117</v>
      </c>
      <c r="L25" s="72" t="s">
        <v>77</v>
      </c>
    </row>
    <row r="26" spans="7:12" s="62" customFormat="1" ht="17.399999999999999" customHeight="1" x14ac:dyDescent="0.3">
      <c r="G26" s="63" t="s">
        <v>119</v>
      </c>
      <c r="L26" s="72" t="s">
        <v>78</v>
      </c>
    </row>
    <row r="27" spans="7:12" s="62" customFormat="1" ht="17.399999999999999" customHeight="1" x14ac:dyDescent="0.3">
      <c r="L27" s="72" t="s">
        <v>79</v>
      </c>
    </row>
    <row r="28" spans="7:12" s="62" customFormat="1" ht="17.399999999999999" customHeight="1" x14ac:dyDescent="0.3">
      <c r="G28" s="43"/>
      <c r="L28" s="72" t="s">
        <v>80</v>
      </c>
    </row>
    <row r="29" spans="7:12" s="62" customFormat="1" ht="17.399999999999999" customHeight="1" x14ac:dyDescent="0.3">
      <c r="G29" s="43"/>
      <c r="L29" s="72" t="s">
        <v>81</v>
      </c>
    </row>
    <row r="30" spans="7:12" ht="17.399999999999999" customHeight="1" x14ac:dyDescent="0.3">
      <c r="G30" s="62"/>
      <c r="L30" s="72" t="s">
        <v>82</v>
      </c>
    </row>
    <row r="31" spans="7:12" ht="17.399999999999999" customHeight="1" x14ac:dyDescent="0.3">
      <c r="L31" s="72" t="s">
        <v>83</v>
      </c>
    </row>
    <row r="32" spans="7:12" ht="17.399999999999999" customHeight="1" x14ac:dyDescent="0.3">
      <c r="L32" s="72" t="s">
        <v>84</v>
      </c>
    </row>
    <row r="33" spans="12:12" ht="17.399999999999999" customHeight="1" x14ac:dyDescent="0.3">
      <c r="L33" s="72" t="s">
        <v>85</v>
      </c>
    </row>
    <row r="34" spans="12:12" ht="17.399999999999999" customHeight="1" x14ac:dyDescent="0.3">
      <c r="L34" s="72" t="s">
        <v>86</v>
      </c>
    </row>
    <row r="35" spans="12:12" ht="17.399999999999999" customHeight="1" x14ac:dyDescent="0.3">
      <c r="L35" s="72" t="s">
        <v>87</v>
      </c>
    </row>
    <row r="36" spans="12:12" ht="17.399999999999999" customHeight="1" x14ac:dyDescent="0.3">
      <c r="L36" s="72" t="s">
        <v>88</v>
      </c>
    </row>
    <row r="37" spans="12:12" ht="17.399999999999999" customHeight="1" x14ac:dyDescent="0.3">
      <c r="L37" s="72" t="s">
        <v>89</v>
      </c>
    </row>
    <row r="38" spans="12:12" ht="17.399999999999999" customHeight="1" x14ac:dyDescent="0.3">
      <c r="L38" s="72" t="s">
        <v>90</v>
      </c>
    </row>
    <row r="39" spans="12:12" ht="17.399999999999999" customHeight="1" x14ac:dyDescent="0.3">
      <c r="L39" s="72" t="s">
        <v>91</v>
      </c>
    </row>
    <row r="40" spans="12:12" ht="17.399999999999999" customHeight="1" x14ac:dyDescent="0.3">
      <c r="L40" s="72" t="s">
        <v>92</v>
      </c>
    </row>
    <row r="41" spans="12:12" ht="17.399999999999999" customHeight="1" x14ac:dyDescent="0.3">
      <c r="L41" s="72" t="s">
        <v>93</v>
      </c>
    </row>
    <row r="42" spans="12:12" ht="17.399999999999999" customHeight="1" x14ac:dyDescent="0.3">
      <c r="L42" s="72" t="s">
        <v>94</v>
      </c>
    </row>
    <row r="43" spans="12:12" ht="17.399999999999999" customHeight="1" x14ac:dyDescent="0.3">
      <c r="L43" s="72" t="s">
        <v>95</v>
      </c>
    </row>
    <row r="44" spans="12:12" ht="17.399999999999999" customHeight="1" x14ac:dyDescent="0.3">
      <c r="L44" s="72" t="s">
        <v>96</v>
      </c>
    </row>
    <row r="45" spans="12:12" ht="17.399999999999999" customHeight="1" x14ac:dyDescent="0.3">
      <c r="L45" s="72" t="s">
        <v>97</v>
      </c>
    </row>
    <row r="46" spans="12:12" ht="17.399999999999999" customHeight="1" x14ac:dyDescent="0.3">
      <c r="L46" s="72" t="s">
        <v>98</v>
      </c>
    </row>
    <row r="47" spans="12:12" ht="17.399999999999999" customHeight="1" x14ac:dyDescent="0.3">
      <c r="L47" s="72" t="s">
        <v>99</v>
      </c>
    </row>
    <row r="48" spans="12:12" ht="17.399999999999999" customHeight="1" x14ac:dyDescent="0.3">
      <c r="L48" s="72" t="s">
        <v>100</v>
      </c>
    </row>
    <row r="49" spans="12:12" ht="17.399999999999999" customHeight="1" x14ac:dyDescent="0.3">
      <c r="L49" s="72" t="s">
        <v>101</v>
      </c>
    </row>
    <row r="50" spans="12:12" ht="17.399999999999999" customHeight="1" x14ac:dyDescent="0.3">
      <c r="L50" s="72" t="s">
        <v>102</v>
      </c>
    </row>
    <row r="51" spans="12:12" ht="17.399999999999999" customHeight="1" x14ac:dyDescent="0.3">
      <c r="L51" s="72" t="s">
        <v>103</v>
      </c>
    </row>
    <row r="52" spans="12:12" ht="17.399999999999999" customHeight="1" x14ac:dyDescent="0.3">
      <c r="L52" s="72" t="s">
        <v>104</v>
      </c>
    </row>
    <row r="53" spans="12:12" ht="17.399999999999999" customHeight="1" x14ac:dyDescent="0.3">
      <c r="L53" s="72" t="s">
        <v>105</v>
      </c>
    </row>
    <row r="54" spans="12:12" ht="17.399999999999999" customHeight="1" x14ac:dyDescent="0.3">
      <c r="L54" s="72" t="s">
        <v>106</v>
      </c>
    </row>
    <row r="55" spans="12:12" ht="17.399999999999999" customHeight="1" x14ac:dyDescent="0.3">
      <c r="L55" s="72" t="s">
        <v>107</v>
      </c>
    </row>
    <row r="56" spans="12:12" ht="17.399999999999999" customHeight="1" x14ac:dyDescent="0.3">
      <c r="L56" s="72" t="s">
        <v>108</v>
      </c>
    </row>
    <row r="57" spans="12:12" ht="17.399999999999999" customHeight="1" x14ac:dyDescent="0.3">
      <c r="L57" s="72" t="s">
        <v>109</v>
      </c>
    </row>
    <row r="58" spans="12:12" ht="17.399999999999999" customHeight="1" x14ac:dyDescent="0.3">
      <c r="L58" s="72" t="s">
        <v>110</v>
      </c>
    </row>
    <row r="59" spans="12:12" ht="17.399999999999999" customHeight="1" x14ac:dyDescent="0.3">
      <c r="L59" s="72" t="s">
        <v>111</v>
      </c>
    </row>
    <row r="60" spans="12:12" ht="17.399999999999999" customHeight="1" x14ac:dyDescent="0.3">
      <c r="L60" s="72" t="s">
        <v>112</v>
      </c>
    </row>
    <row r="61" spans="12:12" ht="17.399999999999999" customHeight="1" x14ac:dyDescent="0.3">
      <c r="L61" s="72" t="s">
        <v>113</v>
      </c>
    </row>
    <row r="62" spans="12:12" ht="17.399999999999999" customHeight="1" x14ac:dyDescent="0.3">
      <c r="L62" s="72" t="s">
        <v>114</v>
      </c>
    </row>
    <row r="63" spans="12:12" ht="17.399999999999999" customHeight="1" x14ac:dyDescent="0.3">
      <c r="L63" s="73" t="s">
        <v>115</v>
      </c>
    </row>
    <row r="64" spans="12:12" ht="17.399999999999999" customHeight="1" x14ac:dyDescent="0.3"/>
    <row r="65" ht="17.399999999999999" customHeight="1" x14ac:dyDescent="0.3"/>
    <row r="66" ht="17.399999999999999" customHeight="1" x14ac:dyDescent="0.3"/>
    <row r="67" ht="17.399999999999999" customHeight="1" x14ac:dyDescent="0.3"/>
    <row r="68" ht="17.399999999999999" customHeight="1" x14ac:dyDescent="0.3"/>
    <row r="69" ht="17.399999999999999" customHeight="1" x14ac:dyDescent="0.3"/>
    <row r="70" ht="17.399999999999999" customHeight="1" x14ac:dyDescent="0.3"/>
    <row r="71" ht="17.399999999999999" customHeight="1" x14ac:dyDescent="0.3"/>
    <row r="72" ht="17.399999999999999" customHeight="1" x14ac:dyDescent="0.3"/>
  </sheetData>
  <phoneticPr fontId="10" type="noConversion"/>
  <conditionalFormatting sqref="G11:G14">
    <cfRule type="colorScale" priority="4218">
      <colorScale>
        <cfvo type="min"/>
        <cfvo type="max"/>
        <color rgb="FFFFEF9C"/>
        <color rgb="FF63BE7B"/>
      </colorScale>
    </cfRule>
  </conditionalFormatting>
  <pageMargins left="0.7" right="0.7" top="0.75" bottom="0.75" header="0.3" footer="0.3"/>
  <pageSetup paperSize="9" orientation="portrait"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D01E-7D69-4010-87E6-F68C33E8EFA7}">
  <sheetPr codeName="ShBackendRess">
    <tabColor rgb="FFFF0000"/>
  </sheetPr>
  <dimension ref="A1:E26"/>
  <sheetViews>
    <sheetView showGridLines="0" workbookViewId="0">
      <selection activeCell="D7" sqref="D7"/>
    </sheetView>
  </sheetViews>
  <sheetFormatPr baseColWidth="10" defaultColWidth="8.88671875" defaultRowHeight="14.4" x14ac:dyDescent="0.3"/>
  <cols>
    <col min="1" max="1" width="19.109375" customWidth="1"/>
    <col min="2" max="2" width="37.33203125" customWidth="1"/>
    <col min="3" max="3" width="27.88671875" style="42" customWidth="1"/>
    <col min="4" max="4" width="26.109375" style="42" customWidth="1"/>
    <col min="5" max="5" width="24" style="77" customWidth="1"/>
    <col min="6" max="11" width="22.21875" customWidth="1"/>
  </cols>
  <sheetData>
    <row r="1" spans="1:5" ht="16.2" customHeight="1" x14ac:dyDescent="0.3">
      <c r="A1" s="85" t="s">
        <v>165</v>
      </c>
      <c r="B1" s="85" t="s">
        <v>160</v>
      </c>
      <c r="C1" s="85" t="s">
        <v>161</v>
      </c>
      <c r="D1" s="85" t="s">
        <v>170</v>
      </c>
      <c r="E1" s="85" t="s">
        <v>163</v>
      </c>
    </row>
    <row r="2" spans="1:5" x14ac:dyDescent="0.3">
      <c r="A2" t="s">
        <v>137</v>
      </c>
      <c r="B2" t="s">
        <v>54</v>
      </c>
    </row>
    <row r="3" spans="1:5" x14ac:dyDescent="0.3">
      <c r="A3" t="s">
        <v>137</v>
      </c>
      <c r="B3" t="s">
        <v>55</v>
      </c>
    </row>
    <row r="4" spans="1:5" x14ac:dyDescent="0.3">
      <c r="A4" t="s">
        <v>137</v>
      </c>
      <c r="B4" t="s">
        <v>56</v>
      </c>
    </row>
    <row r="5" spans="1:5" x14ac:dyDescent="0.3">
      <c r="A5" t="s">
        <v>137</v>
      </c>
      <c r="B5" t="s">
        <v>57</v>
      </c>
    </row>
    <row r="6" spans="1:5" x14ac:dyDescent="0.3">
      <c r="A6" t="s">
        <v>137</v>
      </c>
      <c r="B6" t="s">
        <v>58</v>
      </c>
    </row>
    <row r="7" spans="1:5" x14ac:dyDescent="0.3">
      <c r="A7" t="s">
        <v>137</v>
      </c>
      <c r="B7" t="s">
        <v>59</v>
      </c>
    </row>
    <row r="8" spans="1:5" x14ac:dyDescent="0.3">
      <c r="A8" t="s">
        <v>137</v>
      </c>
      <c r="B8" t="s">
        <v>60</v>
      </c>
    </row>
    <row r="9" spans="1:5" x14ac:dyDescent="0.3">
      <c r="A9" t="s">
        <v>137</v>
      </c>
      <c r="B9" t="s">
        <v>61</v>
      </c>
    </row>
    <row r="10" spans="1:5" x14ac:dyDescent="0.3">
      <c r="A10" t="s">
        <v>137</v>
      </c>
      <c r="B10" t="s">
        <v>400</v>
      </c>
    </row>
    <row r="11" spans="1:5" x14ac:dyDescent="0.3">
      <c r="A11" t="s">
        <v>136</v>
      </c>
      <c r="B11" t="s">
        <v>54</v>
      </c>
    </row>
    <row r="12" spans="1:5" x14ac:dyDescent="0.3">
      <c r="A12" t="s">
        <v>136</v>
      </c>
      <c r="B12" t="s">
        <v>55</v>
      </c>
    </row>
    <row r="13" spans="1:5" x14ac:dyDescent="0.3">
      <c r="A13" t="s">
        <v>136</v>
      </c>
      <c r="B13" t="s">
        <v>56</v>
      </c>
    </row>
    <row r="14" spans="1:5" x14ac:dyDescent="0.3">
      <c r="A14" t="s">
        <v>136</v>
      </c>
      <c r="B14" t="s">
        <v>57</v>
      </c>
    </row>
    <row r="15" spans="1:5" x14ac:dyDescent="0.3">
      <c r="A15" t="s">
        <v>136</v>
      </c>
      <c r="B15" t="s">
        <v>58</v>
      </c>
    </row>
    <row r="16" spans="1:5" x14ac:dyDescent="0.3">
      <c r="A16" t="s">
        <v>136</v>
      </c>
      <c r="B16" t="s">
        <v>59</v>
      </c>
    </row>
    <row r="17" spans="1:3" x14ac:dyDescent="0.3">
      <c r="A17" t="s">
        <v>136</v>
      </c>
      <c r="B17" t="s">
        <v>60</v>
      </c>
    </row>
    <row r="18" spans="1:3" x14ac:dyDescent="0.3">
      <c r="A18" t="s">
        <v>136</v>
      </c>
      <c r="B18" t="s">
        <v>61</v>
      </c>
    </row>
    <row r="19" spans="1:3" x14ac:dyDescent="0.3">
      <c r="A19" t="s">
        <v>135</v>
      </c>
      <c r="B19" t="s">
        <v>54</v>
      </c>
      <c r="C19" s="42" t="s">
        <v>402</v>
      </c>
    </row>
    <row r="20" spans="1:3" x14ac:dyDescent="0.3">
      <c r="A20" t="s">
        <v>135</v>
      </c>
      <c r="B20" t="s">
        <v>55</v>
      </c>
    </row>
    <row r="21" spans="1:3" x14ac:dyDescent="0.3">
      <c r="A21" t="s">
        <v>135</v>
      </c>
      <c r="B21" t="s">
        <v>56</v>
      </c>
    </row>
    <row r="22" spans="1:3" x14ac:dyDescent="0.3">
      <c r="A22" t="s">
        <v>135</v>
      </c>
      <c r="B22" t="s">
        <v>57</v>
      </c>
    </row>
    <row r="23" spans="1:3" x14ac:dyDescent="0.3">
      <c r="A23" t="s">
        <v>135</v>
      </c>
      <c r="B23" t="s">
        <v>58</v>
      </c>
    </row>
    <row r="24" spans="1:3" x14ac:dyDescent="0.3">
      <c r="A24" t="s">
        <v>135</v>
      </c>
      <c r="B24" t="s">
        <v>59</v>
      </c>
    </row>
    <row r="25" spans="1:3" x14ac:dyDescent="0.3">
      <c r="A25" t="s">
        <v>135</v>
      </c>
      <c r="B25" t="s">
        <v>60</v>
      </c>
    </row>
    <row r="26" spans="1:3" x14ac:dyDescent="0.3">
      <c r="A26" t="s">
        <v>135</v>
      </c>
      <c r="B26" t="s">
        <v>61</v>
      </c>
    </row>
  </sheetData>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BEFD3-97FA-4594-A44D-16CD59A740E9}">
  <sheetPr codeName="ShBackEnd">
    <tabColor rgb="FFFF0000"/>
  </sheetPr>
  <dimension ref="A1:AJ14"/>
  <sheetViews>
    <sheetView showGridLines="0" workbookViewId="0">
      <selection activeCell="L9" sqref="L9"/>
    </sheetView>
  </sheetViews>
  <sheetFormatPr baseColWidth="10" defaultColWidth="8.88671875" defaultRowHeight="14.4" x14ac:dyDescent="0.3"/>
  <cols>
    <col min="1" max="1" width="3.5546875" bestFit="1" customWidth="1"/>
    <col min="2" max="2" width="10.109375" customWidth="1"/>
    <col min="4" max="30" width="8.6640625" customWidth="1"/>
  </cols>
  <sheetData>
    <row r="1" spans="1:36" ht="49.2" customHeight="1" x14ac:dyDescent="0.3">
      <c r="A1" s="109" t="s">
        <v>50</v>
      </c>
      <c r="B1" s="110"/>
      <c r="I1" s="58"/>
      <c r="J1" s="58"/>
      <c r="K1" s="58"/>
      <c r="N1" s="104" t="s">
        <v>50</v>
      </c>
      <c r="O1" s="105"/>
      <c r="P1" s="106"/>
    </row>
    <row r="2" spans="1:36" ht="55.95" customHeight="1" x14ac:dyDescent="0.3">
      <c r="A2" s="25" t="s">
        <v>175</v>
      </c>
      <c r="B2" s="26" t="s">
        <v>184</v>
      </c>
      <c r="I2" s="104" t="s">
        <v>50</v>
      </c>
      <c r="J2" s="105"/>
      <c r="K2" s="106"/>
      <c r="N2" s="27" t="s">
        <v>156</v>
      </c>
      <c r="O2" s="27" t="s">
        <v>157</v>
      </c>
      <c r="P2" s="27" t="s">
        <v>158</v>
      </c>
    </row>
    <row r="3" spans="1:36" ht="24" x14ac:dyDescent="0.3">
      <c r="I3" s="27" t="s">
        <v>156</v>
      </c>
      <c r="J3" s="27" t="s">
        <v>157</v>
      </c>
      <c r="K3" s="27" t="s">
        <v>158</v>
      </c>
    </row>
    <row r="7" spans="1:36" x14ac:dyDescent="0.3">
      <c r="I7" s="59"/>
      <c r="K7" s="59"/>
    </row>
    <row r="14" spans="1:36" x14ac:dyDescent="0.3">
      <c r="C14" s="51" t="s">
        <v>185</v>
      </c>
      <c r="D14" s="78">
        <f>IFERROR(AVERAGEIFS(INDEX(TabTachesCompetences[],,3), INDEX(TabTachesCompetences[],,2), P_Fonction), "")</f>
        <v>1.3584905660377358</v>
      </c>
      <c r="E14" s="78">
        <f>IFERROR(AVERAGEIFS(INDEX(TabTachesCompetences[],,4), INDEX(TabTachesCompetences[],,2), P_Fonction), "")</f>
        <v>1.5849056603773586</v>
      </c>
      <c r="F14" s="78">
        <f>IFERROR(AVERAGEIFS(INDEX(TabTachesCompetences[],,5), INDEX(TabTachesCompetences[],,2), P_Fonction), "")</f>
        <v>1.7358490566037736</v>
      </c>
      <c r="G14" s="78">
        <f>IFERROR(AVERAGEIFS(INDEX(TabTachesCompetences[],,6), INDEX(TabTachesCompetences[],,2), P_Fonction), "")</f>
        <v>1.7735849056603774</v>
      </c>
      <c r="H14" s="78">
        <f>IFERROR(AVERAGEIFS(INDEX(TabTachesCompetences[],,7), INDEX(TabTachesCompetences[],,2), P_Fonction), "")</f>
        <v>1.8490566037735849</v>
      </c>
      <c r="I14" s="78">
        <f>IFERROR(AVERAGEIFS(INDEX(TabTachesCompetences[],,8), INDEX(TabTachesCompetences[],,2), P_Fonction), "")</f>
        <v>1.7924528301886793</v>
      </c>
      <c r="J14" s="78">
        <f>IFERROR(AVERAGEIFS(INDEX(TabTachesCompetences[],,9), INDEX(TabTachesCompetences[],,2), P_Fonction), "")</f>
        <v>1.9056603773584906</v>
      </c>
      <c r="K14" s="78">
        <f>IFERROR(AVERAGEIFS(INDEX(TabTachesCompetences[],,10), INDEX(TabTachesCompetences[],,2), P_Fonction), "")</f>
        <v>1.8490566037735849</v>
      </c>
      <c r="L14" s="78" t="str">
        <f>IFERROR(AVERAGEIFS(INDEX(TabTachesCompetences[],,11), INDEX(TabTachesCompetences[],,2), P_Fonction), "")</f>
        <v/>
      </c>
      <c r="M14" s="78" t="str">
        <f>IFERROR(AVERAGEIFS(INDEX(TabTachesCompetences[],,12), INDEX(TabTachesCompetences[],,2), P_Fonction), "")</f>
        <v/>
      </c>
      <c r="N14" s="78" t="str">
        <f>IFERROR(AVERAGEIFS(INDEX(TabTachesCompetences[],,13), INDEX(TabTachesCompetences[],,2), P_Fonction), "")</f>
        <v/>
      </c>
      <c r="O14" s="78" t="str">
        <f>IFERROR(AVERAGEIFS(INDEX(TabTachesCompetences[],,14), INDEX(TabTachesCompetences[],,2), P_Fonction), "")</f>
        <v/>
      </c>
      <c r="P14" s="78" t="str">
        <f>IFERROR(AVERAGEIFS(INDEX(TabTachesCompetences[],,15), INDEX(TabTachesCompetences[],,2), P_Fonction), "")</f>
        <v/>
      </c>
      <c r="Q14" s="78" t="str">
        <f>IFERROR(AVERAGEIFS(INDEX(TabTachesCompetences[],,16), INDEX(TabTachesCompetences[],,2), P_Fonction), "")</f>
        <v/>
      </c>
      <c r="R14" s="78" t="str">
        <f>IFERROR(AVERAGEIFS(INDEX(TabTachesCompetences[],,17), INDEX(TabTachesCompetences[],,2), P_Fonction), "")</f>
        <v/>
      </c>
      <c r="S14" s="78" t="str">
        <f>IFERROR(AVERAGEIFS(INDEX(TabTachesCompetences[],,18), INDEX(TabTachesCompetences[],,2), P_Fonction), "")</f>
        <v/>
      </c>
      <c r="T14" s="78" t="str">
        <f>IFERROR(AVERAGEIFS(INDEX(TabTachesCompetences[],,19), INDEX(TabTachesCompetences[],,2), P_Fonction), "")</f>
        <v/>
      </c>
      <c r="U14" s="78" t="str">
        <f>IFERROR(AVERAGEIFS(INDEX(TabTachesCompetences[],,20), INDEX(TabTachesCompetences[],,2), P_Fonction), "")</f>
        <v/>
      </c>
      <c r="V14" s="78" t="str">
        <f>IFERROR(AVERAGEIFS(INDEX(TabTachesCompetences[],,21), INDEX(TabTachesCompetences[],,2), P_Fonction), "")</f>
        <v/>
      </c>
      <c r="W14" s="78" t="str">
        <f>IFERROR(AVERAGEIFS(INDEX(TabTachesCompetences[],,22), INDEX(TabTachesCompetences[],,2), P_Fonction), "")</f>
        <v/>
      </c>
      <c r="X14" s="78" t="str">
        <f>IFERROR(AVERAGEIFS(INDEX(TabTachesCompetences[],,23), INDEX(TabTachesCompetences[],,2), P_Fonction), "")</f>
        <v/>
      </c>
      <c r="Y14" s="78" t="str">
        <f>IFERROR(AVERAGEIFS(INDEX(TabTachesCompetences[],,24), INDEX(TabTachesCompetences[],,2), P_Fonction), "")</f>
        <v/>
      </c>
      <c r="Z14" s="78" t="str">
        <f>IFERROR(AVERAGEIFS(INDEX(TabTachesCompetences[],,25), INDEX(TabTachesCompetences[],,2), P_Fonction), "")</f>
        <v/>
      </c>
      <c r="AA14" s="78" t="str">
        <f>IFERROR(AVERAGEIFS(INDEX(TabTachesCompetences[],,26), INDEX(TabTachesCompetences[],,2), P_Fonction), "")</f>
        <v/>
      </c>
      <c r="AB14" s="78" t="str">
        <f>IFERROR(AVERAGEIFS(INDEX(TabTachesCompetences[],,27), INDEX(TabTachesCompetences[],,2), P_Fonction), "")</f>
        <v/>
      </c>
      <c r="AC14" s="78" t="str">
        <f>IFERROR(AVERAGEIFS(INDEX(TabTachesCompetences[],,28), INDEX(TabTachesCompetences[],,2), P_Fonction), "")</f>
        <v/>
      </c>
      <c r="AD14" s="78" t="str">
        <f>IFERROR(AVERAGEIFS(INDEX(TabTachesCompetences[],,29), INDEX(TabTachesCompetences[],,2), P_Fonction), "")</f>
        <v/>
      </c>
      <c r="AE14" s="78" t="str">
        <f>IFERROR(AVERAGEIFS(INDEX(TabTachesCompetences[],,30), INDEX(TabTachesCompetences[],,2), P_Fonction), "")</f>
        <v/>
      </c>
      <c r="AF14" s="78" t="str">
        <f>IFERROR(AVERAGEIFS(INDEX(TabTachesCompetences[],,31), INDEX(TabTachesCompetences[],,2), P_Fonction), "")</f>
        <v/>
      </c>
      <c r="AG14" s="78" t="str">
        <f>IFERROR(AVERAGEIFS(INDEX(TabTachesCompetences[],,32), INDEX(TabTachesCompetences[],,2), P_Fonction), "")</f>
        <v/>
      </c>
      <c r="AH14" s="78" t="str">
        <f>IFERROR(AVERAGEIFS(INDEX(TabTachesCompetences[],,33), INDEX(TabTachesCompetences[],,2), P_Fonction), "")</f>
        <v/>
      </c>
      <c r="AI14" s="78" t="str">
        <f>IFERROR(AVERAGEIFS(INDEX(TabTachesCompetences[],,34), INDEX(TabTachesCompetences[],,2), P_Fonction), "")</f>
        <v/>
      </c>
      <c r="AJ14" s="78" t="str">
        <f>IFERROR(AVERAGEIFS(INDEX(TabTachesCompetences[],,35), INDEX(TabTachesCompetences[],,2), P_Fonction), "")</f>
        <v/>
      </c>
    </row>
  </sheetData>
  <mergeCells count="3">
    <mergeCell ref="A1:B1"/>
    <mergeCell ref="I2:K2"/>
    <mergeCell ref="N1:P1"/>
  </mergeCells>
  <conditionalFormatting sqref="I7">
    <cfRule type="colorScale" priority="2">
      <colorScale>
        <cfvo type="num" val="0"/>
        <cfvo type="num" val="5"/>
        <color rgb="FFFFEF9C"/>
        <color rgb="FF63BE7B"/>
      </colorScale>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68C9-F5A9-48A3-9DA5-2DE77F5E7CA9}">
  <sheetPr codeName="ShLangue"/>
  <dimension ref="A1:F155"/>
  <sheetViews>
    <sheetView showGridLines="0" topLeftCell="A138" workbookViewId="0">
      <selection activeCell="B157" sqref="B157"/>
    </sheetView>
  </sheetViews>
  <sheetFormatPr baseColWidth="10" defaultColWidth="9.109375" defaultRowHeight="14.4" x14ac:dyDescent="0.3"/>
  <cols>
    <col min="1" max="1" width="59.33203125" customWidth="1"/>
    <col min="2" max="2" width="63.6640625" style="15" customWidth="1"/>
    <col min="6" max="6" width="15" customWidth="1"/>
  </cols>
  <sheetData>
    <row r="1" spans="1:6" x14ac:dyDescent="0.3">
      <c r="A1" s="42" t="s">
        <v>186</v>
      </c>
      <c r="B1" s="43" t="s">
        <v>187</v>
      </c>
      <c r="F1" t="s">
        <v>188</v>
      </c>
    </row>
    <row r="2" spans="1:6" x14ac:dyDescent="0.3">
      <c r="A2" s="43" t="s">
        <v>0</v>
      </c>
      <c r="B2" s="43" t="s">
        <v>189</v>
      </c>
      <c r="F2" t="s">
        <v>187</v>
      </c>
    </row>
    <row r="3" spans="1:6" x14ac:dyDescent="0.3">
      <c r="A3" s="43" t="s">
        <v>5</v>
      </c>
      <c r="B3" s="43" t="s">
        <v>190</v>
      </c>
      <c r="F3" t="s">
        <v>186</v>
      </c>
    </row>
    <row r="4" spans="1:6" x14ac:dyDescent="0.3">
      <c r="A4" s="43" t="s">
        <v>2</v>
      </c>
      <c r="B4" s="43" t="s">
        <v>191</v>
      </c>
    </row>
    <row r="5" spans="1:6" x14ac:dyDescent="0.3">
      <c r="A5" s="43" t="s">
        <v>7</v>
      </c>
      <c r="B5" s="43" t="s">
        <v>7</v>
      </c>
    </row>
    <row r="6" spans="1:6" x14ac:dyDescent="0.3">
      <c r="A6" s="43" t="s">
        <v>4</v>
      </c>
      <c r="B6" s="43" t="s">
        <v>192</v>
      </c>
    </row>
    <row r="7" spans="1:6" x14ac:dyDescent="0.3">
      <c r="A7" s="43" t="s">
        <v>9</v>
      </c>
      <c r="B7" s="43" t="s">
        <v>193</v>
      </c>
    </row>
    <row r="8" spans="1:6" x14ac:dyDescent="0.3">
      <c r="A8" s="43" t="s">
        <v>10</v>
      </c>
      <c r="B8" s="43" t="s">
        <v>194</v>
      </c>
    </row>
    <row r="9" spans="1:6" x14ac:dyDescent="0.3">
      <c r="A9" s="43" t="s">
        <v>12</v>
      </c>
      <c r="B9" s="43" t="s">
        <v>195</v>
      </c>
    </row>
    <row r="10" spans="1:6" x14ac:dyDescent="0.3">
      <c r="A10" s="43" t="s">
        <v>196</v>
      </c>
      <c r="B10" s="43" t="s">
        <v>197</v>
      </c>
    </row>
    <row r="11" spans="1:6" x14ac:dyDescent="0.3">
      <c r="A11" s="43" t="s">
        <v>198</v>
      </c>
      <c r="B11" s="43" t="s">
        <v>199</v>
      </c>
    </row>
    <row r="12" spans="1:6" x14ac:dyDescent="0.3">
      <c r="A12" s="43" t="s">
        <v>200</v>
      </c>
      <c r="B12" s="43" t="s">
        <v>201</v>
      </c>
    </row>
    <row r="13" spans="1:6" x14ac:dyDescent="0.3">
      <c r="A13" s="43" t="s">
        <v>174</v>
      </c>
      <c r="B13" s="43" t="s">
        <v>202</v>
      </c>
    </row>
    <row r="14" spans="1:6" x14ac:dyDescent="0.3">
      <c r="A14" s="43" t="s">
        <v>179</v>
      </c>
      <c r="B14" s="43" t="s">
        <v>203</v>
      </c>
    </row>
    <row r="15" spans="1:6" x14ac:dyDescent="0.3">
      <c r="A15" s="43" t="s">
        <v>180</v>
      </c>
      <c r="B15" s="43" t="s">
        <v>204</v>
      </c>
    </row>
    <row r="16" spans="1:6" x14ac:dyDescent="0.3">
      <c r="A16" s="43" t="s">
        <v>181</v>
      </c>
      <c r="B16" s="43" t="s">
        <v>205</v>
      </c>
    </row>
    <row r="17" spans="1:2" x14ac:dyDescent="0.3">
      <c r="A17" s="43" t="s">
        <v>182</v>
      </c>
      <c r="B17" s="43" t="s">
        <v>206</v>
      </c>
    </row>
    <row r="18" spans="1:2" x14ac:dyDescent="0.3">
      <c r="A18" s="43" t="s">
        <v>183</v>
      </c>
      <c r="B18" s="43" t="s">
        <v>207</v>
      </c>
    </row>
    <row r="19" spans="1:2" x14ac:dyDescent="0.3">
      <c r="A19" s="43" t="s">
        <v>208</v>
      </c>
      <c r="B19" s="43" t="s">
        <v>209</v>
      </c>
    </row>
    <row r="20" spans="1:2" x14ac:dyDescent="0.3">
      <c r="A20" s="43" t="s">
        <v>210</v>
      </c>
      <c r="B20" s="43" t="s">
        <v>211</v>
      </c>
    </row>
    <row r="21" spans="1:2" x14ac:dyDescent="0.3">
      <c r="A21" s="43" t="s">
        <v>212</v>
      </c>
      <c r="B21" s="20" t="s">
        <v>213</v>
      </c>
    </row>
    <row r="22" spans="1:2" x14ac:dyDescent="0.3">
      <c r="A22" s="43" t="s">
        <v>214</v>
      </c>
      <c r="B22" s="20" t="s">
        <v>215</v>
      </c>
    </row>
    <row r="23" spans="1:2" x14ac:dyDescent="0.3">
      <c r="A23" s="43" t="s">
        <v>216</v>
      </c>
      <c r="B23" s="20" t="s">
        <v>217</v>
      </c>
    </row>
    <row r="24" spans="1:2" x14ac:dyDescent="0.3">
      <c r="A24" s="44" t="s">
        <v>62</v>
      </c>
      <c r="B24" s="43" t="s">
        <v>218</v>
      </c>
    </row>
    <row r="25" spans="1:2" x14ac:dyDescent="0.3">
      <c r="A25" s="44" t="s">
        <v>64</v>
      </c>
      <c r="B25" s="43" t="s">
        <v>219</v>
      </c>
    </row>
    <row r="26" spans="1:2" x14ac:dyDescent="0.3">
      <c r="A26" s="44" t="s">
        <v>65</v>
      </c>
      <c r="B26" s="43" t="s">
        <v>220</v>
      </c>
    </row>
    <row r="27" spans="1:2" x14ac:dyDescent="0.3">
      <c r="A27" s="44" t="s">
        <v>66</v>
      </c>
      <c r="B27" s="43" t="s">
        <v>221</v>
      </c>
    </row>
    <row r="28" spans="1:2" x14ac:dyDescent="0.3">
      <c r="A28" s="44" t="s">
        <v>67</v>
      </c>
      <c r="B28" s="43" t="s">
        <v>222</v>
      </c>
    </row>
    <row r="29" spans="1:2" x14ac:dyDescent="0.3">
      <c r="A29" s="44" t="s">
        <v>68</v>
      </c>
      <c r="B29" s="43" t="s">
        <v>223</v>
      </c>
    </row>
    <row r="30" spans="1:2" x14ac:dyDescent="0.3">
      <c r="A30" s="44" t="s">
        <v>69</v>
      </c>
      <c r="B30" s="43" t="s">
        <v>224</v>
      </c>
    </row>
    <row r="31" spans="1:2" x14ac:dyDescent="0.3">
      <c r="A31" s="44" t="s">
        <v>70</v>
      </c>
      <c r="B31" s="43" t="s">
        <v>225</v>
      </c>
    </row>
    <row r="32" spans="1:2" x14ac:dyDescent="0.3">
      <c r="A32" s="44" t="s">
        <v>71</v>
      </c>
      <c r="B32" s="43" t="s">
        <v>226</v>
      </c>
    </row>
    <row r="33" spans="1:2" x14ac:dyDescent="0.3">
      <c r="A33" s="44" t="s">
        <v>72</v>
      </c>
      <c r="B33" s="43" t="s">
        <v>227</v>
      </c>
    </row>
    <row r="34" spans="1:2" x14ac:dyDescent="0.3">
      <c r="A34" s="44" t="s">
        <v>73</v>
      </c>
      <c r="B34" s="43" t="s">
        <v>228</v>
      </c>
    </row>
    <row r="35" spans="1:2" x14ac:dyDescent="0.3">
      <c r="A35" s="44" t="s">
        <v>74</v>
      </c>
      <c r="B35" s="43" t="s">
        <v>229</v>
      </c>
    </row>
    <row r="36" spans="1:2" x14ac:dyDescent="0.3">
      <c r="A36" s="44" t="s">
        <v>75</v>
      </c>
      <c r="B36" s="43" t="s">
        <v>230</v>
      </c>
    </row>
    <row r="37" spans="1:2" x14ac:dyDescent="0.3">
      <c r="A37" s="44" t="s">
        <v>76</v>
      </c>
      <c r="B37" s="43" t="s">
        <v>231</v>
      </c>
    </row>
    <row r="38" spans="1:2" x14ac:dyDescent="0.3">
      <c r="A38" s="44" t="s">
        <v>77</v>
      </c>
      <c r="B38" s="43" t="s">
        <v>232</v>
      </c>
    </row>
    <row r="39" spans="1:2" x14ac:dyDescent="0.3">
      <c r="A39" s="44" t="s">
        <v>78</v>
      </c>
      <c r="B39" s="43" t="s">
        <v>233</v>
      </c>
    </row>
    <row r="40" spans="1:2" x14ac:dyDescent="0.3">
      <c r="A40" s="44" t="s">
        <v>79</v>
      </c>
      <c r="B40" s="43" t="s">
        <v>234</v>
      </c>
    </row>
    <row r="41" spans="1:2" x14ac:dyDescent="0.3">
      <c r="A41" s="44" t="s">
        <v>80</v>
      </c>
      <c r="B41" s="43" t="s">
        <v>235</v>
      </c>
    </row>
    <row r="42" spans="1:2" x14ac:dyDescent="0.3">
      <c r="A42" s="44" t="s">
        <v>81</v>
      </c>
      <c r="B42" s="43" t="s">
        <v>236</v>
      </c>
    </row>
    <row r="43" spans="1:2" x14ac:dyDescent="0.3">
      <c r="A43" s="44" t="s">
        <v>82</v>
      </c>
      <c r="B43" s="43" t="s">
        <v>237</v>
      </c>
    </row>
    <row r="44" spans="1:2" x14ac:dyDescent="0.3">
      <c r="A44" s="44" t="s">
        <v>83</v>
      </c>
      <c r="B44" s="43" t="s">
        <v>238</v>
      </c>
    </row>
    <row r="45" spans="1:2" x14ac:dyDescent="0.3">
      <c r="A45" s="44" t="s">
        <v>84</v>
      </c>
      <c r="B45" s="43" t="s">
        <v>239</v>
      </c>
    </row>
    <row r="46" spans="1:2" x14ac:dyDescent="0.3">
      <c r="A46" s="44" t="s">
        <v>85</v>
      </c>
      <c r="B46" s="43" t="s">
        <v>240</v>
      </c>
    </row>
    <row r="47" spans="1:2" x14ac:dyDescent="0.3">
      <c r="A47" s="44" t="s">
        <v>86</v>
      </c>
      <c r="B47" s="43" t="s">
        <v>241</v>
      </c>
    </row>
    <row r="48" spans="1:2" x14ac:dyDescent="0.3">
      <c r="A48" s="44" t="s">
        <v>87</v>
      </c>
      <c r="B48" s="43" t="s">
        <v>242</v>
      </c>
    </row>
    <row r="49" spans="1:2" x14ac:dyDescent="0.3">
      <c r="A49" s="44" t="s">
        <v>88</v>
      </c>
      <c r="B49" s="43" t="s">
        <v>243</v>
      </c>
    </row>
    <row r="50" spans="1:2" x14ac:dyDescent="0.3">
      <c r="A50" s="44" t="s">
        <v>89</v>
      </c>
      <c r="B50" s="43" t="s">
        <v>244</v>
      </c>
    </row>
    <row r="51" spans="1:2" x14ac:dyDescent="0.3">
      <c r="A51" s="44" t="s">
        <v>90</v>
      </c>
      <c r="B51" s="43" t="s">
        <v>245</v>
      </c>
    </row>
    <row r="52" spans="1:2" x14ac:dyDescent="0.3">
      <c r="A52" s="44" t="s">
        <v>91</v>
      </c>
      <c r="B52" s="43" t="s">
        <v>246</v>
      </c>
    </row>
    <row r="53" spans="1:2" x14ac:dyDescent="0.3">
      <c r="A53" s="44" t="s">
        <v>92</v>
      </c>
      <c r="B53" s="43" t="s">
        <v>247</v>
      </c>
    </row>
    <row r="54" spans="1:2" x14ac:dyDescent="0.3">
      <c r="A54" s="44" t="s">
        <v>93</v>
      </c>
      <c r="B54" s="43" t="s">
        <v>248</v>
      </c>
    </row>
    <row r="55" spans="1:2" x14ac:dyDescent="0.3">
      <c r="A55" s="44" t="s">
        <v>94</v>
      </c>
      <c r="B55" s="43" t="s">
        <v>249</v>
      </c>
    </row>
    <row r="56" spans="1:2" x14ac:dyDescent="0.3">
      <c r="A56" s="44" t="s">
        <v>95</v>
      </c>
      <c r="B56" s="43" t="s">
        <v>250</v>
      </c>
    </row>
    <row r="57" spans="1:2" x14ac:dyDescent="0.3">
      <c r="A57" s="44" t="s">
        <v>96</v>
      </c>
      <c r="B57" s="43" t="s">
        <v>251</v>
      </c>
    </row>
    <row r="58" spans="1:2" x14ac:dyDescent="0.3">
      <c r="A58" s="44" t="s">
        <v>97</v>
      </c>
      <c r="B58" s="43" t="s">
        <v>252</v>
      </c>
    </row>
    <row r="59" spans="1:2" x14ac:dyDescent="0.3">
      <c r="A59" s="44" t="s">
        <v>98</v>
      </c>
      <c r="B59" s="43" t="s">
        <v>253</v>
      </c>
    </row>
    <row r="60" spans="1:2" x14ac:dyDescent="0.3">
      <c r="A60" s="44" t="s">
        <v>99</v>
      </c>
      <c r="B60" s="43" t="s">
        <v>254</v>
      </c>
    </row>
    <row r="61" spans="1:2" x14ac:dyDescent="0.3">
      <c r="A61" s="44" t="s">
        <v>100</v>
      </c>
      <c r="B61" s="43" t="s">
        <v>255</v>
      </c>
    </row>
    <row r="62" spans="1:2" x14ac:dyDescent="0.3">
      <c r="A62" s="44" t="s">
        <v>101</v>
      </c>
      <c r="B62" s="43" t="s">
        <v>256</v>
      </c>
    </row>
    <row r="63" spans="1:2" x14ac:dyDescent="0.3">
      <c r="A63" s="44" t="s">
        <v>102</v>
      </c>
      <c r="B63" s="43" t="s">
        <v>257</v>
      </c>
    </row>
    <row r="64" spans="1:2" x14ac:dyDescent="0.3">
      <c r="A64" s="44" t="s">
        <v>103</v>
      </c>
      <c r="B64" s="43" t="s">
        <v>258</v>
      </c>
    </row>
    <row r="65" spans="1:3" x14ac:dyDescent="0.3">
      <c r="A65" s="44" t="s">
        <v>104</v>
      </c>
      <c r="B65" s="43" t="s">
        <v>259</v>
      </c>
    </row>
    <row r="66" spans="1:3" x14ac:dyDescent="0.3">
      <c r="A66" s="44" t="s">
        <v>105</v>
      </c>
      <c r="B66" s="43" t="s">
        <v>260</v>
      </c>
    </row>
    <row r="67" spans="1:3" x14ac:dyDescent="0.3">
      <c r="A67" s="44" t="s">
        <v>106</v>
      </c>
      <c r="B67" s="43" t="s">
        <v>261</v>
      </c>
    </row>
    <row r="68" spans="1:3" x14ac:dyDescent="0.3">
      <c r="A68" s="44" t="s">
        <v>107</v>
      </c>
      <c r="B68" s="43" t="s">
        <v>262</v>
      </c>
    </row>
    <row r="69" spans="1:3" x14ac:dyDescent="0.3">
      <c r="A69" s="44" t="s">
        <v>108</v>
      </c>
      <c r="B69" s="43" t="s">
        <v>263</v>
      </c>
    </row>
    <row r="70" spans="1:3" x14ac:dyDescent="0.3">
      <c r="A70" s="44" t="s">
        <v>109</v>
      </c>
      <c r="B70" s="43" t="s">
        <v>264</v>
      </c>
    </row>
    <row r="71" spans="1:3" x14ac:dyDescent="0.3">
      <c r="A71" s="44" t="s">
        <v>110</v>
      </c>
      <c r="B71" s="43" t="s">
        <v>265</v>
      </c>
    </row>
    <row r="72" spans="1:3" x14ac:dyDescent="0.3">
      <c r="A72" s="44" t="s">
        <v>111</v>
      </c>
      <c r="B72" s="43" t="s">
        <v>266</v>
      </c>
    </row>
    <row r="73" spans="1:3" x14ac:dyDescent="0.3">
      <c r="A73" s="44" t="s">
        <v>112</v>
      </c>
      <c r="B73" s="43" t="s">
        <v>267</v>
      </c>
    </row>
    <row r="74" spans="1:3" x14ac:dyDescent="0.3">
      <c r="A74" s="44" t="s">
        <v>113</v>
      </c>
      <c r="B74" s="43" t="s">
        <v>268</v>
      </c>
    </row>
    <row r="75" spans="1:3" x14ac:dyDescent="0.3">
      <c r="A75" s="44" t="s">
        <v>114</v>
      </c>
      <c r="B75" s="43" t="s">
        <v>269</v>
      </c>
    </row>
    <row r="76" spans="1:3" x14ac:dyDescent="0.3">
      <c r="A76" s="44" t="s">
        <v>115</v>
      </c>
      <c r="B76" s="43" t="s">
        <v>270</v>
      </c>
    </row>
    <row r="77" spans="1:3" x14ac:dyDescent="0.3">
      <c r="A77" s="44" t="s">
        <v>176</v>
      </c>
      <c r="B77" s="43" t="s">
        <v>271</v>
      </c>
      <c r="C77" s="17"/>
    </row>
    <row r="78" spans="1:3" x14ac:dyDescent="0.3">
      <c r="A78" s="44" t="s">
        <v>177</v>
      </c>
      <c r="B78" s="43" t="s">
        <v>272</v>
      </c>
    </row>
    <row r="79" spans="1:3" x14ac:dyDescent="0.3">
      <c r="A79" s="44" t="s">
        <v>273</v>
      </c>
      <c r="B79" s="43" t="s">
        <v>274</v>
      </c>
    </row>
    <row r="80" spans="1:3" x14ac:dyDescent="0.3">
      <c r="A80" s="44" t="s">
        <v>275</v>
      </c>
      <c r="B80" s="43" t="s">
        <v>276</v>
      </c>
    </row>
    <row r="81" spans="1:2" x14ac:dyDescent="0.3">
      <c r="A81" s="44" t="s">
        <v>52</v>
      </c>
      <c r="B81" s="43" t="s">
        <v>277</v>
      </c>
    </row>
    <row r="82" spans="1:2" x14ac:dyDescent="0.3">
      <c r="A82" s="44" t="s">
        <v>278</v>
      </c>
      <c r="B82" s="43" t="s">
        <v>279</v>
      </c>
    </row>
    <row r="83" spans="1:2" x14ac:dyDescent="0.3">
      <c r="A83" s="43" t="s">
        <v>280</v>
      </c>
      <c r="B83" s="43" t="s">
        <v>281</v>
      </c>
    </row>
    <row r="84" spans="1:2" x14ac:dyDescent="0.3">
      <c r="A84" s="43" t="s">
        <v>282</v>
      </c>
      <c r="B84" s="43" t="s">
        <v>283</v>
      </c>
    </row>
    <row r="85" spans="1:2" x14ac:dyDescent="0.3">
      <c r="A85" s="43" t="s">
        <v>284</v>
      </c>
      <c r="B85" s="43" t="s">
        <v>285</v>
      </c>
    </row>
    <row r="86" spans="1:2" x14ac:dyDescent="0.3">
      <c r="A86" s="43" t="s">
        <v>286</v>
      </c>
      <c r="B86" s="43" t="s">
        <v>287</v>
      </c>
    </row>
    <row r="87" spans="1:2" x14ac:dyDescent="0.3">
      <c r="A87" s="43" t="s">
        <v>288</v>
      </c>
      <c r="B87" s="43" t="s">
        <v>289</v>
      </c>
    </row>
    <row r="88" spans="1:2" x14ac:dyDescent="0.3">
      <c r="A88" s="44" t="s">
        <v>50</v>
      </c>
      <c r="B88" s="43" t="s">
        <v>290</v>
      </c>
    </row>
    <row r="89" spans="1:2" x14ac:dyDescent="0.3">
      <c r="A89" s="44" t="s">
        <v>291</v>
      </c>
      <c r="B89" s="43" t="s">
        <v>292</v>
      </c>
    </row>
    <row r="90" spans="1:2" x14ac:dyDescent="0.3">
      <c r="A90" s="44" t="s">
        <v>293</v>
      </c>
      <c r="B90" s="43" t="s">
        <v>294</v>
      </c>
    </row>
    <row r="91" spans="1:2" x14ac:dyDescent="0.3">
      <c r="A91" s="44" t="s">
        <v>129</v>
      </c>
      <c r="B91" s="43" t="s">
        <v>295</v>
      </c>
    </row>
    <row r="92" spans="1:2" x14ac:dyDescent="0.3">
      <c r="A92" s="44" t="s">
        <v>63</v>
      </c>
      <c r="B92" s="43" t="s">
        <v>296</v>
      </c>
    </row>
    <row r="93" spans="1:2" x14ac:dyDescent="0.3">
      <c r="A93" s="44" t="s">
        <v>121</v>
      </c>
      <c r="B93" s="43" t="s">
        <v>297</v>
      </c>
    </row>
    <row r="94" spans="1:2" x14ac:dyDescent="0.3">
      <c r="A94" s="44" t="s">
        <v>126</v>
      </c>
      <c r="B94" s="43" t="s">
        <v>298</v>
      </c>
    </row>
    <row r="95" spans="1:2" x14ac:dyDescent="0.3">
      <c r="A95" s="44" t="s">
        <v>124</v>
      </c>
      <c r="B95" s="43" t="s">
        <v>299</v>
      </c>
    </row>
    <row r="96" spans="1:2" x14ac:dyDescent="0.3">
      <c r="A96" s="44" t="s">
        <v>128</v>
      </c>
      <c r="B96" s="43" t="s">
        <v>300</v>
      </c>
    </row>
    <row r="97" spans="1:2" x14ac:dyDescent="0.3">
      <c r="A97" s="44" t="s">
        <v>116</v>
      </c>
      <c r="B97" s="43" t="s">
        <v>116</v>
      </c>
    </row>
    <row r="98" spans="1:2" x14ac:dyDescent="0.3">
      <c r="A98" s="44" t="s">
        <v>123</v>
      </c>
      <c r="B98" s="43" t="s">
        <v>301</v>
      </c>
    </row>
    <row r="99" spans="1:2" x14ac:dyDescent="0.3">
      <c r="A99" s="44" t="s">
        <v>125</v>
      </c>
      <c r="B99" s="43" t="s">
        <v>302</v>
      </c>
    </row>
    <row r="100" spans="1:2" x14ac:dyDescent="0.3">
      <c r="A100" s="44" t="s">
        <v>118</v>
      </c>
      <c r="B100" s="43" t="s">
        <v>303</v>
      </c>
    </row>
    <row r="101" spans="1:2" x14ac:dyDescent="0.3">
      <c r="A101" s="44" t="s">
        <v>120</v>
      </c>
      <c r="B101" s="43" t="s">
        <v>304</v>
      </c>
    </row>
    <row r="102" spans="1:2" x14ac:dyDescent="0.3">
      <c r="A102" s="44" t="s">
        <v>117</v>
      </c>
      <c r="B102" s="43" t="s">
        <v>305</v>
      </c>
    </row>
    <row r="103" spans="1:2" x14ac:dyDescent="0.3">
      <c r="A103" s="44" t="s">
        <v>119</v>
      </c>
      <c r="B103" s="43" t="s">
        <v>306</v>
      </c>
    </row>
    <row r="104" spans="1:2" x14ac:dyDescent="0.3">
      <c r="A104" s="44" t="s">
        <v>307</v>
      </c>
      <c r="B104" s="43" t="s">
        <v>308</v>
      </c>
    </row>
    <row r="105" spans="1:2" x14ac:dyDescent="0.3">
      <c r="A105" s="44" t="s">
        <v>309</v>
      </c>
      <c r="B105" s="43" t="s">
        <v>309</v>
      </c>
    </row>
    <row r="106" spans="1:2" x14ac:dyDescent="0.3">
      <c r="A106" s="44" t="s">
        <v>310</v>
      </c>
      <c r="B106" s="43" t="s">
        <v>311</v>
      </c>
    </row>
    <row r="107" spans="1:2" x14ac:dyDescent="0.3">
      <c r="A107" s="44" t="s">
        <v>61</v>
      </c>
      <c r="B107" s="43" t="s">
        <v>312</v>
      </c>
    </row>
    <row r="108" spans="1:2" x14ac:dyDescent="0.3">
      <c r="A108" s="43" t="s">
        <v>48</v>
      </c>
      <c r="B108" s="43" t="s">
        <v>313</v>
      </c>
    </row>
    <row r="109" spans="1:2" x14ac:dyDescent="0.3">
      <c r="A109" s="43" t="s">
        <v>314</v>
      </c>
      <c r="B109" s="46" t="s">
        <v>315</v>
      </c>
    </row>
    <row r="110" spans="1:2" x14ac:dyDescent="0.3">
      <c r="A110" s="43" t="s">
        <v>131</v>
      </c>
      <c r="B110" s="43" t="s">
        <v>316</v>
      </c>
    </row>
    <row r="111" spans="1:2" x14ac:dyDescent="0.3">
      <c r="A111" s="43" t="s">
        <v>317</v>
      </c>
      <c r="B111" s="43" t="s">
        <v>318</v>
      </c>
    </row>
    <row r="112" spans="1:2" x14ac:dyDescent="0.3">
      <c r="A112" s="43" t="s">
        <v>319</v>
      </c>
      <c r="B112" s="43" t="s">
        <v>320</v>
      </c>
    </row>
    <row r="113" spans="1:2" x14ac:dyDescent="0.3">
      <c r="A113" s="43" t="s">
        <v>321</v>
      </c>
      <c r="B113" s="43" t="s">
        <v>322</v>
      </c>
    </row>
    <row r="114" spans="1:2" x14ac:dyDescent="0.3">
      <c r="A114" s="43" t="s">
        <v>323</v>
      </c>
      <c r="B114" s="43" t="s">
        <v>324</v>
      </c>
    </row>
    <row r="115" spans="1:2" x14ac:dyDescent="0.3">
      <c r="A115" s="43" t="s">
        <v>325</v>
      </c>
      <c r="B115" s="43" t="s">
        <v>326</v>
      </c>
    </row>
    <row r="116" spans="1:2" x14ac:dyDescent="0.3">
      <c r="A116" s="43" t="s">
        <v>327</v>
      </c>
      <c r="B116" s="43" t="s">
        <v>328</v>
      </c>
    </row>
    <row r="117" spans="1:2" x14ac:dyDescent="0.3">
      <c r="A117" s="43" t="s">
        <v>329</v>
      </c>
      <c r="B117" s="43" t="s">
        <v>330</v>
      </c>
    </row>
    <row r="118" spans="1:2" x14ac:dyDescent="0.3">
      <c r="A118" s="43" t="s">
        <v>331</v>
      </c>
      <c r="B118" s="43" t="s">
        <v>332</v>
      </c>
    </row>
    <row r="119" spans="1:2" x14ac:dyDescent="0.3">
      <c r="A119" s="43" t="s">
        <v>333</v>
      </c>
      <c r="B119" s="43" t="s">
        <v>334</v>
      </c>
    </row>
    <row r="120" spans="1:2" x14ac:dyDescent="0.3">
      <c r="A120" s="43" t="s">
        <v>335</v>
      </c>
      <c r="B120" s="43" t="s">
        <v>336</v>
      </c>
    </row>
    <row r="121" spans="1:2" x14ac:dyDescent="0.3">
      <c r="A121" s="43" t="s">
        <v>337</v>
      </c>
      <c r="B121" s="43" t="s">
        <v>338</v>
      </c>
    </row>
    <row r="122" spans="1:2" x14ac:dyDescent="0.3">
      <c r="A122" s="43" t="s">
        <v>339</v>
      </c>
      <c r="B122" s="43" t="s">
        <v>340</v>
      </c>
    </row>
    <row r="123" spans="1:2" x14ac:dyDescent="0.3">
      <c r="A123" s="43" t="s">
        <v>341</v>
      </c>
      <c r="B123" s="43" t="s">
        <v>342</v>
      </c>
    </row>
    <row r="124" spans="1:2" x14ac:dyDescent="0.3">
      <c r="A124" s="43" t="s">
        <v>343</v>
      </c>
      <c r="B124" s="43" t="s">
        <v>344</v>
      </c>
    </row>
    <row r="125" spans="1:2" x14ac:dyDescent="0.3">
      <c r="A125" s="43" t="s">
        <v>345</v>
      </c>
      <c r="B125" s="43" t="s">
        <v>346</v>
      </c>
    </row>
    <row r="126" spans="1:2" x14ac:dyDescent="0.3">
      <c r="A126" s="43" t="s">
        <v>347</v>
      </c>
      <c r="B126" s="43" t="s">
        <v>348</v>
      </c>
    </row>
    <row r="127" spans="1:2" x14ac:dyDescent="0.3">
      <c r="A127" s="43" t="s">
        <v>349</v>
      </c>
      <c r="B127" s="43" t="s">
        <v>350</v>
      </c>
    </row>
    <row r="128" spans="1:2" x14ac:dyDescent="0.3">
      <c r="A128" s="43" t="s">
        <v>351</v>
      </c>
      <c r="B128" s="43" t="s">
        <v>352</v>
      </c>
    </row>
    <row r="129" spans="1:2" x14ac:dyDescent="0.3">
      <c r="A129" s="43" t="s">
        <v>353</v>
      </c>
      <c r="B129" s="43" t="s">
        <v>354</v>
      </c>
    </row>
    <row r="130" spans="1:2" x14ac:dyDescent="0.3">
      <c r="A130" s="43" t="s">
        <v>355</v>
      </c>
      <c r="B130" s="43" t="s">
        <v>356</v>
      </c>
    </row>
    <row r="131" spans="1:2" x14ac:dyDescent="0.3">
      <c r="A131" s="43" t="s">
        <v>357</v>
      </c>
      <c r="B131" s="43" t="s">
        <v>357</v>
      </c>
    </row>
    <row r="132" spans="1:2" x14ac:dyDescent="0.3">
      <c r="A132" s="43" t="s">
        <v>358</v>
      </c>
      <c r="B132" s="43" t="s">
        <v>358</v>
      </c>
    </row>
    <row r="133" spans="1:2" x14ac:dyDescent="0.3">
      <c r="A133" s="43" t="s">
        <v>359</v>
      </c>
      <c r="B133" s="43" t="s">
        <v>360</v>
      </c>
    </row>
    <row r="134" spans="1:2" x14ac:dyDescent="0.3">
      <c r="A134" s="43" t="s">
        <v>361</v>
      </c>
      <c r="B134" s="43" t="s">
        <v>362</v>
      </c>
    </row>
    <row r="135" spans="1:2" x14ac:dyDescent="0.3">
      <c r="A135" s="43" t="s">
        <v>363</v>
      </c>
      <c r="B135" s="43" t="s">
        <v>364</v>
      </c>
    </row>
    <row r="136" spans="1:2" x14ac:dyDescent="0.3">
      <c r="A136" s="43" t="s">
        <v>365</v>
      </c>
      <c r="B136" s="43" t="s">
        <v>366</v>
      </c>
    </row>
    <row r="137" spans="1:2" x14ac:dyDescent="0.3">
      <c r="A137" s="43" t="s">
        <v>367</v>
      </c>
      <c r="B137" s="43" t="s">
        <v>368</v>
      </c>
    </row>
    <row r="138" spans="1:2" x14ac:dyDescent="0.3">
      <c r="A138" s="43" t="s">
        <v>369</v>
      </c>
      <c r="B138" s="43" t="s">
        <v>370</v>
      </c>
    </row>
    <row r="139" spans="1:2" x14ac:dyDescent="0.3">
      <c r="A139" s="43" t="s">
        <v>371</v>
      </c>
      <c r="B139" s="43" t="s">
        <v>372</v>
      </c>
    </row>
    <row r="140" spans="1:2" x14ac:dyDescent="0.3">
      <c r="A140" s="43" t="s">
        <v>373</v>
      </c>
      <c r="B140" s="43" t="s">
        <v>374</v>
      </c>
    </row>
    <row r="141" spans="1:2" x14ac:dyDescent="0.3">
      <c r="A141" s="43" t="s">
        <v>375</v>
      </c>
      <c r="B141" s="43" t="s">
        <v>376</v>
      </c>
    </row>
    <row r="142" spans="1:2" x14ac:dyDescent="0.3">
      <c r="A142" s="43" t="s">
        <v>377</v>
      </c>
      <c r="B142" s="43" t="s">
        <v>378</v>
      </c>
    </row>
    <row r="143" spans="1:2" x14ac:dyDescent="0.3">
      <c r="A143" s="43" t="s">
        <v>379</v>
      </c>
      <c r="B143" s="43" t="s">
        <v>380</v>
      </c>
    </row>
    <row r="144" spans="1:2" x14ac:dyDescent="0.3">
      <c r="A144" s="43" t="s">
        <v>381</v>
      </c>
      <c r="B144" s="43" t="s">
        <v>382</v>
      </c>
    </row>
    <row r="145" spans="1:2" x14ac:dyDescent="0.3">
      <c r="A145" s="43" t="s">
        <v>383</v>
      </c>
      <c r="B145" s="43" t="s">
        <v>384</v>
      </c>
    </row>
    <row r="146" spans="1:2" x14ac:dyDescent="0.3">
      <c r="A146" s="43" t="s">
        <v>385</v>
      </c>
      <c r="B146" s="43" t="s">
        <v>386</v>
      </c>
    </row>
    <row r="147" spans="1:2" x14ac:dyDescent="0.3">
      <c r="A147" s="43" t="s">
        <v>387</v>
      </c>
      <c r="B147" s="43" t="s">
        <v>387</v>
      </c>
    </row>
    <row r="148" spans="1:2" x14ac:dyDescent="0.3">
      <c r="A148" s="43" t="s">
        <v>388</v>
      </c>
      <c r="B148" s="43" t="s">
        <v>388</v>
      </c>
    </row>
    <row r="149" spans="1:2" x14ac:dyDescent="0.3">
      <c r="A149" s="43" t="s">
        <v>389</v>
      </c>
      <c r="B149" s="43" t="s">
        <v>390</v>
      </c>
    </row>
    <row r="150" spans="1:2" x14ac:dyDescent="0.3">
      <c r="A150" s="43" t="s">
        <v>391</v>
      </c>
      <c r="B150" s="43" t="s">
        <v>392</v>
      </c>
    </row>
    <row r="151" spans="1:2" x14ac:dyDescent="0.3">
      <c r="A151" s="43" t="s">
        <v>393</v>
      </c>
      <c r="B151" s="43" t="s">
        <v>394</v>
      </c>
    </row>
    <row r="152" spans="1:2" x14ac:dyDescent="0.3">
      <c r="A152" s="43" t="s">
        <v>395</v>
      </c>
      <c r="B152" s="43" t="s">
        <v>396</v>
      </c>
    </row>
    <row r="153" spans="1:2" x14ac:dyDescent="0.3">
      <c r="A153" s="43" t="s">
        <v>175</v>
      </c>
      <c r="B153" s="43" t="s">
        <v>397</v>
      </c>
    </row>
    <row r="154" spans="1:2" x14ac:dyDescent="0.3">
      <c r="A154" s="43" t="s">
        <v>184</v>
      </c>
      <c r="B154" s="43" t="s">
        <v>398</v>
      </c>
    </row>
    <row r="155" spans="1:2" x14ac:dyDescent="0.3">
      <c r="A155" s="43" t="s">
        <v>133</v>
      </c>
      <c r="B155" s="43" t="s">
        <v>399</v>
      </c>
    </row>
  </sheetData>
  <conditionalFormatting sqref="B68">
    <cfRule type="duplicateValues" dxfId="2" priority="1"/>
  </conditionalFormatting>
  <conditionalFormatting sqref="B4:B15 B21:B67 A19:A23">
    <cfRule type="duplicateValues" dxfId="1" priority="185"/>
  </conditionalFormatting>
  <conditionalFormatting sqref="A2:A155">
    <cfRule type="duplicateValues" dxfId="0" priority="190"/>
  </conditionalFormatting>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BF69DF-8CA0-45C4-8CA5-23A4544525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14</vt:i4>
      </vt:variant>
    </vt:vector>
  </HeadingPairs>
  <TitlesOfParts>
    <vt:vector size="19" baseType="lpstr">
      <vt:lpstr>Matrice Tâches-Compétences</vt:lpstr>
      <vt:lpstr>Matrice Ressources-Compétences</vt:lpstr>
      <vt:lpstr>Comparaison</vt:lpstr>
      <vt:lpstr>Dashboard</vt:lpstr>
      <vt:lpstr>Paramétrage</vt:lpstr>
      <vt:lpstr>Filter_Fonction</vt:lpstr>
      <vt:lpstr>FormatCellCmp</vt:lpstr>
      <vt:lpstr>FormatCellLibre</vt:lpstr>
      <vt:lpstr>FormatComp</vt:lpstr>
      <vt:lpstr>FormatInteret</vt:lpstr>
      <vt:lpstr>FormatMatrise</vt:lpstr>
      <vt:lpstr>HeaderComparaison</vt:lpstr>
      <vt:lpstr>HeaderComparaisonFormat</vt:lpstr>
      <vt:lpstr>Langue</vt:lpstr>
      <vt:lpstr>N_Fonction</vt:lpstr>
      <vt:lpstr>N_PROFIL</vt:lpstr>
      <vt:lpstr>P_Fonction</vt:lpstr>
      <vt:lpstr>ProfilName</vt:lpstr>
      <vt:lpstr>RESSOURCE_SELECTED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BGDP</dc:creator>
  <cp:keywords/>
  <dc:description/>
  <cp:lastModifiedBy>Sara AIT TALEB</cp:lastModifiedBy>
  <cp:revision/>
  <dcterms:created xsi:type="dcterms:W3CDTF">2023-04-20T05:41:36Z</dcterms:created>
  <dcterms:modified xsi:type="dcterms:W3CDTF">2025-10-23T11:06:10Z</dcterms:modified>
  <cp:category/>
  <cp:contentStatus/>
</cp:coreProperties>
</file>
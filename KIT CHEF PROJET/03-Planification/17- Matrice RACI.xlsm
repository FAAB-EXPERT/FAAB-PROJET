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GDP\Kit du chef de projet\03-Planification\"/>
    </mc:Choice>
  </mc:AlternateContent>
  <xr:revisionPtr revIDLastSave="0" documentId="13_ncr:1_{6851F2F8-C746-486C-B85D-6DC1AF89D494}" xr6:coauthVersionLast="47" xr6:coauthVersionMax="47" xr10:uidLastSave="{00000000-0000-0000-0000-000000000000}"/>
  <bookViews>
    <workbookView xWindow="-108" yWindow="-108" windowWidth="23256" windowHeight="12576" tabRatio="352" firstSheet="1" activeTab="1" xr2:uid="{2787BEB0-32D5-4D16-A719-07A374E9BAB5}"/>
  </bookViews>
  <sheets>
    <sheet name="Guide d'utilisation" sheetId="7" state="veryHidden" r:id="rId1"/>
    <sheet name="Matrice RACI" sheetId="2" r:id="rId2"/>
    <sheet name="Language" sheetId="8" state="veryHidden" r:id="rId3"/>
    <sheet name="Paramétrage" sheetId="3" state="veryHidden" r:id="rId4"/>
  </sheets>
  <definedNames>
    <definedName name="Langue">'Matrice RACI'!$W$6</definedName>
    <definedName name="StatutFilter">'Matrice RACI'!$G$8</definedName>
    <definedName name="TabEchelle2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2" l="1"/>
  <c r="E14" i="2"/>
  <c r="E15" i="2" s="1"/>
  <c r="E16" i="2"/>
  <c r="E17" i="2"/>
  <c r="E18" i="2" s="1"/>
  <c r="E19" i="2"/>
  <c r="E20" i="2" s="1"/>
  <c r="E21" i="2" s="1"/>
  <c r="E22" i="2" s="1"/>
  <c r="E23" i="2" s="1"/>
  <c r="E24" i="2" s="1"/>
  <c r="E25" i="2" s="1"/>
  <c r="E26" i="2" s="1"/>
  <c r="E27" i="2" s="1"/>
  <c r="E28" i="2"/>
  <c r="E29" i="2" s="1"/>
  <c r="E30" i="2" s="1"/>
  <c r="E31" i="2" s="1"/>
  <c r="E32" i="2" s="1"/>
  <c r="E33" i="2" s="1"/>
  <c r="E34" i="2"/>
  <c r="E35" i="2" s="1"/>
  <c r="E36" i="2" s="1"/>
  <c r="E37" i="2" s="1"/>
  <c r="E38" i="2" s="1"/>
  <c r="C13" i="2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B13" i="2" l="1"/>
  <c r="B14" i="2" l="1"/>
  <c r="B15" i="2" l="1"/>
  <c r="B16" i="2" l="1"/>
  <c r="B17" i="2" l="1"/>
  <c r="B18" i="2" l="1"/>
  <c r="B19" i="2" l="1"/>
  <c r="B20" i="2" l="1"/>
  <c r="B21" i="2" l="1"/>
  <c r="B22" i="2" l="1"/>
  <c r="B23" i="2" l="1"/>
  <c r="B24" i="2" l="1"/>
  <c r="B25" i="2" l="1"/>
  <c r="B26" i="2" l="1"/>
  <c r="B27" i="2" l="1"/>
  <c r="B28" i="2" l="1"/>
  <c r="B29" i="2" l="1"/>
  <c r="B30" i="2" l="1"/>
  <c r="B31" i="2" l="1"/>
  <c r="B32" i="2" l="1"/>
  <c r="B33" i="2" l="1"/>
  <c r="B34" i="2" l="1"/>
  <c r="B35" i="2" l="1"/>
  <c r="B36" i="2" l="1"/>
  <c r="B38" i="2" l="1"/>
  <c r="B37" i="2"/>
</calcChain>
</file>

<file path=xl/sharedStrings.xml><?xml version="1.0" encoding="utf-8"?>
<sst xmlns="http://schemas.openxmlformats.org/spreadsheetml/2006/main" count="652" uniqueCount="195">
  <si>
    <t>Date de création</t>
  </si>
  <si>
    <t>Date de la version</t>
  </si>
  <si>
    <t>Numéro de version</t>
  </si>
  <si>
    <t>V2.3</t>
  </si>
  <si>
    <t>Nom / Code projet</t>
  </si>
  <si>
    <t>Référence</t>
  </si>
  <si>
    <t>Registre des risques</t>
  </si>
  <si>
    <t>ID</t>
  </si>
  <si>
    <t>Guide d'utilisation</t>
  </si>
  <si>
    <t>Paramétrages</t>
  </si>
  <si>
    <t>SAP30 / CMRL</t>
  </si>
  <si>
    <t>Stratégie2022/CMRL/Portfolio PF02</t>
  </si>
  <si>
    <t>Mme Dupont</t>
  </si>
  <si>
    <t>Chef de projet</t>
  </si>
  <si>
    <t>Service/Organisation</t>
  </si>
  <si>
    <t>Confassis S.A.</t>
  </si>
  <si>
    <t>Sponsor</t>
  </si>
  <si>
    <t>Décommissionnement</t>
  </si>
  <si>
    <t>Livrable ou tâche</t>
  </si>
  <si>
    <t>Changement</t>
  </si>
  <si>
    <t>Informatique</t>
  </si>
  <si>
    <t>Chef de Projet</t>
  </si>
  <si>
    <t>Intégration</t>
  </si>
  <si>
    <t>Coordination Finances</t>
  </si>
  <si>
    <t>Coordination Ventes</t>
  </si>
  <si>
    <t>Coordination Achats</t>
  </si>
  <si>
    <t>Coordination Logistique</t>
  </si>
  <si>
    <t>Coordination Production</t>
  </si>
  <si>
    <t>Team Finances</t>
  </si>
  <si>
    <t>Team Ventes</t>
  </si>
  <si>
    <t>Team Achats</t>
  </si>
  <si>
    <t>Team Logistique</t>
  </si>
  <si>
    <t>Support Administratif</t>
  </si>
  <si>
    <t>Expert Master Data</t>
  </si>
  <si>
    <t>Utilisateurs clés</t>
  </si>
  <si>
    <t>Formateur</t>
  </si>
  <si>
    <t>INITIATION</t>
  </si>
  <si>
    <t>Etude d'opportunité</t>
  </si>
  <si>
    <t>R</t>
  </si>
  <si>
    <t>I</t>
  </si>
  <si>
    <t>C</t>
  </si>
  <si>
    <t>A</t>
  </si>
  <si>
    <t>Charte Projet</t>
  </si>
  <si>
    <t>PLANIFICATION</t>
  </si>
  <si>
    <t>Cahier des Charges</t>
  </si>
  <si>
    <t>Plan détaillé</t>
  </si>
  <si>
    <t>REALISATION</t>
  </si>
  <si>
    <t>Registre des risques et problèmes</t>
  </si>
  <si>
    <t>Plan de Communication</t>
  </si>
  <si>
    <t>Mise en place Finances</t>
  </si>
  <si>
    <t>Mise en place Ventes</t>
  </si>
  <si>
    <t>Mise en place Achats</t>
  </si>
  <si>
    <t>Mise en place Production</t>
  </si>
  <si>
    <t>Mise en place Logistique</t>
  </si>
  <si>
    <t>Tests et Validation</t>
  </si>
  <si>
    <t>CONTRÔLE ET SUIVI</t>
  </si>
  <si>
    <t>Tests d'Intégration</t>
  </si>
  <si>
    <t>Tests de Consolidation</t>
  </si>
  <si>
    <t>Formation utilisateurs CMRL</t>
  </si>
  <si>
    <t>Déploiement et Basculement</t>
  </si>
  <si>
    <t>Validation et confirmation</t>
  </si>
  <si>
    <t>CLOTURE</t>
  </si>
  <si>
    <t>Liste des corrections</t>
  </si>
  <si>
    <t>Leçons apprises</t>
  </si>
  <si>
    <t>Réunion de clôture</t>
  </si>
  <si>
    <t>Résponsabilités</t>
  </si>
  <si>
    <t>Préfixe</t>
  </si>
  <si>
    <t>Réalisateur</t>
  </si>
  <si>
    <t>Approbateur</t>
  </si>
  <si>
    <t>Consulté</t>
  </si>
  <si>
    <t>Informé</t>
  </si>
  <si>
    <t>Néant</t>
  </si>
  <si>
    <t>Mixte</t>
  </si>
  <si>
    <t>IsPhase</t>
  </si>
  <si>
    <t>X</t>
  </si>
  <si>
    <t>IDTask</t>
  </si>
  <si>
    <t>IDPhase</t>
  </si>
  <si>
    <t>O</t>
  </si>
  <si>
    <t>IC</t>
  </si>
  <si>
    <t>ICR</t>
  </si>
  <si>
    <t>RACI</t>
  </si>
  <si>
    <t>Equipe Management</t>
  </si>
  <si>
    <t>Équipe Projet</t>
  </si>
  <si>
    <t>Équipe Support</t>
  </si>
  <si>
    <t>IR</t>
  </si>
  <si>
    <t>Matrice RACI</t>
  </si>
  <si>
    <t>Stratégie2022/CMRL</t>
  </si>
  <si>
    <t>Activation des macros :</t>
  </si>
  <si>
    <t>Pour s'assurer du bon fonctionnement du template, vérifiez que les macros sont activées</t>
  </si>
  <si>
    <t xml:space="preserve">Déblocage des macros : </t>
  </si>
  <si>
    <t>Si un message rouge apparait en haut du fichier, procédez comme suit pour débloquer les macros : 
Pour ce faire, cliquez sur le bouton droit sur le fichier avant de l'ouvrir, choisissez Propriétés, puis activez la case à cocher Débloquer sous l’onglet Général.</t>
  </si>
  <si>
    <t>Exploitation du fichier</t>
  </si>
  <si>
    <t>Allez à l'onglet "Matrice RACI"</t>
  </si>
  <si>
    <t>1. Modification des données</t>
  </si>
  <si>
    <t>Remplissez la colonne "F" en indiquant la liste des phases du projet et les tâches y afférentes.</t>
  </si>
  <si>
    <t>Ensuite, renseignez la liste des ressources ou des rôles de votre projet sur la ligne 11.</t>
  </si>
  <si>
    <t>Puis, pour chaque tâche, choisissez les rôles des ressources :</t>
  </si>
  <si>
    <t>Nous avons 4 rôles :</t>
  </si>
  <si>
    <t>Qui est le réalisateur ? (Responsible)</t>
  </si>
  <si>
    <t>La personne chargée de faire le travail</t>
  </si>
  <si>
    <t>Qui est le responsable ?(Accountable)</t>
  </si>
  <si>
    <t>La personne qui prend la décision finale et rend les comptes.</t>
  </si>
  <si>
    <t>Qui est consulté ? (Consulted)</t>
  </si>
  <si>
    <t>La personne consultée pour prendre une décision</t>
  </si>
  <si>
    <t>Qui est informé ? (Informed)</t>
  </si>
  <si>
    <t>La personne informée de la progression ou des décisions.</t>
  </si>
  <si>
    <t>Valeur Néant</t>
  </si>
  <si>
    <r>
      <rPr>
        <b/>
        <sz val="12"/>
        <color theme="1"/>
        <rFont val="Candara"/>
        <family val="2"/>
      </rPr>
      <t>N/B</t>
    </r>
    <r>
      <rPr>
        <sz val="12"/>
        <color theme="1"/>
        <rFont val="Candara"/>
        <family val="2"/>
      </rPr>
      <t xml:space="preserve"> : Il n' y a pas de restrictions concernant l'affectation des rôles, néammoins, sachez qu'il y'a certaines bonnes pratiques à respecter :</t>
    </r>
  </si>
  <si>
    <t>* Il y a toujours un et un seul A pour chaque tâche :</t>
  </si>
  <si>
    <t>Le A est celui qui doit rendre des comptes sur l’avancement de l’action. Celui à qui vous attribuez le « A » est pleinement responsable d’une action.</t>
  </si>
  <si>
    <t>* Il y a au moins un R pour chaque tâche :</t>
  </si>
  <si>
    <t>Le ou les R réalisent l’action. Le A peut aussi jouer le rôle de R. Le A est responsable de l’organisation du travail du ou des R.</t>
  </si>
  <si>
    <t>Si les R ne remplissent pas leurs objectifs, le A reste responsable de la situation.</t>
  </si>
  <si>
    <t>* Le ou les C sont les participants qui doivent être consultés :</t>
  </si>
  <si>
    <t>Sur consultation du A et des R, ils partagent leur expertise.</t>
  </si>
  <si>
    <t>* Les C n’ont pas autorité. C’est le A qui décide de prendre en compte ou non l’avis des C.</t>
  </si>
  <si>
    <t>* Les I sont les personnes qui doivent être informées :</t>
  </si>
  <si>
    <t>Elles sont classiquement indirectement impactées par le projet, comme les utilisateurs, les responsables de projets périphériques…</t>
  </si>
  <si>
    <t>Détail dans l'article.</t>
  </si>
  <si>
    <t>Vous avez la possibilité d'attribuer plusieurs rôles à la même ressource en cliquant successivement sur les boutons correspondants :</t>
  </si>
  <si>
    <t>2. Ajout/suppression des phases/tâches</t>
  </si>
  <si>
    <t xml:space="preserve">Pour ajouter une nouvelle ligne, deux possibilités s'offrent à vous : </t>
  </si>
  <si>
    <t>* Ajouter une nouvelle ligne entre les lignes existantes en vous positionnant sur une cellule puis en cliquant sur le bouton d'ajout :</t>
  </si>
  <si>
    <t>* Ajouter une nouvelle ligne en bas du tableau en vous positionnant sur la dernière ligne puis en cliquant sur le bouton d'ajout :</t>
  </si>
  <si>
    <t>Pour la suppression, il suffit de se placer sur une cellule de la ligne à supprimer puis de cliquer sur le bouton de suppression.</t>
  </si>
  <si>
    <t>Notez que vous pouvez faire une suppression multiple en sélectionnant les lignes à supprimer, puis en cliquant sur le bouton de suppression :</t>
  </si>
  <si>
    <t>Language</t>
  </si>
  <si>
    <t>Français</t>
  </si>
  <si>
    <t>Anglais</t>
  </si>
  <si>
    <t>Langue</t>
  </si>
  <si>
    <t>List of Corrections</t>
  </si>
  <si>
    <t>Closing Meeting</t>
  </si>
  <si>
    <t>Ajouter une phase</t>
  </si>
  <si>
    <t>Add a Phase</t>
  </si>
  <si>
    <t>Ajouter une tâche</t>
  </si>
  <si>
    <t>Add a Task</t>
  </si>
  <si>
    <t>Supprimer</t>
  </si>
  <si>
    <t>Delete</t>
  </si>
  <si>
    <t>Project Name / Code</t>
  </si>
  <si>
    <t>Reference</t>
  </si>
  <si>
    <t>Project Manager</t>
  </si>
  <si>
    <t>Department/Organization</t>
  </si>
  <si>
    <t>Date of Creation</t>
  </si>
  <si>
    <t>Version Date</t>
  </si>
  <si>
    <t>Version Number</t>
  </si>
  <si>
    <t>Change</t>
  </si>
  <si>
    <t>IT</t>
  </si>
  <si>
    <t>Integration</t>
  </si>
  <si>
    <t>Finance Coordination</t>
  </si>
  <si>
    <t>Sales Coordination</t>
  </si>
  <si>
    <t>Purchasing Coordination</t>
  </si>
  <si>
    <t>Logistics Coordination</t>
  </si>
  <si>
    <t>Production Coordination</t>
  </si>
  <si>
    <t>Finance Team</t>
  </si>
  <si>
    <t>Sales Team</t>
  </si>
  <si>
    <t>Purchasing Team</t>
  </si>
  <si>
    <t>Logistics Team</t>
  </si>
  <si>
    <t>Administrative Support</t>
  </si>
  <si>
    <t>Master Data Expert</t>
  </si>
  <si>
    <t>Key Users</t>
  </si>
  <si>
    <t>Trainer</t>
  </si>
  <si>
    <t>Management Team</t>
  </si>
  <si>
    <t>Project Team</t>
  </si>
  <si>
    <t>Support Team</t>
  </si>
  <si>
    <t>Opportunity Study</t>
  </si>
  <si>
    <t>Project Charter</t>
  </si>
  <si>
    <t>PLANNING</t>
  </si>
  <si>
    <t>Requirements Document</t>
  </si>
  <si>
    <t>Detailed Plan</t>
  </si>
  <si>
    <t>EXECUTION</t>
  </si>
  <si>
    <t>Risks and Issues Register</t>
  </si>
  <si>
    <t>Communication Plan</t>
  </si>
  <si>
    <t>Finance Implementation</t>
  </si>
  <si>
    <t>Sales Implementation</t>
  </si>
  <si>
    <t>Purchasing Implementation</t>
  </si>
  <si>
    <t>Production Implementation</t>
  </si>
  <si>
    <t>Logistics Implementation</t>
  </si>
  <si>
    <t>Testing and Validation</t>
  </si>
  <si>
    <t>CONTROL AND MONITORING</t>
  </si>
  <si>
    <t>Integration Testing</t>
  </si>
  <si>
    <t>Consolidation Testing</t>
  </si>
  <si>
    <t>CMRL User Training</t>
  </si>
  <si>
    <t>Deployment and Switching</t>
  </si>
  <si>
    <t>Validation and Confirmation</t>
  </si>
  <si>
    <t>CLOSURE</t>
  </si>
  <si>
    <t>Lessons Learned</t>
  </si>
  <si>
    <t>Decommissioning</t>
  </si>
  <si>
    <t>RACI Matrix</t>
  </si>
  <si>
    <t>Responsible</t>
  </si>
  <si>
    <t>Consulted</t>
  </si>
  <si>
    <t>Informed</t>
  </si>
  <si>
    <t>CIR</t>
  </si>
  <si>
    <t>Deliverable</t>
  </si>
  <si>
    <t>Accountable</t>
  </si>
  <si>
    <t>User guide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</si>
</sst>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theme="1"/>
      <name val="Candara"/>
      <family val="2"/>
    </font>
    <font>
      <sz val="10"/>
      <color theme="6" tint="-0.249977111117893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B0AC14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name val="Arial"/>
      <family val="2"/>
    </font>
    <font>
      <b/>
      <sz val="8"/>
      <color rgb="FF2C6646"/>
      <name val="Calibri"/>
      <family val="2"/>
      <scheme val="minor"/>
    </font>
    <font>
      <sz val="8"/>
      <color rgb="FF2C6646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9242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b/>
      <sz val="9"/>
      <color rgb="FF2C664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name val="Candara"/>
      <family val="2"/>
    </font>
    <font>
      <sz val="12"/>
      <name val="Candara"/>
      <family val="2"/>
    </font>
    <font>
      <b/>
      <sz val="14"/>
      <color theme="1"/>
      <name val="Candara"/>
      <family val="2"/>
    </font>
    <font>
      <sz val="12"/>
      <color theme="1"/>
      <name val="Candara"/>
      <family val="2"/>
    </font>
    <font>
      <b/>
      <sz val="12"/>
      <color theme="1"/>
      <name val="Candara"/>
      <family val="2"/>
    </font>
    <font>
      <b/>
      <sz val="12"/>
      <color rgb="FF262626"/>
      <name val="Candara"/>
      <family val="2"/>
    </font>
    <font>
      <sz val="12"/>
      <color rgb="FF262626"/>
      <name val="Candara"/>
      <family val="2"/>
    </font>
    <font>
      <b/>
      <sz val="16"/>
      <color rgb="FF2C6646"/>
      <name val="Calibri"/>
      <family val="2"/>
      <scheme val="minor"/>
    </font>
    <font>
      <b/>
      <sz val="12"/>
      <color theme="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FE5F7"/>
        <bgColor indexed="64"/>
      </patternFill>
    </fill>
    <fill>
      <patternFill patternType="solid">
        <fgColor rgb="FF9ED6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darkUp">
        <fgColor theme="2" tint="-0.24994659260841701"/>
        <bgColor rgb="FFB9E1CB"/>
      </patternFill>
    </fill>
    <fill>
      <patternFill patternType="darkUp">
        <fgColor theme="2" tint="-0.2499465926084170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ck">
        <color theme="0"/>
      </left>
      <right/>
      <top/>
      <bottom style="thin">
        <color rgb="FF91E0FF"/>
      </bottom>
      <diagonal/>
    </border>
    <border>
      <left style="thick">
        <color theme="0"/>
      </left>
      <right/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ck">
        <color theme="0"/>
      </right>
      <top/>
      <bottom style="thin">
        <color rgb="FF91E0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/>
  </cellStyleXfs>
  <cellXfs count="89">
    <xf numFmtId="0" fontId="0" fillId="0" borderId="0" xfId="0"/>
    <xf numFmtId="0" fontId="1" fillId="2" borderId="1" xfId="0" applyFont="1" applyFill="1" applyBorder="1" applyAlignment="1">
      <alignment vertical="center"/>
    </xf>
    <xf numFmtId="14" fontId="1" fillId="2" borderId="1" xfId="0" applyNumberFormat="1" applyFont="1" applyFill="1" applyBorder="1" applyAlignment="1">
      <alignment horizontal="center" vertical="center"/>
    </xf>
    <xf numFmtId="0" fontId="2" fillId="3" borderId="0" xfId="0" applyFont="1" applyFill="1"/>
    <xf numFmtId="0" fontId="3" fillId="2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6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8" fillId="6" borderId="0" xfId="0" applyFont="1" applyFill="1" applyAlignment="1">
      <alignment horizontal="center" vertical="center"/>
    </xf>
    <xf numFmtId="0" fontId="8" fillId="6" borderId="5" xfId="0" applyFont="1" applyFill="1" applyBorder="1" applyAlignment="1">
      <alignment vertical="center"/>
    </xf>
    <xf numFmtId="0" fontId="11" fillId="0" borderId="0" xfId="0" applyFont="1"/>
    <xf numFmtId="0" fontId="11" fillId="0" borderId="0" xfId="0" applyFont="1" applyProtection="1">
      <protection locked="0"/>
    </xf>
    <xf numFmtId="0" fontId="17" fillId="0" borderId="0" xfId="0" applyFont="1"/>
    <xf numFmtId="0" fontId="10" fillId="8" borderId="6" xfId="0" applyFont="1" applyFill="1" applyBorder="1"/>
    <xf numFmtId="0" fontId="10" fillId="0" borderId="0" xfId="0" applyFont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/>
    </xf>
    <xf numFmtId="0" fontId="14" fillId="0" borderId="0" xfId="0" applyFont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left" vertical="center"/>
    </xf>
    <xf numFmtId="0" fontId="15" fillId="0" borderId="0" xfId="0" applyFont="1"/>
    <xf numFmtId="0" fontId="16" fillId="0" borderId="0" xfId="0" applyFont="1"/>
    <xf numFmtId="0" fontId="18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left" vertical="center"/>
    </xf>
    <xf numFmtId="0" fontId="8" fillId="6" borderId="8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0" fillId="8" borderId="6" xfId="0" applyFont="1" applyFill="1" applyBorder="1" applyAlignment="1">
      <alignment horizontal="center"/>
    </xf>
    <xf numFmtId="0" fontId="19" fillId="7" borderId="0" xfId="0" applyFont="1" applyFill="1" applyAlignment="1">
      <alignment horizontal="center" vertical="center" wrapText="1"/>
    </xf>
    <xf numFmtId="0" fontId="20" fillId="7" borderId="0" xfId="0" applyFont="1" applyFill="1" applyAlignment="1">
      <alignment horizontal="center" vertical="center" wrapText="1"/>
    </xf>
    <xf numFmtId="0" fontId="21" fillId="0" borderId="0" xfId="0" applyFont="1"/>
    <xf numFmtId="0" fontId="17" fillId="0" borderId="9" xfId="0" applyFont="1" applyBorder="1"/>
    <xf numFmtId="0" fontId="17" fillId="3" borderId="0" xfId="0" applyFont="1" applyFill="1" applyAlignment="1">
      <alignment horizontal="center" vertical="center"/>
    </xf>
    <xf numFmtId="0" fontId="24" fillId="9" borderId="0" xfId="0" applyFont="1" applyFill="1" applyAlignment="1">
      <alignment horizontal="center" vertical="center"/>
    </xf>
    <xf numFmtId="0" fontId="25" fillId="13" borderId="1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6" fillId="11" borderId="0" xfId="0" applyFont="1" applyFill="1" applyAlignment="1">
      <alignment horizontal="center" vertical="center"/>
    </xf>
    <xf numFmtId="0" fontId="27" fillId="12" borderId="0" xfId="0" applyFont="1" applyFill="1" applyAlignment="1">
      <alignment horizontal="center" vertical="center"/>
    </xf>
    <xf numFmtId="0" fontId="28" fillId="0" borderId="0" xfId="0" applyFont="1" applyAlignment="1">
      <alignment horizontal="left" vertical="center" wrapText="1"/>
    </xf>
    <xf numFmtId="0" fontId="19" fillId="7" borderId="11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31" fillId="3" borderId="0" xfId="0" applyFont="1" applyFill="1" applyAlignment="1">
      <alignment vertical="top"/>
    </xf>
    <xf numFmtId="0" fontId="32" fillId="3" borderId="0" xfId="0" applyFont="1" applyFill="1" applyAlignment="1">
      <alignment vertical="top"/>
    </xf>
    <xf numFmtId="0" fontId="33" fillId="3" borderId="0" xfId="0" applyFont="1" applyFill="1"/>
    <xf numFmtId="0" fontId="34" fillId="3" borderId="0" xfId="0" applyFont="1" applyFill="1"/>
    <xf numFmtId="0" fontId="0" fillId="3" borderId="0" xfId="0" applyFill="1"/>
    <xf numFmtId="0" fontId="35" fillId="3" borderId="0" xfId="0" applyFont="1" applyFill="1"/>
    <xf numFmtId="0" fontId="36" fillId="15" borderId="14" xfId="0" applyFont="1" applyFill="1" applyBorder="1" applyAlignment="1">
      <alignment horizontal="center" vertical="center" wrapText="1"/>
    </xf>
    <xf numFmtId="0" fontId="34" fillId="3" borderId="14" xfId="0" applyFont="1" applyFill="1" applyBorder="1"/>
    <xf numFmtId="0" fontId="36" fillId="16" borderId="14" xfId="0" applyFont="1" applyFill="1" applyBorder="1" applyAlignment="1">
      <alignment horizontal="center" vertical="center" wrapText="1"/>
    </xf>
    <xf numFmtId="0" fontId="36" fillId="17" borderId="14" xfId="0" applyFont="1" applyFill="1" applyBorder="1" applyAlignment="1">
      <alignment horizontal="center" vertical="center" wrapText="1"/>
    </xf>
    <xf numFmtId="0" fontId="36" fillId="18" borderId="14" xfId="0" applyFont="1" applyFill="1" applyBorder="1" applyAlignment="1">
      <alignment horizontal="center" vertical="center" wrapText="1"/>
    </xf>
    <xf numFmtId="0" fontId="37" fillId="3" borderId="14" xfId="0" applyFont="1" applyFill="1" applyBorder="1" applyAlignment="1">
      <alignment vertical="center" wrapText="1"/>
    </xf>
    <xf numFmtId="0" fontId="30" fillId="3" borderId="0" xfId="3" applyFill="1"/>
    <xf numFmtId="0" fontId="34" fillId="3" borderId="0" xfId="0" applyFont="1" applyFill="1" applyAlignment="1">
      <alignment horizontal="left" vertical="top"/>
    </xf>
    <xf numFmtId="0" fontId="34" fillId="3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 applyProtection="1">
      <alignment vertical="center" wrapText="1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0" fontId="9" fillId="0" borderId="0" xfId="0" applyFont="1" applyAlignment="1" applyProtection="1">
      <alignment vertical="center"/>
      <protection locked="0"/>
    </xf>
    <xf numFmtId="0" fontId="2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19" borderId="0" xfId="0" applyFont="1" applyFill="1" applyAlignment="1">
      <alignment horizontal="center" vertical="center" wrapText="1"/>
    </xf>
    <xf numFmtId="0" fontId="9" fillId="20" borderId="0" xfId="0" applyFont="1" applyFill="1" applyAlignment="1">
      <alignment horizontal="center" vertical="center" wrapText="1"/>
    </xf>
    <xf numFmtId="0" fontId="34" fillId="3" borderId="0" xfId="0" applyFont="1" applyFill="1" applyAlignment="1">
      <alignment horizontal="left" vertical="top" wrapText="1"/>
    </xf>
    <xf numFmtId="0" fontId="38" fillId="7" borderId="9" xfId="0" applyFont="1" applyFill="1" applyBorder="1" applyAlignment="1">
      <alignment horizontal="left" vertical="center" wrapText="1"/>
    </xf>
    <xf numFmtId="0" fontId="38" fillId="7" borderId="12" xfId="0" applyFont="1" applyFill="1" applyBorder="1" applyAlignment="1">
      <alignment horizontal="left" vertical="center" wrapText="1"/>
    </xf>
    <xf numFmtId="0" fontId="33" fillId="17" borderId="11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left" vertical="center"/>
    </xf>
    <xf numFmtId="0" fontId="34" fillId="3" borderId="0" xfId="0" applyFont="1" applyFill="1" applyAlignment="1">
      <alignment horizontal="left" vertical="center" wrapText="1"/>
    </xf>
    <xf numFmtId="0" fontId="37" fillId="3" borderId="15" xfId="0" applyFont="1" applyFill="1" applyBorder="1" applyAlignment="1">
      <alignment horizontal="left" vertical="center" wrapText="1"/>
    </xf>
    <xf numFmtId="0" fontId="37" fillId="3" borderId="16" xfId="0" applyFont="1" applyFill="1" applyBorder="1" applyAlignment="1">
      <alignment horizontal="left" vertical="center" wrapText="1"/>
    </xf>
    <xf numFmtId="0" fontId="29" fillId="14" borderId="9" xfId="0" applyFont="1" applyFill="1" applyBorder="1" applyAlignment="1">
      <alignment horizontal="center" vertical="center"/>
    </xf>
    <xf numFmtId="0" fontId="29" fillId="14" borderId="12" xfId="0" applyFont="1" applyFill="1" applyBorder="1" applyAlignment="1">
      <alignment horizontal="center" vertical="center"/>
    </xf>
    <xf numFmtId="0" fontId="29" fillId="14" borderId="10" xfId="0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left" vertical="center"/>
    </xf>
    <xf numFmtId="0" fontId="7" fillId="5" borderId="13" xfId="0" applyFont="1" applyFill="1" applyBorder="1" applyAlignment="1">
      <alignment horizontal="left" vertical="center"/>
    </xf>
    <xf numFmtId="0" fontId="6" fillId="5" borderId="4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0" fontId="39" fillId="4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</cellXfs>
  <cellStyles count="4">
    <cellStyle name="Hyperlink" xfId="3" builtinId="8"/>
    <cellStyle name="Normal" xfId="0" builtinId="0"/>
    <cellStyle name="Normal 2" xfId="2" xr:uid="{17BFE027-EBD2-4894-A4B7-22EB55DFFE95}"/>
    <cellStyle name="Normal 3" xfId="1" xr:uid="{37384669-6CFC-4267-B564-B372DB213ADD}"/>
  </cellStyles>
  <dxfs count="53"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darkUp">
          <fgColor theme="2" tint="-0.2499465926084170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darkUp">
          <fgColor theme="2" tint="-0.2499465926084170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darkUp">
          <fgColor theme="2" tint="-0.2499465926084170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C6646"/>
        <name val="Calibri"/>
        <family val="2"/>
        <scheme val="minor"/>
      </font>
      <fill>
        <patternFill patternType="solid">
          <fgColor indexed="64"/>
          <bgColor rgb="FFB9E1CB"/>
        </patternFill>
      </fill>
      <alignment horizontal="center" vertical="center" textRotation="0" wrapText="1" indent="0" justifyLastLine="0" shrinkToFit="0" readingOrder="0"/>
    </dxf>
    <dxf>
      <font>
        <b/>
        <i val="0"/>
        <color rgb="FF757171"/>
      </font>
      <fill>
        <patternFill>
          <fgColor indexed="64"/>
          <bgColor rgb="FFEDEDED"/>
        </patternFill>
      </fill>
    </dxf>
    <dxf>
      <font>
        <b/>
        <i val="0"/>
        <color rgb="FF7030A0"/>
      </font>
      <fill>
        <patternFill>
          <fgColor indexed="64"/>
          <bgColor rgb="FFEFE5F7"/>
        </patternFill>
      </fill>
    </dxf>
    <dxf>
      <font>
        <b/>
        <i val="0"/>
        <color rgb="FF009242"/>
      </font>
      <fill>
        <patternFill patternType="solid">
          <fgColor indexed="64"/>
          <bgColor theme="9" tint="0.79998168889431442"/>
        </patternFill>
      </fill>
    </dxf>
    <dxf>
      <font>
        <b/>
        <i val="0"/>
        <color theme="8" tint="-0.499984740745262"/>
      </font>
      <fill>
        <patternFill patternType="solid">
          <fgColor indexed="64"/>
          <bgColor theme="8" tint="0.79998168889431442"/>
        </patternFill>
      </fill>
    </dxf>
    <dxf>
      <font>
        <b/>
        <i val="0"/>
        <color theme="5" tint="-0.249977111117893"/>
      </font>
      <fill>
        <patternFill patternType="solid">
          <fgColor indexed="64"/>
          <bgColor theme="5" tint="0.79998168889431442"/>
        </patternFill>
      </fill>
    </dxf>
    <dxf>
      <font>
        <b/>
        <i val="0"/>
        <color theme="7" tint="-0.249977111117893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color theme="2" tint="-0.749992370372631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9ED6B7"/>
      <color rgb="FF009242"/>
      <color rgb="FFEFE5F7"/>
      <color rgb="FFDFC9EF"/>
      <color rgb="FFC7A1E3"/>
      <color rgb="FF00863D"/>
      <color rgb="FFEFF6EA"/>
      <color rgb="FFF5F5F5"/>
      <color rgb="FFEFF6FB"/>
      <color rgb="FFF2F8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2" dropStyle="combo" dx="26" fmlaLink="$W$6" fmlaRange="Language!$F$2:$F$3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hyperlink" Target="https://learn.microsoft.com/fr-fr/deployoffice/security/internet-macros-blocked" TargetMode="External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planification/matrice-raci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3</xdr:col>
      <xdr:colOff>1446706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719246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8</xdr:col>
      <xdr:colOff>998220</xdr:colOff>
      <xdr:row>17</xdr:row>
      <xdr:rowOff>173638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2028825"/>
          <a:ext cx="10210800" cy="1773838"/>
        </a:xfrm>
        <a:prstGeom prst="rect">
          <a:avLst/>
        </a:prstGeom>
      </xdr:spPr>
    </xdr:pic>
    <xdr:clientData/>
  </xdr:twoCellAnchor>
  <xdr:twoCellAnchor>
    <xdr:from>
      <xdr:col>8</xdr:col>
      <xdr:colOff>495300</xdr:colOff>
      <xdr:row>19</xdr:row>
      <xdr:rowOff>160020</xdr:rowOff>
    </xdr:from>
    <xdr:to>
      <xdr:col>9</xdr:col>
      <xdr:colOff>256694</xdr:colOff>
      <xdr:row>19</xdr:row>
      <xdr:rowOff>358140</xdr:rowOff>
    </xdr:to>
    <xdr:sp macro="" textlink="">
      <xdr:nvSpPr>
        <xdr:cNvPr id="4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9921240" y="4328160"/>
          <a:ext cx="1003454" cy="198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u="sng">
              <a:solidFill>
                <a:srgbClr val="00B0F0"/>
              </a:solidFill>
            </a:rPr>
            <a:t>Plus de détail.</a:t>
          </a:r>
        </a:p>
      </xdr:txBody>
    </xdr:sp>
    <xdr:clientData/>
  </xdr:twoCellAnchor>
  <xdr:twoCellAnchor editAs="oneCell">
    <xdr:from>
      <xdr:col>1</xdr:col>
      <xdr:colOff>30480</xdr:colOff>
      <xdr:row>20</xdr:row>
      <xdr:rowOff>91440</xdr:rowOff>
    </xdr:from>
    <xdr:to>
      <xdr:col>5</xdr:col>
      <xdr:colOff>206969</xdr:colOff>
      <xdr:row>24</xdr:row>
      <xdr:rowOff>6678</xdr:rowOff>
    </xdr:to>
    <xdr:pic>
      <xdr:nvPicPr>
        <xdr:cNvPr id="5" name="Image 5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12132"/>
        <a:stretch/>
      </xdr:blipFill>
      <xdr:spPr>
        <a:xfrm>
          <a:off x="238125" y="4657725"/>
          <a:ext cx="6714449" cy="646758"/>
        </a:xfrm>
        <a:prstGeom prst="rect">
          <a:avLst/>
        </a:prstGeom>
      </xdr:spPr>
    </xdr:pic>
    <xdr:clientData/>
  </xdr:twoCellAnchor>
  <xdr:twoCellAnchor>
    <xdr:from>
      <xdr:col>0</xdr:col>
      <xdr:colOff>169062</xdr:colOff>
      <xdr:row>66</xdr:row>
      <xdr:rowOff>68580</xdr:rowOff>
    </xdr:from>
    <xdr:to>
      <xdr:col>5</xdr:col>
      <xdr:colOff>708660</xdr:colOff>
      <xdr:row>82</xdr:row>
      <xdr:rowOff>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169062" y="13479780"/>
          <a:ext cx="7290918" cy="2857500"/>
          <a:chOff x="169062" y="8808720"/>
          <a:chExt cx="7676195" cy="2588410"/>
        </a:xfrm>
      </xdr:grpSpPr>
      <xdr:pic>
        <xdr:nvPicPr>
          <xdr:cNvPr id="7" name="Imag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9062" y="8808720"/>
            <a:ext cx="7676195" cy="2588410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5699760" y="8854440"/>
            <a:ext cx="975360" cy="2895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182880</xdr:colOff>
      <xdr:row>50</xdr:row>
      <xdr:rowOff>170593</xdr:rowOff>
    </xdr:from>
    <xdr:to>
      <xdr:col>5</xdr:col>
      <xdr:colOff>998220</xdr:colOff>
      <xdr:row>64</xdr:row>
      <xdr:rowOff>115755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82880" y="10640473"/>
          <a:ext cx="7566660" cy="2505482"/>
          <a:chOff x="220980" y="8232553"/>
          <a:chExt cx="8041469" cy="2505482"/>
        </a:xfrm>
      </xdr:grpSpPr>
      <xdr:pic>
        <xdr:nvPicPr>
          <xdr:cNvPr id="10" name="Imag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20980" y="8232553"/>
            <a:ext cx="8041469" cy="2505482"/>
          </a:xfrm>
          <a:prstGeom prst="rect">
            <a:avLst/>
          </a:prstGeom>
        </xdr:spPr>
      </xdr:pic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6004560" y="8252460"/>
            <a:ext cx="487680" cy="28194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985260" y="9319260"/>
            <a:ext cx="571500" cy="1828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59080" y="9319260"/>
            <a:ext cx="2674620" cy="190500"/>
          </a:xfrm>
          <a:prstGeom prst="rect">
            <a:avLst/>
          </a:prstGeom>
          <a:noFill/>
          <a:ln>
            <a:solidFill>
              <a:srgbClr val="00924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3992880" y="8763000"/>
            <a:ext cx="548640" cy="213360"/>
          </a:xfrm>
          <a:prstGeom prst="rect">
            <a:avLst/>
          </a:prstGeom>
          <a:noFill/>
          <a:ln>
            <a:solidFill>
              <a:srgbClr val="00924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38100</xdr:colOff>
      <xdr:row>109</xdr:row>
      <xdr:rowOff>175941</xdr:rowOff>
    </xdr:from>
    <xdr:to>
      <xdr:col>5</xdr:col>
      <xdr:colOff>1120139</xdr:colOff>
      <xdr:row>122</xdr:row>
      <xdr:rowOff>129121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251460" y="21877701"/>
          <a:ext cx="7619999" cy="2345860"/>
          <a:chOff x="213361" y="14669181"/>
          <a:chExt cx="8130540" cy="2345860"/>
        </a:xfrm>
      </xdr:grpSpPr>
      <xdr:pic>
        <xdr:nvPicPr>
          <xdr:cNvPr id="16" name="Imag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13361" y="14669181"/>
            <a:ext cx="8130540" cy="2345860"/>
          </a:xfrm>
          <a:prstGeom prst="rect">
            <a:avLst/>
          </a:prstGeom>
        </xdr:spPr>
      </xdr:pic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43840" y="14691360"/>
            <a:ext cx="944880" cy="27432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30480</xdr:colOff>
      <xdr:row>86</xdr:row>
      <xdr:rowOff>93762</xdr:rowOff>
    </xdr:from>
    <xdr:to>
      <xdr:col>5</xdr:col>
      <xdr:colOff>1074420</xdr:colOff>
      <xdr:row>107</xdr:row>
      <xdr:rowOff>7620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243840" y="17238762"/>
          <a:ext cx="7581900" cy="4074378"/>
          <a:chOff x="243840" y="14884182"/>
          <a:chExt cx="8377344" cy="4074378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243840" y="14884182"/>
            <a:ext cx="8300545" cy="1887109"/>
          </a:xfrm>
          <a:prstGeom prst="rect">
            <a:avLst/>
          </a:prstGeom>
        </xdr:spPr>
      </xdr:pic>
      <xdr:pic>
        <xdr:nvPicPr>
          <xdr:cNvPr id="20" name="Imag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274320" y="17052092"/>
            <a:ext cx="8346864" cy="1906468"/>
          </a:xfrm>
          <a:prstGeom prst="rect">
            <a:avLst/>
          </a:prstGeom>
        </xdr:spPr>
      </xdr:pic>
      <xdr:sp macro="" textlink="">
        <xdr:nvSpPr>
          <xdr:cNvPr id="21" name="Flèche : bas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510540" y="16809720"/>
            <a:ext cx="198120" cy="205740"/>
          </a:xfrm>
          <a:prstGeom prst="down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327660" y="18204180"/>
            <a:ext cx="2773680" cy="19812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281940" y="16024860"/>
            <a:ext cx="350520" cy="19812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274320" y="14919960"/>
            <a:ext cx="990600" cy="2895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3</xdr:col>
      <xdr:colOff>3924300</xdr:colOff>
      <xdr:row>136</xdr:row>
      <xdr:rowOff>0</xdr:rowOff>
    </xdr:from>
    <xdr:to>
      <xdr:col>4</xdr:col>
      <xdr:colOff>561975</xdr:colOff>
      <xdr:row>137</xdr:row>
      <xdr:rowOff>9525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7315200" y="26660475"/>
          <a:ext cx="788670" cy="19240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180479</xdr:colOff>
      <xdr:row>125</xdr:row>
      <xdr:rowOff>126678</xdr:rowOff>
    </xdr:from>
    <xdr:to>
      <xdr:col>5</xdr:col>
      <xdr:colOff>916184</xdr:colOff>
      <xdr:row>166</xdr:row>
      <xdr:rowOff>77602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180479" y="24800238"/>
          <a:ext cx="7487025" cy="7449004"/>
          <a:chOff x="180479" y="24800238"/>
          <a:chExt cx="7487025" cy="7449004"/>
        </a:xfrm>
      </xdr:grpSpPr>
      <xdr:grpSp>
        <xdr:nvGrpSpPr>
          <xdr:cNvPr id="26" name="Group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GrpSpPr/>
        </xdr:nvGrpSpPr>
        <xdr:grpSpPr>
          <a:xfrm>
            <a:off x="180479" y="24800238"/>
            <a:ext cx="7487025" cy="7449004"/>
            <a:chOff x="193143" y="22344692"/>
            <a:chExt cx="8244102" cy="7376664"/>
          </a:xfrm>
        </xdr:grpSpPr>
        <xdr:pic>
          <xdr:nvPicPr>
            <xdr:cNvPr id="27" name="Image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41934" y="22344692"/>
              <a:ext cx="8188403" cy="3496633"/>
            </a:xfrm>
            <a:prstGeom prst="rect">
              <a:avLst/>
            </a:prstGeom>
          </xdr:spPr>
        </xdr:pic>
        <xdr:pic>
          <xdr:nvPicPr>
            <xdr:cNvPr id="29" name="Image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6421755" y="23466458"/>
              <a:ext cx="2015490" cy="1092633"/>
            </a:xfrm>
            <a:prstGeom prst="rect">
              <a:avLst/>
            </a:prstGeom>
          </xdr:spPr>
        </xdr:pic>
        <xdr:pic>
          <xdr:nvPicPr>
            <xdr:cNvPr id="30" name="Image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93143" y="26538100"/>
              <a:ext cx="8031139" cy="3183256"/>
            </a:xfrm>
            <a:prstGeom prst="rect">
              <a:avLst/>
            </a:prstGeom>
          </xdr:spPr>
        </xdr:pic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2314575" y="22379940"/>
              <a:ext cx="701040" cy="28575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33" name="Flèche : bas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3535680" y="28491180"/>
            <a:ext cx="381000" cy="335280"/>
          </a:xfrm>
          <a:prstGeom prst="down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5</xdr:col>
      <xdr:colOff>2049780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41554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198119</xdr:colOff>
      <xdr:row>8</xdr:row>
      <xdr:rowOff>99060</xdr:rowOff>
    </xdr:from>
    <xdr:to>
      <xdr:col>5</xdr:col>
      <xdr:colOff>769082</xdr:colOff>
      <xdr:row>9</xdr:row>
      <xdr:rowOff>114300</xdr:rowOff>
    </xdr:to>
    <xdr:sp macro="[0]!AddRow" textlink="">
      <xdr:nvSpPr>
        <xdr:cNvPr id="5" name="BtnAddPhase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98119" y="1341120"/>
          <a:ext cx="1150083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/>
            <a:t>Ajouter une phase</a:t>
          </a:r>
        </a:p>
      </xdr:txBody>
    </xdr:sp>
    <xdr:clientData/>
  </xdr:twoCellAnchor>
  <xdr:twoCellAnchor editAs="absolute">
    <xdr:from>
      <xdr:col>5</xdr:col>
      <xdr:colOff>2103120</xdr:colOff>
      <xdr:row>8</xdr:row>
      <xdr:rowOff>99060</xdr:rowOff>
    </xdr:from>
    <xdr:to>
      <xdr:col>5</xdr:col>
      <xdr:colOff>2857500</xdr:colOff>
      <xdr:row>9</xdr:row>
      <xdr:rowOff>114300</xdr:rowOff>
    </xdr:to>
    <xdr:sp macro="[0]!DeleteR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682240" y="1341120"/>
          <a:ext cx="754380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/>
            <a:t>Supprimer</a:t>
          </a:r>
        </a:p>
      </xdr:txBody>
    </xdr:sp>
    <xdr:clientData/>
  </xdr:twoCellAnchor>
  <xdr:twoCellAnchor editAs="absolute">
    <xdr:from>
      <xdr:col>5</xdr:col>
      <xdr:colOff>845820</xdr:colOff>
      <xdr:row>8</xdr:row>
      <xdr:rowOff>99060</xdr:rowOff>
    </xdr:from>
    <xdr:to>
      <xdr:col>5</xdr:col>
      <xdr:colOff>2004060</xdr:colOff>
      <xdr:row>9</xdr:row>
      <xdr:rowOff>114300</xdr:rowOff>
    </xdr:to>
    <xdr:sp macro="[0]!AddRo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24940" y="1341120"/>
          <a:ext cx="1158240" cy="304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/>
            <a:t>Ajouter une tâche</a:t>
          </a:r>
        </a:p>
      </xdr:txBody>
    </xdr:sp>
    <xdr:clientData/>
  </xdr:twoCellAnchor>
  <xdr:twoCellAnchor editAs="absolute">
    <xdr:from>
      <xdr:col>9</xdr:col>
      <xdr:colOff>114300</xdr:colOff>
      <xdr:row>6</xdr:row>
      <xdr:rowOff>38100</xdr:rowOff>
    </xdr:from>
    <xdr:to>
      <xdr:col>11</xdr:col>
      <xdr:colOff>91658</xdr:colOff>
      <xdr:row>8</xdr:row>
      <xdr:rowOff>213360</xdr:rowOff>
    </xdr:to>
    <xdr:sp macro="[0]!GetRACI" textlink="">
      <xdr:nvSpPr>
        <xdr:cNvPr id="7" name="Btn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433060" y="1150620"/>
          <a:ext cx="1196558" cy="3048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Réalisateur</a:t>
          </a:r>
        </a:p>
      </xdr:txBody>
    </xdr:sp>
    <xdr:clientData/>
  </xdr:twoCellAnchor>
  <xdr:twoCellAnchor editAs="absolute">
    <xdr:from>
      <xdr:col>13</xdr:col>
      <xdr:colOff>329138</xdr:colOff>
      <xdr:row>6</xdr:row>
      <xdr:rowOff>38100</xdr:rowOff>
    </xdr:from>
    <xdr:to>
      <xdr:col>15</xdr:col>
      <xdr:colOff>186841</xdr:colOff>
      <xdr:row>8</xdr:row>
      <xdr:rowOff>213360</xdr:rowOff>
    </xdr:to>
    <xdr:sp macro="[0]!GetRACI" textlink="">
      <xdr:nvSpPr>
        <xdr:cNvPr id="10" name="BtnC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8086298" y="1150620"/>
          <a:ext cx="1076903" cy="3048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Consulté</a:t>
          </a:r>
        </a:p>
      </xdr:txBody>
    </xdr:sp>
    <xdr:clientData/>
  </xdr:twoCellAnchor>
  <xdr:twoCellAnchor editAs="absolute">
    <xdr:from>
      <xdr:col>11</xdr:col>
      <xdr:colOff>213048</xdr:colOff>
      <xdr:row>6</xdr:row>
      <xdr:rowOff>38100</xdr:rowOff>
    </xdr:from>
    <xdr:to>
      <xdr:col>13</xdr:col>
      <xdr:colOff>190406</xdr:colOff>
      <xdr:row>8</xdr:row>
      <xdr:rowOff>213360</xdr:rowOff>
    </xdr:to>
    <xdr:sp macro="[0]!GetRACI" textlink="">
      <xdr:nvSpPr>
        <xdr:cNvPr id="12" name="BtnA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751008" y="1150620"/>
          <a:ext cx="1196558" cy="304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Approbateur</a:t>
          </a:r>
        </a:p>
      </xdr:txBody>
    </xdr:sp>
    <xdr:clientData/>
  </xdr:twoCellAnchor>
  <xdr:twoCellAnchor editAs="absolute">
    <xdr:from>
      <xdr:col>15</xdr:col>
      <xdr:colOff>341179</xdr:colOff>
      <xdr:row>6</xdr:row>
      <xdr:rowOff>38100</xdr:rowOff>
    </xdr:from>
    <xdr:to>
      <xdr:col>17</xdr:col>
      <xdr:colOff>198882</xdr:colOff>
      <xdr:row>8</xdr:row>
      <xdr:rowOff>213360</xdr:rowOff>
    </xdr:to>
    <xdr:sp macro="[0]!GetRACI" textlink="">
      <xdr:nvSpPr>
        <xdr:cNvPr id="13" name="BtnI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317539" y="1150620"/>
          <a:ext cx="1076903" cy="3048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Informé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30480</xdr:colOff>
          <xdr:row>5</xdr:row>
          <xdr:rowOff>76200</xdr:rowOff>
        </xdr:from>
        <xdr:to>
          <xdr:col>23</xdr:col>
          <xdr:colOff>388620</xdr:colOff>
          <xdr:row>5</xdr:row>
          <xdr:rowOff>289560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17</xdr:col>
      <xdr:colOff>142875</xdr:colOff>
      <xdr:row>5</xdr:row>
      <xdr:rowOff>47625</xdr:rowOff>
    </xdr:from>
    <xdr:to>
      <xdr:col>19</xdr:col>
      <xdr:colOff>94713</xdr:colOff>
      <xdr:row>5</xdr:row>
      <xdr:rowOff>304800</xdr:rowOff>
    </xdr:to>
    <xdr:sp macro="" textlink="">
      <xdr:nvSpPr>
        <xdr:cNvPr id="4" name="BtnAddPhas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029825" y="790575"/>
          <a:ext cx="1132938" cy="2571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/>
            <a:t>Guide d'utilisation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152400</xdr:rowOff>
    </xdr:from>
    <xdr:to>
      <xdr:col>3</xdr:col>
      <xdr:colOff>547546</xdr:colOff>
      <xdr:row>4</xdr:row>
      <xdr:rowOff>76200</xdr:rowOff>
    </xdr:to>
    <xdr:pic>
      <xdr:nvPicPr>
        <xdr:cNvPr id="31" name="logo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" y="152400"/>
          <a:ext cx="2719246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891540</xdr:colOff>
      <xdr:row>5</xdr:row>
      <xdr:rowOff>60960</xdr:rowOff>
    </xdr:from>
    <xdr:to>
      <xdr:col>8</xdr:col>
      <xdr:colOff>594360</xdr:colOff>
      <xdr:row>5</xdr:row>
      <xdr:rowOff>305019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pSpPr/>
      </xdr:nvGrpSpPr>
      <xdr:grpSpPr>
        <a:xfrm>
          <a:off x="3238500" y="815340"/>
          <a:ext cx="5120640" cy="244059"/>
          <a:chOff x="3238500" y="815340"/>
          <a:chExt cx="4057200" cy="251285"/>
        </a:xfrm>
      </xdr:grpSpPr>
      <xdr:sp macro="[0]!NavBar" textlink="">
        <xdr:nvSpPr>
          <xdr:cNvPr id="41" name="BtnGuide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3238500" y="815340"/>
            <a:ext cx="1220831" cy="248157"/>
          </a:xfrm>
          <a:prstGeom prst="roundRect">
            <a:avLst/>
          </a:prstGeom>
          <a:solidFill>
            <a:schemeClr val="accent1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Guide d'utilisation</a:t>
            </a:r>
          </a:p>
        </xdr:txBody>
      </xdr:sp>
      <xdr:sp macro="[0]!NavBar" textlink="">
        <xdr:nvSpPr>
          <xdr:cNvPr id="42" name="BtnRACI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4533793" y="818468"/>
            <a:ext cx="1401637" cy="248157"/>
          </a:xfrm>
          <a:prstGeom prst="roundRect">
            <a:avLst/>
          </a:prstGeom>
          <a:solidFill>
            <a:schemeClr val="accent2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Matrice RACI</a:t>
            </a:r>
          </a:p>
        </xdr:txBody>
      </xdr:sp>
      <xdr:sp macro="[0]!NavBar" textlink="">
        <xdr:nvSpPr>
          <xdr:cNvPr id="43" name="BtnSettings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6020307" y="816712"/>
            <a:ext cx="1275393" cy="248157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Paramétrage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762953-8AF9-4D1F-B711-8A3DA5A4E1BD}" name="TabRACI" displayName="TabRACI" ref="B12:X38" totalsRowShown="0" headerRowDxfId="45" dataDxfId="44">
  <autoFilter ref="B12:X38" xr:uid="{C6762953-8AF9-4D1F-B711-8A3DA5A4E1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C6AFDC86-425B-4C98-AEA5-154D37D11AA7}" name="ID" dataDxfId="43">
      <calculatedColumnFormula>TabRACI[[#This Row],[IDPhase]] &amp; IF(TabRACI[[#This Row],[IsPhase]] = "", ".","") &amp; TabRACI[[#This Row],[IDTask]]</calculatedColumnFormula>
    </tableColumn>
    <tableColumn id="24" xr3:uid="{0ACDD7F8-449C-43FA-BB5B-66FE58AC53EA}" name="IDPhase" dataDxfId="42">
      <calculatedColumnFormula>IF(ISNUMBER($C12), IF(TabRACI[[#This Row],[IsPhase]] &lt;&gt;"",$C12+1, $C12), 1)</calculatedColumnFormula>
    </tableColumn>
    <tableColumn id="22" xr3:uid="{E1C68097-4A7E-4747-9A16-967A222600AF}" name="IsPhase" dataDxfId="41"/>
    <tableColumn id="23" xr3:uid="{07089339-8AA1-4F8E-8D8E-CEC2EE97B0BC}" name="IDTask" dataDxfId="40">
      <calculatedColumnFormula>IFERROR(IF(TabRACI[[#This Row],[IsPhase]]= "",$E12+1,""),1)</calculatedColumnFormula>
    </tableColumn>
    <tableColumn id="3" xr3:uid="{09984EE0-6E70-49FB-B6A2-4CD5E3CFD8E9}" name="Livrable ou tâche" dataDxfId="39"/>
    <tableColumn id="4" xr3:uid="{EFA05E07-C59A-4232-922F-F08CD26486E5}" name="Sponsor" dataDxfId="38"/>
    <tableColumn id="12" xr3:uid="{C0376BB8-0A87-43D5-B4B2-BD45FBA4AF7D}" name="Changement" dataDxfId="37"/>
    <tableColumn id="5" xr3:uid="{6588FBC4-FB2B-4FAF-BB78-D3B8C250D067}" name="Informatique" dataDxfId="36"/>
    <tableColumn id="13" xr3:uid="{9E00B21C-9A6D-42AE-95C1-D593E8BC318A}" name="Chef de Projet" dataDxfId="35"/>
    <tableColumn id="6" xr3:uid="{6163C790-864C-442C-AEF6-3CB9E38FF10A}" name="Intégration" dataDxfId="34"/>
    <tableColumn id="2" xr3:uid="{5B3C7E24-0096-460C-A9B4-405AB08185AE}" name="Coordination Finances" dataDxfId="33"/>
    <tableColumn id="7" xr3:uid="{2F79E7AB-AC0B-4289-8E0C-7C79FEBE4A7B}" name="Coordination Ventes" dataDxfId="32"/>
    <tableColumn id="8" xr3:uid="{AE0D409C-4406-4D26-9092-790A264AFFDE}" name="Coordination Achats" dataDxfId="31"/>
    <tableColumn id="9" xr3:uid="{9443BB8B-B7C9-4D7B-A4CB-4355B6B09F46}" name="Coordination Logistique" dataDxfId="30"/>
    <tableColumn id="10" xr3:uid="{E2D83E42-F1D6-40B0-8D3E-102BDEACB5FC}" name="Coordination Production" dataDxfId="29"/>
    <tableColumn id="11" xr3:uid="{9C3DCE63-BE04-4ADF-9BA9-A28846C31346}" name="Team Finances" dataDxfId="28"/>
    <tableColumn id="14" xr3:uid="{2B5C2EA5-5ACA-4580-B814-14D65BDDB780}" name="Team Ventes" dataDxfId="27"/>
    <tableColumn id="15" xr3:uid="{94C9B474-DBF5-4884-AA9D-BA62C7598605}" name="Team Achats" dataDxfId="26"/>
    <tableColumn id="16" xr3:uid="{368CBAA9-5BD5-4633-960B-DB9BA83B7BA8}" name="Team Logistique" dataDxfId="25"/>
    <tableColumn id="17" xr3:uid="{94933DBC-F514-484C-A1DA-068883101273}" name="Support Administratif" dataDxfId="24"/>
    <tableColumn id="18" xr3:uid="{A64BEA3D-48EF-4415-9847-37688092478F}" name="Expert Master Data" dataDxfId="23"/>
    <tableColumn id="19" xr3:uid="{2C00E84F-7822-4DC4-88CC-45D71C86F7F7}" name="Utilisateurs clés" dataDxfId="22"/>
    <tableColumn id="20" xr3:uid="{AA85CD55-B5C3-44FC-9F90-7D5188546563}" name="Formateur" dataDxfId="2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729236-5A1F-4D2E-BD84-F78C156892B3}" name="TabLangue" displayName="TabLangue" ref="A1:B67" totalsRowShown="0" headerRowDxfId="8" dataDxfId="7">
  <autoFilter ref="A1:B67" xr:uid="{27729236-5A1F-4D2E-BD84-F78C156892B3}"/>
  <sortState xmlns:xlrd2="http://schemas.microsoft.com/office/spreadsheetml/2017/richdata2" ref="A2:B35">
    <sortCondition ref="A1:A35"/>
  </sortState>
  <tableColumns count="2">
    <tableColumn id="1" xr3:uid="{9A66D5E2-906F-43CD-BC7F-A774A031958E}" name="Français" dataDxfId="6"/>
    <tableColumn id="2" xr3:uid="{870515F3-375C-4366-B1C6-3D88FE950597}" name="Anglais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6D1124-3841-454B-B44F-B1C39815E834}" name="TabLang" displayName="TabLang" ref="F1:F3" totalsRowShown="0">
  <autoFilter ref="F1:F3" xr:uid="{866D1124-3841-454B-B44F-B1C39815E834}"/>
  <tableColumns count="1">
    <tableColumn id="1" xr3:uid="{DC574A96-E160-4E76-A159-033F3BEA92AC}" name="Lang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08E2366-D736-428D-85B0-A6B12D57CDEA}" name="TabResp" displayName="TabResp" ref="C10:D15" headerRowCount="0" totalsRowShown="0" headerRowDxfId="4" dataDxfId="3">
  <tableColumns count="2">
    <tableColumn id="1" xr3:uid="{C1D994C3-90E1-4AA3-BE08-9694F77FB0DE}" name="Résponsabilités" dataDxfId="2"/>
    <tableColumn id="2" xr3:uid="{8F0AA3EB-A940-4AE2-8885-30FB10C98AEA}" name="Préfixe" headerRowDxfId="1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log-gestion-de-projet.com/quest-ce-que-la-matrice-raci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3FCC-62AB-448E-9317-F7CFF6A451BE}">
  <sheetPr codeName="ShGuide">
    <tabColor theme="4"/>
  </sheetPr>
  <dimension ref="A1:Q125"/>
  <sheetViews>
    <sheetView showGridLines="0" workbookViewId="0">
      <selection activeCell="G147" sqref="G147"/>
    </sheetView>
  </sheetViews>
  <sheetFormatPr defaultColWidth="0" defaultRowHeight="14.4" x14ac:dyDescent="0.3"/>
  <cols>
    <col min="1" max="1" width="3.109375" customWidth="1"/>
    <col min="2" max="2" width="5.6640625" customWidth="1"/>
    <col min="3" max="3" width="12.88671875" customWidth="1"/>
    <col min="4" max="4" width="58.109375" customWidth="1"/>
    <col min="5" max="5" width="18.6640625" customWidth="1"/>
    <col min="6" max="6" width="19.109375" customWidth="1"/>
    <col min="7" max="7" width="15.44140625" customWidth="1"/>
    <col min="8" max="8" width="4.44140625" customWidth="1"/>
    <col min="9" max="9" width="18.109375" bestFit="1" customWidth="1"/>
    <col min="10" max="10" width="21.6640625" customWidth="1"/>
    <col min="11" max="11" width="6" customWidth="1"/>
    <col min="12" max="12" width="23.5546875" customWidth="1"/>
    <col min="13" max="13" width="17" customWidth="1"/>
    <col min="14" max="16" width="8.88671875" customWidth="1"/>
    <col min="17" max="17" width="0" hidden="1" customWidth="1"/>
    <col min="18" max="16384" width="8.88671875" hidden="1"/>
  </cols>
  <sheetData>
    <row r="1" spans="2:13" ht="19.95" customHeight="1" x14ac:dyDescent="0.3">
      <c r="E1" s="9" t="s">
        <v>4</v>
      </c>
      <c r="F1" s="76" t="s">
        <v>10</v>
      </c>
      <c r="G1" s="76"/>
      <c r="I1" s="9" t="s">
        <v>13</v>
      </c>
      <c r="J1" s="10" t="s">
        <v>12</v>
      </c>
      <c r="L1" s="1" t="s">
        <v>0</v>
      </c>
      <c r="M1" s="2">
        <v>44893</v>
      </c>
    </row>
    <row r="2" spans="2:13" ht="14.4" hidden="1" customHeight="1" x14ac:dyDescent="0.3">
      <c r="E2" s="11"/>
      <c r="F2" s="26"/>
      <c r="G2" s="26"/>
      <c r="I2" s="11"/>
      <c r="J2" s="12"/>
      <c r="L2" s="3"/>
      <c r="M2" s="4"/>
    </row>
    <row r="3" spans="2:13" ht="19.95" customHeight="1" x14ac:dyDescent="0.3">
      <c r="E3" s="9" t="s">
        <v>5</v>
      </c>
      <c r="F3" s="76" t="s">
        <v>11</v>
      </c>
      <c r="G3" s="76"/>
      <c r="I3" s="9" t="s">
        <v>14</v>
      </c>
      <c r="J3" s="10" t="s">
        <v>15</v>
      </c>
      <c r="L3" s="1" t="s">
        <v>1</v>
      </c>
      <c r="M3" s="2"/>
    </row>
    <row r="4" spans="2:13" ht="14.4" hidden="1" customHeight="1" x14ac:dyDescent="0.3">
      <c r="L4" s="3"/>
      <c r="M4" s="4"/>
    </row>
    <row r="5" spans="2:13" ht="19.95" customHeight="1" thickBot="1" x14ac:dyDescent="0.35">
      <c r="L5" s="5" t="s">
        <v>2</v>
      </c>
      <c r="M5" s="6" t="s">
        <v>3</v>
      </c>
    </row>
    <row r="6" spans="2:13" ht="28.2" customHeight="1" thickTop="1" thickBot="1" x14ac:dyDescent="0.35">
      <c r="B6" s="7"/>
      <c r="C6" s="8" t="s">
        <v>8</v>
      </c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ht="10.199999999999999" customHeight="1" thickTop="1" x14ac:dyDescent="0.3"/>
    <row r="9" spans="2:13" ht="18" x14ac:dyDescent="0.3">
      <c r="B9" s="45" t="s">
        <v>87</v>
      </c>
    </row>
    <row r="10" spans="2:13" ht="15.6" x14ac:dyDescent="0.3">
      <c r="B10" s="46" t="s">
        <v>88</v>
      </c>
    </row>
    <row r="12" spans="2:13" ht="21" customHeight="1" x14ac:dyDescent="0.3"/>
    <row r="13" spans="2:13" ht="21" customHeight="1" x14ac:dyDescent="0.3"/>
    <row r="14" spans="2:13" ht="21" customHeight="1" x14ac:dyDescent="0.3"/>
    <row r="15" spans="2:13" ht="21" customHeight="1" x14ac:dyDescent="0.3"/>
    <row r="16" spans="2:13" ht="21" customHeight="1" x14ac:dyDescent="0.3"/>
    <row r="17" spans="2:13" ht="21" customHeight="1" x14ac:dyDescent="0.3"/>
    <row r="18" spans="2:13" ht="21" customHeight="1" x14ac:dyDescent="0.3"/>
    <row r="19" spans="2:13" ht="21" customHeight="1" x14ac:dyDescent="0.35">
      <c r="B19" s="47" t="s">
        <v>89</v>
      </c>
      <c r="C19" s="48"/>
      <c r="D19" s="48"/>
      <c r="E19" s="48"/>
      <c r="F19" s="48"/>
      <c r="G19" s="48"/>
      <c r="H19" s="48"/>
      <c r="I19" s="48"/>
      <c r="J19" s="48"/>
      <c r="K19" s="48"/>
      <c r="L19" s="49"/>
      <c r="M19" s="49"/>
    </row>
    <row r="20" spans="2:13" ht="31.95" customHeight="1" x14ac:dyDescent="0.3">
      <c r="B20" s="77" t="s">
        <v>90</v>
      </c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</row>
    <row r="26" spans="2:13" ht="18" customHeight="1" x14ac:dyDescent="0.3">
      <c r="B26" s="73" t="s">
        <v>91</v>
      </c>
      <c r="C26" s="74"/>
      <c r="D26" s="74"/>
      <c r="E26" s="74"/>
      <c r="F26" s="74"/>
      <c r="G26" s="74"/>
      <c r="H26" s="74"/>
      <c r="I26" s="74"/>
    </row>
    <row r="27" spans="2:13" ht="18" x14ac:dyDescent="0.35">
      <c r="B27" s="75" t="s">
        <v>93</v>
      </c>
      <c r="C27" s="75"/>
      <c r="D27" s="75"/>
      <c r="E27" s="75"/>
      <c r="F27" s="75"/>
      <c r="G27" s="75"/>
      <c r="H27" s="75"/>
      <c r="I27" s="75"/>
    </row>
    <row r="28" spans="2:13" ht="15.6" x14ac:dyDescent="0.3">
      <c r="B28" s="50" t="s">
        <v>92</v>
      </c>
    </row>
    <row r="29" spans="2:13" ht="15.6" x14ac:dyDescent="0.3">
      <c r="B29" s="48" t="s">
        <v>94</v>
      </c>
      <c r="C29" s="48"/>
      <c r="D29" s="48"/>
      <c r="E29" s="48"/>
      <c r="F29" s="48"/>
      <c r="G29" s="48"/>
      <c r="H29" s="3"/>
      <c r="I29" s="3"/>
      <c r="J29" s="3"/>
      <c r="K29" s="3"/>
    </row>
    <row r="30" spans="2:13" ht="15.6" x14ac:dyDescent="0.3">
      <c r="B30" s="48" t="s">
        <v>95</v>
      </c>
      <c r="C30" s="48"/>
      <c r="D30" s="48"/>
      <c r="E30" s="48"/>
      <c r="F30" s="48"/>
      <c r="G30" s="48"/>
      <c r="H30" s="3"/>
      <c r="I30" s="3"/>
      <c r="J30" s="3"/>
      <c r="K30" s="3"/>
    </row>
    <row r="31" spans="2:13" ht="15.6" x14ac:dyDescent="0.3">
      <c r="B31" s="48" t="s">
        <v>96</v>
      </c>
      <c r="C31" s="48"/>
      <c r="D31" s="48"/>
      <c r="E31" s="48"/>
      <c r="F31" s="48"/>
      <c r="G31" s="48"/>
      <c r="H31" s="3"/>
      <c r="I31" s="3"/>
      <c r="J31" s="3"/>
      <c r="K31" s="3"/>
    </row>
    <row r="32" spans="2:13" ht="15.6" x14ac:dyDescent="0.3">
      <c r="B32" s="50" t="s">
        <v>97</v>
      </c>
      <c r="C32" s="48"/>
      <c r="D32" s="48"/>
      <c r="E32" s="48"/>
      <c r="F32" s="48"/>
      <c r="G32" s="48"/>
      <c r="H32" s="3"/>
      <c r="I32" s="3"/>
      <c r="J32" s="3"/>
      <c r="K32" s="3"/>
    </row>
    <row r="33" spans="2:11" ht="15.6" x14ac:dyDescent="0.3">
      <c r="B33" s="51" t="s">
        <v>38</v>
      </c>
      <c r="C33" s="52" t="s">
        <v>98</v>
      </c>
      <c r="D33" s="52" t="s">
        <v>99</v>
      </c>
      <c r="E33" s="3"/>
      <c r="F33" s="3"/>
      <c r="G33" s="3"/>
      <c r="H33" s="3"/>
      <c r="I33" s="3"/>
      <c r="J33" s="3"/>
      <c r="K33" s="3"/>
    </row>
    <row r="34" spans="2:11" ht="15.6" x14ac:dyDescent="0.3">
      <c r="B34" s="53" t="s">
        <v>41</v>
      </c>
      <c r="C34" s="52" t="s">
        <v>100</v>
      </c>
      <c r="D34" s="52" t="s">
        <v>101</v>
      </c>
      <c r="E34" s="3"/>
      <c r="F34" s="3"/>
      <c r="G34" s="3"/>
      <c r="H34" s="3"/>
      <c r="I34" s="3"/>
      <c r="J34" s="3"/>
      <c r="K34" s="3"/>
    </row>
    <row r="35" spans="2:11" ht="15.6" x14ac:dyDescent="0.3">
      <c r="B35" s="54" t="s">
        <v>40</v>
      </c>
      <c r="C35" s="52" t="s">
        <v>102</v>
      </c>
      <c r="D35" s="52" t="s">
        <v>103</v>
      </c>
      <c r="E35" s="3"/>
      <c r="F35" s="3"/>
      <c r="G35" s="3"/>
      <c r="H35" s="3"/>
      <c r="I35" s="3"/>
      <c r="J35" s="3"/>
      <c r="K35" s="3"/>
    </row>
    <row r="36" spans="2:11" ht="15.6" x14ac:dyDescent="0.3">
      <c r="B36" s="55" t="s">
        <v>39</v>
      </c>
      <c r="C36" s="52" t="s">
        <v>104</v>
      </c>
      <c r="D36" s="52" t="s">
        <v>105</v>
      </c>
      <c r="E36" s="3"/>
      <c r="F36" s="3"/>
      <c r="G36" s="3"/>
      <c r="H36" s="3"/>
      <c r="I36" s="3"/>
      <c r="J36" s="3"/>
      <c r="K36" s="3"/>
    </row>
    <row r="37" spans="2:11" ht="15.6" x14ac:dyDescent="0.3">
      <c r="B37" s="56"/>
      <c r="C37" s="78" t="s">
        <v>106</v>
      </c>
      <c r="D37" s="79"/>
      <c r="E37" s="3"/>
      <c r="F37" s="3"/>
      <c r="G37" s="3"/>
      <c r="H37" s="3"/>
      <c r="I37" s="3"/>
      <c r="J37" s="3"/>
      <c r="K37" s="3"/>
    </row>
    <row r="38" spans="2:11" x14ac:dyDescent="0.3">
      <c r="B38" s="3"/>
      <c r="C38" s="3"/>
      <c r="D38" s="3"/>
      <c r="E38" s="3"/>
      <c r="F38" s="3"/>
      <c r="G38" s="3"/>
      <c r="H38" s="3"/>
      <c r="I38" s="3"/>
      <c r="J38" s="3"/>
      <c r="K38" s="3"/>
    </row>
    <row r="39" spans="2:11" ht="15.6" x14ac:dyDescent="0.3">
      <c r="B39" s="48" t="s">
        <v>107</v>
      </c>
      <c r="C39" s="3"/>
      <c r="D39" s="3"/>
      <c r="E39" s="3"/>
      <c r="F39" s="3"/>
      <c r="G39" s="3"/>
      <c r="H39" s="3"/>
      <c r="I39" s="3"/>
      <c r="J39" s="3"/>
      <c r="K39" s="3"/>
    </row>
    <row r="40" spans="2:11" ht="15.6" x14ac:dyDescent="0.3">
      <c r="B40" s="50" t="s">
        <v>108</v>
      </c>
      <c r="C40" s="3"/>
      <c r="D40" s="3"/>
      <c r="E40" s="3"/>
      <c r="F40" s="3"/>
      <c r="G40" s="3"/>
      <c r="H40" s="3"/>
      <c r="I40" s="3"/>
      <c r="J40" s="3"/>
      <c r="K40" s="3"/>
    </row>
    <row r="41" spans="2:11" ht="15.6" x14ac:dyDescent="0.3">
      <c r="B41" s="48" t="s">
        <v>109</v>
      </c>
      <c r="C41" s="3"/>
      <c r="D41" s="3"/>
      <c r="E41" s="3"/>
      <c r="F41" s="3"/>
      <c r="G41" s="3"/>
      <c r="H41" s="3"/>
      <c r="I41" s="3"/>
      <c r="J41" s="3"/>
      <c r="K41" s="3"/>
    </row>
    <row r="42" spans="2:11" ht="15.6" x14ac:dyDescent="0.3">
      <c r="B42" s="50" t="s">
        <v>110</v>
      </c>
      <c r="C42" s="3"/>
      <c r="D42" s="3"/>
      <c r="E42" s="3"/>
      <c r="F42" s="3"/>
      <c r="G42" s="3"/>
      <c r="H42" s="3"/>
      <c r="I42" s="3"/>
      <c r="J42" s="3"/>
      <c r="K42" s="3"/>
    </row>
    <row r="43" spans="2:11" ht="15.6" x14ac:dyDescent="0.3">
      <c r="B43" s="48" t="s">
        <v>111</v>
      </c>
      <c r="C43" s="3"/>
      <c r="D43" s="3"/>
      <c r="E43" s="3"/>
      <c r="F43" s="3"/>
      <c r="G43" s="3"/>
      <c r="H43" s="3"/>
      <c r="I43" s="3"/>
      <c r="J43" s="3"/>
      <c r="K43" s="3"/>
    </row>
    <row r="44" spans="2:11" ht="15.6" x14ac:dyDescent="0.3">
      <c r="B44" s="48" t="s">
        <v>112</v>
      </c>
      <c r="C44" s="3"/>
      <c r="D44" s="3"/>
      <c r="E44" s="3"/>
      <c r="F44" s="3"/>
      <c r="G44" s="3"/>
      <c r="H44" s="3"/>
      <c r="I44" s="3"/>
      <c r="J44" s="3"/>
      <c r="K44" s="3"/>
    </row>
    <row r="45" spans="2:11" ht="15.6" x14ac:dyDescent="0.3">
      <c r="B45" s="50" t="s">
        <v>113</v>
      </c>
      <c r="C45" s="3"/>
      <c r="D45" s="3"/>
      <c r="E45" s="3"/>
      <c r="F45" s="3"/>
      <c r="G45" s="3"/>
      <c r="H45" s="3"/>
      <c r="I45" s="3"/>
      <c r="J45" s="3"/>
      <c r="K45" s="3"/>
    </row>
    <row r="46" spans="2:11" ht="15.6" x14ac:dyDescent="0.3">
      <c r="B46" s="48" t="s">
        <v>114</v>
      </c>
      <c r="C46" s="3"/>
      <c r="D46" s="3"/>
      <c r="E46" s="3"/>
      <c r="F46" s="3"/>
      <c r="G46" s="3"/>
      <c r="H46" s="3"/>
      <c r="I46" s="3"/>
      <c r="J46" s="3"/>
      <c r="K46" s="3"/>
    </row>
    <row r="47" spans="2:11" ht="15.6" x14ac:dyDescent="0.3">
      <c r="B47" s="50" t="s">
        <v>115</v>
      </c>
      <c r="C47" s="3"/>
      <c r="D47" s="3"/>
      <c r="E47" s="3"/>
      <c r="F47" s="3"/>
      <c r="G47" s="3"/>
      <c r="H47" s="3"/>
      <c r="I47" s="3"/>
      <c r="J47" s="3"/>
      <c r="K47" s="3"/>
    </row>
    <row r="48" spans="2:11" ht="15.6" x14ac:dyDescent="0.3">
      <c r="B48" s="50" t="s">
        <v>116</v>
      </c>
      <c r="C48" s="3"/>
      <c r="D48" s="3"/>
      <c r="E48" s="3"/>
      <c r="F48" s="3"/>
      <c r="G48" s="3"/>
      <c r="H48" s="3"/>
      <c r="I48" s="3"/>
      <c r="J48" s="3"/>
      <c r="K48" s="3"/>
    </row>
    <row r="49" spans="2:11" ht="15.6" x14ac:dyDescent="0.3">
      <c r="B49" s="48" t="s">
        <v>117</v>
      </c>
      <c r="C49" s="3"/>
      <c r="D49" s="3"/>
      <c r="E49" s="3"/>
      <c r="F49" s="3"/>
      <c r="G49" s="3"/>
      <c r="H49" s="3"/>
      <c r="I49" s="3"/>
      <c r="J49" s="3"/>
      <c r="K49" s="3"/>
    </row>
    <row r="50" spans="2:11" x14ac:dyDescent="0.3">
      <c r="B50" s="57" t="s">
        <v>118</v>
      </c>
      <c r="C50" s="3"/>
      <c r="D50" s="3"/>
      <c r="E50" s="3"/>
      <c r="F50" s="3"/>
      <c r="G50" s="3"/>
      <c r="H50" s="3"/>
      <c r="I50" s="3"/>
      <c r="J50" s="3"/>
      <c r="K50" s="3"/>
    </row>
    <row r="51" spans="2:11" x14ac:dyDescent="0.3">
      <c r="C51" s="3"/>
      <c r="D51" s="3"/>
      <c r="E51" s="3"/>
      <c r="F51" s="3"/>
      <c r="G51" s="3"/>
      <c r="H51" s="3"/>
      <c r="I51" s="3"/>
      <c r="J51" s="3"/>
      <c r="K51" s="3"/>
    </row>
    <row r="52" spans="2:11" x14ac:dyDescent="0.3">
      <c r="B52" s="3"/>
      <c r="C52" s="3"/>
      <c r="D52" s="3"/>
      <c r="E52" s="3"/>
      <c r="F52" s="3"/>
      <c r="G52" s="3"/>
      <c r="H52" s="3"/>
      <c r="I52" s="3"/>
      <c r="J52" s="3"/>
      <c r="K52" s="3"/>
    </row>
    <row r="53" spans="2:11" x14ac:dyDescent="0.3">
      <c r="B53" s="3"/>
      <c r="C53" s="3"/>
      <c r="D53" s="3"/>
      <c r="E53" s="3"/>
      <c r="F53" s="3"/>
      <c r="G53" s="3"/>
      <c r="H53" s="3"/>
      <c r="I53" s="3"/>
      <c r="J53" s="3"/>
      <c r="K53" s="3"/>
    </row>
    <row r="54" spans="2:11" x14ac:dyDescent="0.3">
      <c r="B54" s="3"/>
      <c r="C54" s="3"/>
      <c r="D54" s="3"/>
      <c r="E54" s="3"/>
      <c r="F54" s="3"/>
      <c r="G54" s="3"/>
      <c r="H54" s="3"/>
      <c r="I54" s="3"/>
      <c r="J54" s="3"/>
      <c r="K54" s="3"/>
    </row>
    <row r="55" spans="2:11" x14ac:dyDescent="0.3">
      <c r="B55" s="3"/>
      <c r="C55" s="3"/>
      <c r="D55" s="3"/>
      <c r="E55" s="3"/>
      <c r="F55" s="3"/>
      <c r="G55" s="3"/>
      <c r="H55" s="3"/>
      <c r="I55" s="3"/>
      <c r="J55" s="3"/>
      <c r="K55" s="3"/>
    </row>
    <row r="56" spans="2:11" x14ac:dyDescent="0.3">
      <c r="B56" s="3"/>
      <c r="C56" s="3"/>
      <c r="D56" s="3"/>
      <c r="E56" s="3"/>
      <c r="F56" s="3"/>
      <c r="G56" s="3"/>
      <c r="H56" s="3"/>
      <c r="I56" s="3"/>
      <c r="J56" s="3"/>
      <c r="K56" s="3"/>
    </row>
    <row r="57" spans="2:11" x14ac:dyDescent="0.3">
      <c r="B57" s="3"/>
      <c r="C57" s="3"/>
      <c r="D57" s="3"/>
      <c r="E57" s="3"/>
      <c r="F57" s="3"/>
      <c r="G57" s="3"/>
      <c r="H57" s="3"/>
      <c r="I57" s="3"/>
      <c r="J57" s="3"/>
      <c r="K57" s="3"/>
    </row>
    <row r="58" spans="2:11" x14ac:dyDescent="0.3">
      <c r="B58" s="3"/>
      <c r="C58" s="3"/>
      <c r="D58" s="3"/>
      <c r="E58" s="3"/>
      <c r="F58" s="3"/>
      <c r="G58" s="3"/>
      <c r="H58" s="3"/>
      <c r="I58" s="3"/>
      <c r="J58" s="3"/>
      <c r="K58" s="3"/>
    </row>
    <row r="59" spans="2:11" x14ac:dyDescent="0.3">
      <c r="B59" s="3"/>
      <c r="C59" s="3"/>
      <c r="D59" s="3"/>
      <c r="E59" s="3"/>
      <c r="F59" s="3"/>
      <c r="G59" s="3"/>
      <c r="H59" s="3"/>
      <c r="I59" s="3"/>
      <c r="J59" s="3"/>
      <c r="K59" s="3"/>
    </row>
    <row r="60" spans="2:11" x14ac:dyDescent="0.3">
      <c r="B60" s="3"/>
      <c r="C60" s="3"/>
      <c r="D60" s="3"/>
      <c r="E60" s="3"/>
      <c r="F60" s="3"/>
      <c r="G60" s="3"/>
      <c r="H60" s="3"/>
      <c r="I60" s="3"/>
      <c r="J60" s="3"/>
      <c r="K60" s="3"/>
    </row>
    <row r="61" spans="2:11" x14ac:dyDescent="0.3">
      <c r="B61" s="3"/>
      <c r="C61" s="3"/>
      <c r="D61" s="3"/>
      <c r="E61" s="3"/>
      <c r="F61" s="3"/>
      <c r="G61" s="3"/>
      <c r="H61" s="3"/>
      <c r="I61" s="3"/>
      <c r="J61" s="3"/>
      <c r="K61" s="3"/>
    </row>
    <row r="62" spans="2:11" x14ac:dyDescent="0.3">
      <c r="B62" s="3"/>
      <c r="C62" s="3"/>
      <c r="D62" s="3"/>
      <c r="E62" s="3"/>
      <c r="F62" s="3"/>
      <c r="G62" s="3"/>
      <c r="H62" s="3"/>
      <c r="I62" s="3"/>
      <c r="J62" s="3"/>
      <c r="K62" s="3"/>
    </row>
    <row r="63" spans="2:11" x14ac:dyDescent="0.3">
      <c r="B63" s="3"/>
      <c r="C63" s="3"/>
      <c r="D63" s="3"/>
      <c r="E63" s="3"/>
      <c r="F63" s="3"/>
      <c r="G63" s="3"/>
      <c r="H63" s="3"/>
      <c r="I63" s="3"/>
      <c r="J63" s="3"/>
      <c r="K63" s="3"/>
    </row>
    <row r="64" spans="2:11" x14ac:dyDescent="0.3">
      <c r="B64" s="3"/>
      <c r="C64" s="3"/>
      <c r="D64" s="3"/>
      <c r="E64" s="3"/>
      <c r="F64" s="3"/>
      <c r="G64" s="3"/>
      <c r="H64" s="3"/>
      <c r="I64" s="3"/>
      <c r="J64" s="3"/>
      <c r="K64" s="3"/>
    </row>
    <row r="65" spans="2:11" x14ac:dyDescent="0.3">
      <c r="B65" s="3"/>
      <c r="C65" s="3"/>
      <c r="D65" s="3"/>
      <c r="E65" s="3"/>
      <c r="F65" s="3"/>
      <c r="G65" s="3"/>
      <c r="H65" s="3"/>
      <c r="I65" s="3"/>
      <c r="J65" s="3"/>
      <c r="K65" s="3"/>
    </row>
    <row r="66" spans="2:11" ht="15.6" x14ac:dyDescent="0.3">
      <c r="B66" s="48" t="s">
        <v>119</v>
      </c>
      <c r="C66" s="3"/>
      <c r="D66" s="3"/>
      <c r="E66" s="3"/>
      <c r="F66" s="3"/>
      <c r="G66" s="3"/>
      <c r="H66" s="3"/>
      <c r="I66" s="3"/>
      <c r="J66" s="3"/>
      <c r="K66" s="3"/>
    </row>
    <row r="67" spans="2:11" x14ac:dyDescent="0.3">
      <c r="B67" s="3"/>
      <c r="C67" s="3"/>
      <c r="D67" s="3"/>
      <c r="E67" s="3"/>
      <c r="F67" s="3"/>
      <c r="G67" s="3"/>
      <c r="H67" s="3"/>
      <c r="I67" s="3"/>
      <c r="J67" s="3"/>
      <c r="K67" s="3"/>
    </row>
    <row r="68" spans="2:11" x14ac:dyDescent="0.3">
      <c r="B68" s="3"/>
      <c r="C68" s="3"/>
      <c r="D68" s="3"/>
      <c r="E68" s="3"/>
      <c r="F68" s="3"/>
      <c r="G68" s="3"/>
      <c r="H68" s="3"/>
      <c r="I68" s="3"/>
      <c r="J68" s="3"/>
      <c r="K68" s="3"/>
    </row>
    <row r="69" spans="2:11" x14ac:dyDescent="0.3">
      <c r="B69" s="3"/>
      <c r="C69" s="3"/>
      <c r="D69" s="3"/>
      <c r="E69" s="3"/>
      <c r="F69" s="3"/>
      <c r="G69" s="3"/>
      <c r="H69" s="3"/>
      <c r="I69" s="3"/>
      <c r="J69" s="3"/>
      <c r="K69" s="3"/>
    </row>
    <row r="70" spans="2:11" x14ac:dyDescent="0.3">
      <c r="B70" s="3"/>
      <c r="C70" s="3"/>
      <c r="D70" s="3"/>
      <c r="E70" s="3"/>
      <c r="F70" s="3"/>
      <c r="G70" s="3"/>
      <c r="H70" s="3"/>
      <c r="I70" s="3"/>
      <c r="J70" s="3"/>
      <c r="K70" s="3"/>
    </row>
    <row r="71" spans="2:11" x14ac:dyDescent="0.3">
      <c r="B71" s="3"/>
      <c r="C71" s="3"/>
      <c r="D71" s="3"/>
      <c r="E71" s="3"/>
      <c r="F71" s="3"/>
      <c r="G71" s="3"/>
      <c r="H71" s="3"/>
      <c r="I71" s="3"/>
      <c r="J71" s="3"/>
      <c r="K71" s="3"/>
    </row>
    <row r="72" spans="2:11" x14ac:dyDescent="0.3">
      <c r="B72" s="3"/>
      <c r="C72" s="3"/>
      <c r="D72" s="3"/>
      <c r="E72" s="3"/>
      <c r="F72" s="3"/>
      <c r="G72" s="3"/>
      <c r="H72" s="3"/>
      <c r="I72" s="3"/>
      <c r="J72" s="3"/>
      <c r="K72" s="3"/>
    </row>
    <row r="73" spans="2:11" x14ac:dyDescent="0.3">
      <c r="B73" s="3"/>
      <c r="C73" s="3"/>
      <c r="D73" s="3"/>
      <c r="E73" s="3"/>
      <c r="F73" s="3"/>
      <c r="G73" s="3"/>
      <c r="H73" s="3"/>
      <c r="I73" s="3"/>
      <c r="J73" s="3"/>
      <c r="K73" s="3"/>
    </row>
    <row r="84" spans="2:9" ht="18" x14ac:dyDescent="0.35">
      <c r="B84" s="75" t="s">
        <v>120</v>
      </c>
      <c r="C84" s="75"/>
      <c r="D84" s="75"/>
      <c r="E84" s="75"/>
      <c r="F84" s="75"/>
      <c r="G84" s="75"/>
      <c r="H84" s="75"/>
      <c r="I84" s="75"/>
    </row>
    <row r="85" spans="2:9" ht="15.6" x14ac:dyDescent="0.3">
      <c r="B85" s="58" t="s">
        <v>121</v>
      </c>
    </row>
    <row r="86" spans="2:9" ht="15.6" x14ac:dyDescent="0.3">
      <c r="B86" s="72" t="s">
        <v>122</v>
      </c>
      <c r="C86" s="72"/>
      <c r="D86" s="72"/>
      <c r="E86" s="72"/>
      <c r="F86" s="72"/>
      <c r="G86" s="72"/>
      <c r="H86" s="72"/>
      <c r="I86" s="72"/>
    </row>
    <row r="87" spans="2:9" ht="15.6" x14ac:dyDescent="0.3">
      <c r="B87" s="50"/>
    </row>
    <row r="88" spans="2:9" ht="15.6" x14ac:dyDescent="0.3">
      <c r="B88" s="50"/>
    </row>
    <row r="89" spans="2:9" ht="15.6" x14ac:dyDescent="0.3">
      <c r="B89" s="50"/>
    </row>
    <row r="90" spans="2:9" ht="15.6" x14ac:dyDescent="0.3">
      <c r="B90" s="50"/>
    </row>
    <row r="91" spans="2:9" ht="15.6" x14ac:dyDescent="0.3">
      <c r="B91" s="50"/>
    </row>
    <row r="92" spans="2:9" ht="15.6" x14ac:dyDescent="0.3">
      <c r="B92" s="50"/>
    </row>
    <row r="93" spans="2:9" ht="15.6" x14ac:dyDescent="0.3">
      <c r="B93" s="50"/>
    </row>
    <row r="94" spans="2:9" ht="15.6" x14ac:dyDescent="0.3">
      <c r="B94" s="50"/>
    </row>
    <row r="95" spans="2:9" ht="15.6" x14ac:dyDescent="0.3">
      <c r="B95" s="50"/>
    </row>
    <row r="96" spans="2:9" ht="15.6" x14ac:dyDescent="0.3">
      <c r="B96" s="50"/>
    </row>
    <row r="97" spans="2:2" ht="15.6" x14ac:dyDescent="0.3">
      <c r="B97" s="50"/>
    </row>
    <row r="98" spans="2:2" ht="15.6" x14ac:dyDescent="0.3">
      <c r="B98" s="50"/>
    </row>
    <row r="99" spans="2:2" ht="15.6" x14ac:dyDescent="0.3">
      <c r="B99" s="50"/>
    </row>
    <row r="100" spans="2:2" ht="15.6" x14ac:dyDescent="0.3">
      <c r="B100" s="50"/>
    </row>
    <row r="101" spans="2:2" ht="15.6" x14ac:dyDescent="0.3">
      <c r="B101" s="50"/>
    </row>
    <row r="102" spans="2:2" ht="15.6" x14ac:dyDescent="0.3">
      <c r="B102" s="50"/>
    </row>
    <row r="103" spans="2:2" ht="15.6" x14ac:dyDescent="0.3">
      <c r="B103" s="50"/>
    </row>
    <row r="104" spans="2:2" ht="15.6" x14ac:dyDescent="0.3">
      <c r="B104" s="50"/>
    </row>
    <row r="105" spans="2:2" ht="15.6" x14ac:dyDescent="0.3">
      <c r="B105" s="50"/>
    </row>
    <row r="106" spans="2:2" ht="15.6" x14ac:dyDescent="0.3">
      <c r="B106" s="50"/>
    </row>
    <row r="107" spans="2:2" ht="15.6" x14ac:dyDescent="0.3">
      <c r="B107" s="50"/>
    </row>
    <row r="108" spans="2:2" ht="15.6" x14ac:dyDescent="0.3">
      <c r="B108" s="50"/>
    </row>
    <row r="109" spans="2:2" ht="15.6" x14ac:dyDescent="0.3">
      <c r="B109" s="48" t="s">
        <v>123</v>
      </c>
    </row>
    <row r="110" spans="2:2" ht="15.6" x14ac:dyDescent="0.3">
      <c r="B110" s="50"/>
    </row>
    <row r="124" spans="2:2" ht="15.6" x14ac:dyDescent="0.3">
      <c r="B124" s="48" t="s">
        <v>124</v>
      </c>
    </row>
    <row r="125" spans="2:2" ht="15.6" x14ac:dyDescent="0.3">
      <c r="B125" s="59" t="s">
        <v>125</v>
      </c>
    </row>
  </sheetData>
  <mergeCells count="8">
    <mergeCell ref="B86:I86"/>
    <mergeCell ref="B26:I26"/>
    <mergeCell ref="B27:I27"/>
    <mergeCell ref="B84:I84"/>
    <mergeCell ref="F1:G1"/>
    <mergeCell ref="F3:G3"/>
    <mergeCell ref="B20:M20"/>
    <mergeCell ref="C37:D37"/>
  </mergeCells>
  <hyperlinks>
    <hyperlink ref="B50" r:id="rId1" xr:uid="{F11419B7-2B34-42AD-893D-AC407B67A88E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A947-56B9-402E-A5E0-3D721A741B85}">
  <sheetPr codeName="ShRACI">
    <tabColor rgb="FFFFC000"/>
  </sheetPr>
  <dimension ref="B1:X263"/>
  <sheetViews>
    <sheetView showGridLines="0" tabSelected="1" workbookViewId="0">
      <pane xSplit="6" ySplit="12" topLeftCell="G13" activePane="bottomRight" state="frozen"/>
      <selection pane="topRight" activeCell="G1" sqref="G1"/>
      <selection pane="bottomLeft" activeCell="A12" sqref="A12"/>
      <selection pane="bottomRight" activeCell="G37" sqref="G37"/>
    </sheetView>
  </sheetViews>
  <sheetFormatPr defaultColWidth="8.88671875" defaultRowHeight="14.4" x14ac:dyDescent="0.3"/>
  <cols>
    <col min="1" max="1" width="3.109375" customWidth="1"/>
    <col min="2" max="2" width="5.33203125" customWidth="1"/>
    <col min="3" max="3" width="5.5546875" hidden="1" customWidth="1"/>
    <col min="4" max="4" width="5.33203125" hidden="1" customWidth="1"/>
    <col min="5" max="5" width="3.6640625" hidden="1" customWidth="1"/>
    <col min="6" max="6" width="42.44140625" customWidth="1"/>
    <col min="7" max="24" width="8.88671875" customWidth="1"/>
  </cols>
  <sheetData>
    <row r="1" spans="2:24" ht="19.95" customHeight="1" x14ac:dyDescent="0.3">
      <c r="G1" s="43" t="s">
        <v>4</v>
      </c>
      <c r="H1" s="43"/>
      <c r="I1" s="76" t="s">
        <v>10</v>
      </c>
      <c r="J1" s="76"/>
      <c r="K1" s="84"/>
      <c r="M1" s="86" t="s">
        <v>13</v>
      </c>
      <c r="N1" s="85"/>
      <c r="O1" s="10" t="s">
        <v>12</v>
      </c>
      <c r="P1" s="10"/>
      <c r="R1" s="1" t="s">
        <v>0</v>
      </c>
      <c r="S1" s="1"/>
      <c r="T1" s="83">
        <v>44893</v>
      </c>
      <c r="U1" s="83"/>
    </row>
    <row r="2" spans="2:24" ht="14.4" hidden="1" customHeight="1" x14ac:dyDescent="0.3">
      <c r="G2" s="11"/>
      <c r="I2" s="26"/>
      <c r="J2" s="26"/>
      <c r="K2" s="26"/>
      <c r="L2" s="27"/>
      <c r="M2" s="44"/>
      <c r="N2" s="44"/>
      <c r="O2" s="12"/>
      <c r="P2" s="12"/>
      <c r="R2" s="3"/>
      <c r="S2" s="3"/>
      <c r="T2" s="4"/>
      <c r="U2" s="4"/>
    </row>
    <row r="3" spans="2:24" ht="19.95" customHeight="1" x14ac:dyDescent="0.3">
      <c r="G3" s="85" t="s">
        <v>5</v>
      </c>
      <c r="H3" s="85"/>
      <c r="I3" s="76" t="s">
        <v>86</v>
      </c>
      <c r="J3" s="76"/>
      <c r="K3" s="84"/>
      <c r="M3" s="86" t="s">
        <v>14</v>
      </c>
      <c r="N3" s="85"/>
      <c r="O3" s="10" t="s">
        <v>15</v>
      </c>
      <c r="P3" s="10"/>
      <c r="R3" s="1" t="s">
        <v>1</v>
      </c>
      <c r="S3" s="1"/>
      <c r="T3" s="2"/>
      <c r="U3" s="2"/>
    </row>
    <row r="4" spans="2:24" ht="14.4" hidden="1" customHeight="1" x14ac:dyDescent="0.3">
      <c r="R4" s="3"/>
      <c r="S4" s="3"/>
      <c r="T4" s="4"/>
      <c r="U4" s="4"/>
    </row>
    <row r="5" spans="2:24" ht="19.95" customHeight="1" thickBot="1" x14ac:dyDescent="0.35">
      <c r="R5" s="5" t="s">
        <v>2</v>
      </c>
      <c r="S5" s="5"/>
      <c r="T5" s="6" t="s">
        <v>3</v>
      </c>
      <c r="U5" s="6"/>
    </row>
    <row r="6" spans="2:24" ht="28.2" customHeight="1" thickTop="1" thickBot="1" x14ac:dyDescent="0.35">
      <c r="B6" s="7"/>
      <c r="C6" s="7"/>
      <c r="D6" s="7"/>
      <c r="E6" s="8" t="s">
        <v>6</v>
      </c>
      <c r="F6" s="7" t="s">
        <v>85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87" t="s">
        <v>129</v>
      </c>
      <c r="U6" s="87"/>
      <c r="V6" s="7"/>
      <c r="W6" s="7">
        <v>2</v>
      </c>
      <c r="X6" s="7"/>
    </row>
    <row r="7" spans="2:24" ht="10.199999999999999" customHeight="1" thickTop="1" x14ac:dyDescent="0.3"/>
    <row r="8" spans="2:24" ht="20.399999999999999" hidden="1" customHeight="1" x14ac:dyDescent="0.3">
      <c r="F8" s="29"/>
      <c r="G8" s="28"/>
    </row>
    <row r="9" spans="2:24" ht="22.95" customHeight="1" x14ac:dyDescent="0.3"/>
    <row r="10" spans="2:24" ht="16.95" customHeight="1" x14ac:dyDescent="0.3">
      <c r="G10" s="80" t="s">
        <v>81</v>
      </c>
      <c r="H10" s="81"/>
      <c r="I10" s="82"/>
      <c r="J10" s="80" t="s">
        <v>82</v>
      </c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2"/>
      <c r="V10" s="80" t="s">
        <v>83</v>
      </c>
      <c r="W10" s="81"/>
      <c r="X10" s="82"/>
    </row>
    <row r="11" spans="2:24" s="33" customFormat="1" ht="51" x14ac:dyDescent="0.2">
      <c r="B11" s="42" t="s">
        <v>7</v>
      </c>
      <c r="C11" s="42"/>
      <c r="D11" s="42"/>
      <c r="E11" s="42" t="s">
        <v>18</v>
      </c>
      <c r="F11" s="42" t="s">
        <v>18</v>
      </c>
      <c r="G11" s="42" t="s">
        <v>16</v>
      </c>
      <c r="H11" s="42" t="s">
        <v>19</v>
      </c>
      <c r="I11" s="42" t="s">
        <v>20</v>
      </c>
      <c r="J11" s="42" t="s">
        <v>13</v>
      </c>
      <c r="K11" s="42" t="s">
        <v>22</v>
      </c>
      <c r="L11" s="42" t="s">
        <v>23</v>
      </c>
      <c r="M11" s="42" t="s">
        <v>24</v>
      </c>
      <c r="N11" s="42" t="s">
        <v>25</v>
      </c>
      <c r="O11" s="42" t="s">
        <v>26</v>
      </c>
      <c r="P11" s="42" t="s">
        <v>27</v>
      </c>
      <c r="Q11" s="42" t="s">
        <v>28</v>
      </c>
      <c r="R11" s="42" t="s">
        <v>29</v>
      </c>
      <c r="S11" s="42" t="s">
        <v>30</v>
      </c>
      <c r="T11" s="42" t="s">
        <v>31</v>
      </c>
      <c r="U11" s="42" t="s">
        <v>32</v>
      </c>
      <c r="V11" s="42" t="s">
        <v>33</v>
      </c>
      <c r="W11" s="42" t="s">
        <v>34</v>
      </c>
      <c r="X11" s="42" t="s">
        <v>35</v>
      </c>
    </row>
    <row r="12" spans="2:24" s="33" customFormat="1" ht="10.199999999999999" hidden="1" customHeight="1" x14ac:dyDescent="0.2">
      <c r="B12" s="31" t="s">
        <v>7</v>
      </c>
      <c r="C12" s="31" t="s">
        <v>76</v>
      </c>
      <c r="D12" s="31" t="s">
        <v>73</v>
      </c>
      <c r="E12" s="31" t="s">
        <v>75</v>
      </c>
      <c r="F12" s="31" t="s">
        <v>18</v>
      </c>
      <c r="G12" s="32" t="s">
        <v>16</v>
      </c>
      <c r="H12" s="32" t="s">
        <v>19</v>
      </c>
      <c r="I12" s="32" t="s">
        <v>20</v>
      </c>
      <c r="J12" s="32" t="s">
        <v>21</v>
      </c>
      <c r="K12" s="32" t="s">
        <v>22</v>
      </c>
      <c r="L12" s="32" t="s">
        <v>23</v>
      </c>
      <c r="M12" s="32" t="s">
        <v>24</v>
      </c>
      <c r="N12" s="32" t="s">
        <v>25</v>
      </c>
      <c r="O12" s="32" t="s">
        <v>26</v>
      </c>
      <c r="P12" s="32" t="s">
        <v>27</v>
      </c>
      <c r="Q12" s="32" t="s">
        <v>28</v>
      </c>
      <c r="R12" s="32" t="s">
        <v>29</v>
      </c>
      <c r="S12" s="32" t="s">
        <v>30</v>
      </c>
      <c r="T12" s="32" t="s">
        <v>31</v>
      </c>
      <c r="U12" s="32" t="s">
        <v>32</v>
      </c>
      <c r="V12" s="32" t="s">
        <v>33</v>
      </c>
      <c r="W12" s="32" t="s">
        <v>34</v>
      </c>
      <c r="X12" s="32" t="s">
        <v>35</v>
      </c>
    </row>
    <row r="13" spans="2:24" ht="15.6" customHeight="1" x14ac:dyDescent="0.3">
      <c r="B13" s="68" t="str">
        <f>TabRACI[[#This Row],[IDPhase]] &amp; IF(TabRACI[[#This Row],[IsPhase]] = "", ".","") &amp; TabRACI[[#This Row],[IDTask]]</f>
        <v>1</v>
      </c>
      <c r="C13" s="70">
        <f>IF(ISNUMBER($C12), IF(TabRACI[[#This Row],[IsPhase]] &lt;&gt;"",$C12+1, $C12), 1)</f>
        <v>1</v>
      </c>
      <c r="D13" s="70" t="s">
        <v>74</v>
      </c>
      <c r="E13" s="70" t="str">
        <f>IFERROR(IF(TabRACI[[#This Row],[IsPhase]]= "",$E12+1,""),1)</f>
        <v/>
      </c>
      <c r="F13" s="41" t="s">
        <v>36</v>
      </c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</row>
    <row r="14" spans="2:24" ht="15.6" customHeight="1" x14ac:dyDescent="0.3">
      <c r="B14" s="68" t="str">
        <f>TabRACI[[#This Row],[IDPhase]] &amp; IF(TabRACI[[#This Row],[IsPhase]] = "", ".","") &amp; TabRACI[[#This Row],[IDTask]]</f>
        <v>1.1</v>
      </c>
      <c r="C14" s="71">
        <f>IF(ISNUMBER($C13), IF(TabRACI[[#This Row],[IsPhase]] &lt;&gt;"",$C13+1, $C13), 1)</f>
        <v>1</v>
      </c>
      <c r="D14" s="71"/>
      <c r="E14" s="71">
        <f>IFERROR(IF(TabRACI[[#This Row],[IsPhase]]= "",$E13+1,""),1)</f>
        <v>1</v>
      </c>
      <c r="F14" s="41" t="s">
        <v>37</v>
      </c>
      <c r="G14" s="69" t="s">
        <v>38</v>
      </c>
      <c r="H14" s="69" t="s">
        <v>38</v>
      </c>
      <c r="I14" s="69" t="s">
        <v>77</v>
      </c>
      <c r="J14" s="69" t="s">
        <v>41</v>
      </c>
      <c r="K14" s="69" t="s">
        <v>40</v>
      </c>
      <c r="L14" s="69" t="s">
        <v>38</v>
      </c>
      <c r="M14" s="69"/>
      <c r="N14" s="69" t="s">
        <v>41</v>
      </c>
      <c r="O14" s="69" t="s">
        <v>40</v>
      </c>
      <c r="P14" s="69" t="s">
        <v>40</v>
      </c>
      <c r="Q14" s="69" t="s">
        <v>39</v>
      </c>
      <c r="R14" s="69" t="s">
        <v>39</v>
      </c>
      <c r="S14" s="69" t="s">
        <v>38</v>
      </c>
      <c r="T14" s="69" t="s">
        <v>40</v>
      </c>
      <c r="U14" s="69" t="s">
        <v>39</v>
      </c>
      <c r="V14" s="69" t="s">
        <v>40</v>
      </c>
      <c r="W14" s="69"/>
      <c r="X14" s="69"/>
    </row>
    <row r="15" spans="2:24" ht="15.6" customHeight="1" x14ac:dyDescent="0.3">
      <c r="B15" s="68" t="str">
        <f>TabRACI[[#This Row],[IDPhase]] &amp; IF(TabRACI[[#This Row],[IsPhase]] = "", ".","") &amp; TabRACI[[#This Row],[IDTask]]</f>
        <v>1.2</v>
      </c>
      <c r="C15" s="71">
        <f>IF(ISNUMBER($C14), IF(TabRACI[[#This Row],[IsPhase]] &lt;&gt;"",$C14+1, $C14), 1)</f>
        <v>1</v>
      </c>
      <c r="D15" s="71"/>
      <c r="E15" s="71">
        <f>IFERROR(IF(TabRACI[[#This Row],[IsPhase]]= "",$E14+1,""),1)</f>
        <v>2</v>
      </c>
      <c r="F15" s="41" t="s">
        <v>42</v>
      </c>
      <c r="G15" s="69"/>
      <c r="H15" s="69" t="s">
        <v>41</v>
      </c>
      <c r="I15" s="69" t="s">
        <v>38</v>
      </c>
      <c r="J15" s="69" t="s">
        <v>40</v>
      </c>
      <c r="K15" s="69" t="s">
        <v>78</v>
      </c>
      <c r="L15" s="69"/>
      <c r="M15" s="69" t="s">
        <v>191</v>
      </c>
      <c r="N15" s="69"/>
      <c r="O15" s="69" t="s">
        <v>40</v>
      </c>
      <c r="P15" s="69" t="s">
        <v>38</v>
      </c>
      <c r="Q15" s="69" t="s">
        <v>39</v>
      </c>
      <c r="R15" s="69"/>
      <c r="S15" s="69" t="s">
        <v>38</v>
      </c>
      <c r="T15" s="69"/>
      <c r="U15" s="69" t="s">
        <v>39</v>
      </c>
      <c r="V15" s="69" t="s">
        <v>40</v>
      </c>
      <c r="W15" s="69" t="s">
        <v>38</v>
      </c>
      <c r="X15" s="69"/>
    </row>
    <row r="16" spans="2:24" ht="15.6" customHeight="1" x14ac:dyDescent="0.3">
      <c r="B16" s="68" t="str">
        <f>TabRACI[[#This Row],[IDPhase]] &amp; IF(TabRACI[[#This Row],[IsPhase]] = "", ".","") &amp; TabRACI[[#This Row],[IDTask]]</f>
        <v>2</v>
      </c>
      <c r="C16" s="71">
        <f>IF(ISNUMBER($C15), IF(TabRACI[[#This Row],[IsPhase]] &lt;&gt;"",$C15+1, $C15), 1)</f>
        <v>2</v>
      </c>
      <c r="D16" s="71" t="s">
        <v>74</v>
      </c>
      <c r="E16" s="71" t="str">
        <f>IFERROR(IF(TabRACI[[#This Row],[IsPhase]]= "",$E15+1,""),1)</f>
        <v/>
      </c>
      <c r="F16" s="41" t="s">
        <v>43</v>
      </c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</row>
    <row r="17" spans="2:24" ht="15.6" customHeight="1" x14ac:dyDescent="0.3">
      <c r="B17" s="68" t="str">
        <f>TabRACI[[#This Row],[IDPhase]] &amp; IF(TabRACI[[#This Row],[IsPhase]] = "", ".","") &amp; TabRACI[[#This Row],[IDTask]]</f>
        <v>2.1</v>
      </c>
      <c r="C17" s="71">
        <f>IF(ISNUMBER($C16), IF(TabRACI[[#This Row],[IsPhase]] &lt;&gt;"",$C16+1, $C16), 1)</f>
        <v>2</v>
      </c>
      <c r="D17" s="71"/>
      <c r="E17" s="71">
        <f>IFERROR(IF(TabRACI[[#This Row],[IsPhase]]= "",$E16+1,""),1)</f>
        <v>1</v>
      </c>
      <c r="F17" s="41" t="s">
        <v>44</v>
      </c>
      <c r="G17" s="69" t="s">
        <v>38</v>
      </c>
      <c r="H17" s="69"/>
      <c r="I17" s="69" t="s">
        <v>40</v>
      </c>
      <c r="J17" s="69" t="s">
        <v>38</v>
      </c>
      <c r="K17" s="69"/>
      <c r="L17" s="69" t="s">
        <v>40</v>
      </c>
      <c r="M17" s="69" t="s">
        <v>79</v>
      </c>
      <c r="N17" s="69"/>
      <c r="O17" s="69" t="s">
        <v>41</v>
      </c>
      <c r="P17" s="69" t="s">
        <v>40</v>
      </c>
      <c r="Q17" s="69"/>
      <c r="R17" s="69" t="s">
        <v>40</v>
      </c>
      <c r="S17" s="69" t="s">
        <v>40</v>
      </c>
      <c r="T17" s="69" t="s">
        <v>40</v>
      </c>
      <c r="U17" s="69" t="s">
        <v>39</v>
      </c>
      <c r="V17" s="69" t="s">
        <v>40</v>
      </c>
      <c r="W17" s="69" t="s">
        <v>40</v>
      </c>
      <c r="X17" s="69" t="s">
        <v>38</v>
      </c>
    </row>
    <row r="18" spans="2:24" ht="15.6" customHeight="1" x14ac:dyDescent="0.3">
      <c r="B18" s="68" t="str">
        <f>TabRACI[[#This Row],[IDPhase]] &amp; IF(TabRACI[[#This Row],[IsPhase]] = "", ".","") &amp; TabRACI[[#This Row],[IDTask]]</f>
        <v>2.2</v>
      </c>
      <c r="C18" s="71">
        <f>IF(ISNUMBER($C17), IF(TabRACI[[#This Row],[IsPhase]] &lt;&gt;"",$C17+1, $C17), 1)</f>
        <v>2</v>
      </c>
      <c r="D18" s="71"/>
      <c r="E18" s="71">
        <f>IFERROR(IF(TabRACI[[#This Row],[IsPhase]]= "",$E17+1,""),1)</f>
        <v>2</v>
      </c>
      <c r="F18" s="41" t="s">
        <v>45</v>
      </c>
      <c r="G18" s="69" t="s">
        <v>41</v>
      </c>
      <c r="H18" s="69" t="s">
        <v>40</v>
      </c>
      <c r="I18" s="69" t="s">
        <v>40</v>
      </c>
      <c r="J18" s="69" t="s">
        <v>39</v>
      </c>
      <c r="K18" s="69" t="s">
        <v>40</v>
      </c>
      <c r="L18" s="69"/>
      <c r="M18" s="69" t="s">
        <v>40</v>
      </c>
      <c r="N18" s="69" t="s">
        <v>40</v>
      </c>
      <c r="O18" s="69" t="s">
        <v>40</v>
      </c>
      <c r="P18" s="69" t="s">
        <v>40</v>
      </c>
      <c r="Q18" s="69" t="s">
        <v>39</v>
      </c>
      <c r="R18" s="69" t="s">
        <v>39</v>
      </c>
      <c r="S18" s="69" t="s">
        <v>39</v>
      </c>
      <c r="T18" s="69" t="s">
        <v>39</v>
      </c>
      <c r="U18" s="69" t="s">
        <v>39</v>
      </c>
      <c r="V18" s="69" t="s">
        <v>39</v>
      </c>
      <c r="W18" s="69" t="s">
        <v>39</v>
      </c>
      <c r="X18" s="69" t="s">
        <v>39</v>
      </c>
    </row>
    <row r="19" spans="2:24" ht="15.6" customHeight="1" x14ac:dyDescent="0.3">
      <c r="B19" s="68" t="str">
        <f>TabRACI[[#This Row],[IDPhase]] &amp; IF(TabRACI[[#This Row],[IsPhase]] = "", ".","") &amp; TabRACI[[#This Row],[IDTask]]</f>
        <v>3</v>
      </c>
      <c r="C19" s="71">
        <f>IF(ISNUMBER($C18), IF(TabRACI[[#This Row],[IsPhase]] &lt;&gt;"",$C18+1, $C18), 1)</f>
        <v>3</v>
      </c>
      <c r="D19" s="71" t="s">
        <v>74</v>
      </c>
      <c r="E19" s="71" t="str">
        <f>IFERROR(IF(TabRACI[[#This Row],[IsPhase]]= "",$E18+1,""),1)</f>
        <v/>
      </c>
      <c r="F19" s="41" t="s">
        <v>46</v>
      </c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</row>
    <row r="20" spans="2:24" ht="15.6" customHeight="1" x14ac:dyDescent="0.3">
      <c r="B20" s="68" t="str">
        <f>TabRACI[[#This Row],[IDPhase]] &amp; IF(TabRACI[[#This Row],[IsPhase]] = "", ".","") &amp; TabRACI[[#This Row],[IDTask]]</f>
        <v>3.1</v>
      </c>
      <c r="C20" s="71">
        <f>IF(ISNUMBER($C19), IF(TabRACI[[#This Row],[IsPhase]] &lt;&gt;"",$C19+1, $C19), 1)</f>
        <v>3</v>
      </c>
      <c r="D20" s="71"/>
      <c r="E20" s="71">
        <f>IFERROR(IF(TabRACI[[#This Row],[IsPhase]]= "",$E19+1,""),1)</f>
        <v>1</v>
      </c>
      <c r="F20" s="41" t="s">
        <v>47</v>
      </c>
      <c r="G20" s="69"/>
      <c r="H20" s="69" t="s">
        <v>40</v>
      </c>
      <c r="I20" s="69" t="s">
        <v>40</v>
      </c>
      <c r="J20" s="69" t="s">
        <v>38</v>
      </c>
      <c r="K20" s="69" t="s">
        <v>41</v>
      </c>
      <c r="L20" s="69" t="s">
        <v>40</v>
      </c>
      <c r="M20" s="69" t="s">
        <v>40</v>
      </c>
      <c r="N20" s="69" t="s">
        <v>38</v>
      </c>
      <c r="O20" s="69"/>
      <c r="P20" s="69" t="s">
        <v>40</v>
      </c>
      <c r="Q20" s="69" t="s">
        <v>40</v>
      </c>
      <c r="R20" s="69" t="s">
        <v>40</v>
      </c>
      <c r="S20" s="69" t="s">
        <v>40</v>
      </c>
      <c r="T20" s="69" t="s">
        <v>40</v>
      </c>
      <c r="U20" s="69" t="s">
        <v>39</v>
      </c>
      <c r="V20" s="69" t="s">
        <v>40</v>
      </c>
      <c r="W20" s="69" t="s">
        <v>40</v>
      </c>
      <c r="X20" s="69"/>
    </row>
    <row r="21" spans="2:24" ht="15.6" customHeight="1" x14ac:dyDescent="0.3">
      <c r="B21" s="68" t="str">
        <f>TabRACI[[#This Row],[IDPhase]] &amp; IF(TabRACI[[#This Row],[IsPhase]] = "", ".","") &amp; TabRACI[[#This Row],[IDTask]]</f>
        <v>3.2</v>
      </c>
      <c r="C21" s="71">
        <f>IF(ISNUMBER($C20), IF(TabRACI[[#This Row],[IsPhase]] &lt;&gt;"",$C20+1, $C20), 1)</f>
        <v>3</v>
      </c>
      <c r="D21" s="71"/>
      <c r="E21" s="71">
        <f>IFERROR(IF(TabRACI[[#This Row],[IsPhase]]= "",$E20+1,""),1)</f>
        <v>2</v>
      </c>
      <c r="F21" s="41" t="s">
        <v>48</v>
      </c>
      <c r="G21" s="69"/>
      <c r="H21" s="69" t="s">
        <v>38</v>
      </c>
      <c r="I21" s="69" t="s">
        <v>41</v>
      </c>
      <c r="J21" s="69" t="s">
        <v>40</v>
      </c>
      <c r="K21" s="69"/>
      <c r="L21" s="69" t="s">
        <v>40</v>
      </c>
      <c r="M21" s="69" t="s">
        <v>40</v>
      </c>
      <c r="N21" s="69" t="s">
        <v>40</v>
      </c>
      <c r="O21" s="69" t="s">
        <v>40</v>
      </c>
      <c r="P21" s="69" t="s">
        <v>40</v>
      </c>
      <c r="Q21" s="69" t="s">
        <v>39</v>
      </c>
      <c r="R21" s="69" t="s">
        <v>39</v>
      </c>
      <c r="S21" s="69" t="s">
        <v>39</v>
      </c>
      <c r="T21" s="69" t="s">
        <v>39</v>
      </c>
      <c r="U21" s="69" t="s">
        <v>39</v>
      </c>
      <c r="V21" s="69" t="s">
        <v>39</v>
      </c>
      <c r="W21" s="69" t="s">
        <v>39</v>
      </c>
      <c r="X21" s="69" t="s">
        <v>40</v>
      </c>
    </row>
    <row r="22" spans="2:24" ht="15.6" customHeight="1" x14ac:dyDescent="0.3">
      <c r="B22" s="68" t="str">
        <f>TabRACI[[#This Row],[IDPhase]] &amp; IF(TabRACI[[#This Row],[IsPhase]] = "", ".","") &amp; TabRACI[[#This Row],[IDTask]]</f>
        <v>3.3</v>
      </c>
      <c r="C22" s="71">
        <f>IF(ISNUMBER($C21), IF(TabRACI[[#This Row],[IsPhase]] &lt;&gt;"",$C21+1, $C21), 1)</f>
        <v>3</v>
      </c>
      <c r="D22" s="71"/>
      <c r="E22" s="71">
        <f>IFERROR(IF(TabRACI[[#This Row],[IsPhase]]= "",$E21+1,""),1)</f>
        <v>3</v>
      </c>
      <c r="F22" s="41" t="s">
        <v>49</v>
      </c>
      <c r="G22" s="69" t="s">
        <v>39</v>
      </c>
      <c r="H22" s="69" t="s">
        <v>39</v>
      </c>
      <c r="I22" s="69" t="s">
        <v>39</v>
      </c>
      <c r="J22" s="69" t="s">
        <v>40</v>
      </c>
      <c r="K22" s="69" t="s">
        <v>40</v>
      </c>
      <c r="L22" s="69" t="s">
        <v>38</v>
      </c>
      <c r="M22" s="69" t="s">
        <v>39</v>
      </c>
      <c r="N22" s="69" t="s">
        <v>39</v>
      </c>
      <c r="O22" s="69" t="s">
        <v>39</v>
      </c>
      <c r="P22" s="69" t="s">
        <v>39</v>
      </c>
      <c r="Q22" s="69" t="s">
        <v>40</v>
      </c>
      <c r="R22" s="69" t="s">
        <v>39</v>
      </c>
      <c r="S22" s="69" t="s">
        <v>39</v>
      </c>
      <c r="T22" s="69" t="s">
        <v>39</v>
      </c>
      <c r="U22" s="69" t="s">
        <v>39</v>
      </c>
      <c r="V22" s="69" t="s">
        <v>39</v>
      </c>
      <c r="W22" s="69" t="s">
        <v>39</v>
      </c>
      <c r="X22" s="69" t="s">
        <v>39</v>
      </c>
    </row>
    <row r="23" spans="2:24" ht="15.6" customHeight="1" x14ac:dyDescent="0.3">
      <c r="B23" s="68" t="str">
        <f>TabRACI[[#This Row],[IDPhase]] &amp; IF(TabRACI[[#This Row],[IsPhase]] = "", ".","") &amp; TabRACI[[#This Row],[IDTask]]</f>
        <v>3.4</v>
      </c>
      <c r="C23" s="71">
        <f>IF(ISNUMBER($C22), IF(TabRACI[[#This Row],[IsPhase]] &lt;&gt;"",$C22+1, $C22), 1)</f>
        <v>3</v>
      </c>
      <c r="D23" s="71"/>
      <c r="E23" s="71">
        <f>IFERROR(IF(TabRACI[[#This Row],[IsPhase]]= "",$E22+1,""),1)</f>
        <v>4</v>
      </c>
      <c r="F23" s="41" t="s">
        <v>50</v>
      </c>
      <c r="G23" s="69" t="s">
        <v>39</v>
      </c>
      <c r="H23" s="69" t="s">
        <v>39</v>
      </c>
      <c r="I23" s="69" t="s">
        <v>39</v>
      </c>
      <c r="J23" s="69" t="s">
        <v>41</v>
      </c>
      <c r="K23" s="69" t="s">
        <v>40</v>
      </c>
      <c r="L23" s="69" t="s">
        <v>39</v>
      </c>
      <c r="M23" s="69" t="s">
        <v>38</v>
      </c>
      <c r="N23" s="69"/>
      <c r="O23" s="69"/>
      <c r="P23" s="69" t="s">
        <v>40</v>
      </c>
      <c r="Q23" s="69"/>
      <c r="R23" s="69" t="s">
        <v>40</v>
      </c>
      <c r="S23" s="69" t="s">
        <v>39</v>
      </c>
      <c r="T23" s="69" t="s">
        <v>39</v>
      </c>
      <c r="U23" s="69" t="s">
        <v>39</v>
      </c>
      <c r="V23" s="69" t="s">
        <v>39</v>
      </c>
      <c r="W23" s="69" t="s">
        <v>40</v>
      </c>
      <c r="X23" s="69" t="s">
        <v>39</v>
      </c>
    </row>
    <row r="24" spans="2:24" ht="15.6" customHeight="1" x14ac:dyDescent="0.3">
      <c r="B24" s="68" t="str">
        <f>TabRACI[[#This Row],[IDPhase]] &amp; IF(TabRACI[[#This Row],[IsPhase]] = "", ".","") &amp; TabRACI[[#This Row],[IDTask]]</f>
        <v>3.5</v>
      </c>
      <c r="C24" s="71">
        <f>IF(ISNUMBER($C23), IF(TabRACI[[#This Row],[IsPhase]] &lt;&gt;"",$C23+1, $C23), 1)</f>
        <v>3</v>
      </c>
      <c r="D24" s="71"/>
      <c r="E24" s="71">
        <f>IFERROR(IF(TabRACI[[#This Row],[IsPhase]]= "",$E23+1,""),1)</f>
        <v>5</v>
      </c>
      <c r="F24" s="41" t="s">
        <v>51</v>
      </c>
      <c r="G24" s="69" t="s">
        <v>39</v>
      </c>
      <c r="H24" s="69" t="s">
        <v>38</v>
      </c>
      <c r="I24" s="69" t="s">
        <v>39</v>
      </c>
      <c r="J24" s="69"/>
      <c r="K24" s="69" t="s">
        <v>40</v>
      </c>
      <c r="L24" s="69" t="s">
        <v>41</v>
      </c>
      <c r="M24" s="69" t="s">
        <v>39</v>
      </c>
      <c r="N24" s="69" t="s">
        <v>38</v>
      </c>
      <c r="O24" s="69" t="s">
        <v>39</v>
      </c>
      <c r="P24" s="69" t="s">
        <v>39</v>
      </c>
      <c r="Q24" s="69" t="s">
        <v>39</v>
      </c>
      <c r="R24" s="69" t="s">
        <v>39</v>
      </c>
      <c r="S24" s="69" t="s">
        <v>40</v>
      </c>
      <c r="T24" s="69" t="s">
        <v>39</v>
      </c>
      <c r="U24" s="69" t="s">
        <v>39</v>
      </c>
      <c r="V24" s="69" t="s">
        <v>39</v>
      </c>
      <c r="W24" s="69" t="s">
        <v>39</v>
      </c>
      <c r="X24" s="69" t="s">
        <v>39</v>
      </c>
    </row>
    <row r="25" spans="2:24" ht="15.6" customHeight="1" x14ac:dyDescent="0.3">
      <c r="B25" s="68" t="str">
        <f>TabRACI[[#This Row],[IDPhase]] &amp; IF(TabRACI[[#This Row],[IsPhase]] = "", ".","") &amp; TabRACI[[#This Row],[IDTask]]</f>
        <v>3.6</v>
      </c>
      <c r="C25" s="71">
        <f>IF(ISNUMBER($C24), IF(TabRACI[[#This Row],[IsPhase]] &lt;&gt;"",$C24+1, $C24), 1)</f>
        <v>3</v>
      </c>
      <c r="D25" s="71"/>
      <c r="E25" s="71">
        <f>IFERROR(IF(TabRACI[[#This Row],[IsPhase]]= "",$E24+1,""),1)</f>
        <v>6</v>
      </c>
      <c r="F25" s="41" t="s">
        <v>52</v>
      </c>
      <c r="G25" s="69" t="s">
        <v>39</v>
      </c>
      <c r="H25" s="69"/>
      <c r="I25" s="69" t="s">
        <v>39</v>
      </c>
      <c r="J25" s="69"/>
      <c r="K25" s="69" t="s">
        <v>40</v>
      </c>
      <c r="L25" s="69" t="s">
        <v>39</v>
      </c>
      <c r="M25" s="69"/>
      <c r="N25" s="69" t="s">
        <v>39</v>
      </c>
      <c r="O25" s="69" t="s">
        <v>38</v>
      </c>
      <c r="P25" s="69" t="s">
        <v>39</v>
      </c>
      <c r="Q25" s="69"/>
      <c r="R25" s="69" t="s">
        <v>39</v>
      </c>
      <c r="S25" s="69" t="s">
        <v>39</v>
      </c>
      <c r="T25" s="69" t="s">
        <v>40</v>
      </c>
      <c r="U25" s="69" t="s">
        <v>41</v>
      </c>
      <c r="V25" s="69" t="s">
        <v>40</v>
      </c>
      <c r="W25" s="69" t="s">
        <v>39</v>
      </c>
      <c r="X25" s="69" t="s">
        <v>39</v>
      </c>
    </row>
    <row r="26" spans="2:24" ht="15.6" customHeight="1" x14ac:dyDescent="0.3">
      <c r="B26" s="68" t="str">
        <f>TabRACI[[#This Row],[IDPhase]] &amp; IF(TabRACI[[#This Row],[IsPhase]] = "", ".","") &amp; TabRACI[[#This Row],[IDTask]]</f>
        <v>3.7</v>
      </c>
      <c r="C26" s="71">
        <f>IF(ISNUMBER($C25), IF(TabRACI[[#This Row],[IsPhase]] &lt;&gt;"",$C25+1, $C25), 1)</f>
        <v>3</v>
      </c>
      <c r="D26" s="71"/>
      <c r="E26" s="71">
        <f>IFERROR(IF(TabRACI[[#This Row],[IsPhase]]= "",$E25+1,""),1)</f>
        <v>7</v>
      </c>
      <c r="F26" s="41" t="s">
        <v>53</v>
      </c>
      <c r="G26" s="69"/>
      <c r="H26" s="69" t="s">
        <v>39</v>
      </c>
      <c r="I26" s="69" t="s">
        <v>41</v>
      </c>
      <c r="J26" s="69"/>
      <c r="K26" s="69" t="s">
        <v>40</v>
      </c>
      <c r="L26" s="69"/>
      <c r="M26" s="69" t="s">
        <v>40</v>
      </c>
      <c r="N26" s="69" t="s">
        <v>39</v>
      </c>
      <c r="O26" s="69" t="s">
        <v>39</v>
      </c>
      <c r="P26" s="69" t="s">
        <v>38</v>
      </c>
      <c r="Q26" s="69" t="s">
        <v>39</v>
      </c>
      <c r="R26" s="69"/>
      <c r="S26" s="69" t="s">
        <v>39</v>
      </c>
      <c r="T26" s="69" t="s">
        <v>39</v>
      </c>
      <c r="U26" s="69" t="s">
        <v>38</v>
      </c>
      <c r="V26" s="69" t="s">
        <v>40</v>
      </c>
      <c r="W26" s="69" t="s">
        <v>40</v>
      </c>
      <c r="X26" s="69" t="s">
        <v>39</v>
      </c>
    </row>
    <row r="27" spans="2:24" ht="15.6" customHeight="1" x14ac:dyDescent="0.3">
      <c r="B27" s="68" t="str">
        <f>TabRACI[[#This Row],[IDPhase]] &amp; IF(TabRACI[[#This Row],[IsPhase]] = "", ".","") &amp; TabRACI[[#This Row],[IDTask]]</f>
        <v>3.8</v>
      </c>
      <c r="C27" s="71">
        <f>IF(ISNUMBER($C26), IF(TabRACI[[#This Row],[IsPhase]] &lt;&gt;"",$C26+1, $C26), 1)</f>
        <v>3</v>
      </c>
      <c r="D27" s="71"/>
      <c r="E27" s="71">
        <f>IFERROR(IF(TabRACI[[#This Row],[IsPhase]]= "",$E26+1,""),1)</f>
        <v>8</v>
      </c>
      <c r="F27" s="41" t="s">
        <v>54</v>
      </c>
      <c r="G27" s="69" t="s">
        <v>39</v>
      </c>
      <c r="H27" s="69" t="s">
        <v>39</v>
      </c>
      <c r="I27" s="69" t="s">
        <v>39</v>
      </c>
      <c r="J27" s="69" t="s">
        <v>40</v>
      </c>
      <c r="K27" s="69" t="s">
        <v>41</v>
      </c>
      <c r="L27" s="69" t="s">
        <v>40</v>
      </c>
      <c r="M27" s="69" t="s">
        <v>40</v>
      </c>
      <c r="N27" s="69" t="s">
        <v>40</v>
      </c>
      <c r="O27" s="69" t="s">
        <v>40</v>
      </c>
      <c r="P27" s="69" t="s">
        <v>40</v>
      </c>
      <c r="Q27" s="69"/>
      <c r="R27" s="69" t="s">
        <v>39</v>
      </c>
      <c r="S27" s="69" t="s">
        <v>39</v>
      </c>
      <c r="T27" s="69" t="s">
        <v>39</v>
      </c>
      <c r="U27" s="69" t="s">
        <v>39</v>
      </c>
      <c r="V27" s="69" t="s">
        <v>39</v>
      </c>
      <c r="W27" s="69" t="s">
        <v>38</v>
      </c>
      <c r="X27" s="69" t="s">
        <v>39</v>
      </c>
    </row>
    <row r="28" spans="2:24" ht="15.6" customHeight="1" x14ac:dyDescent="0.3">
      <c r="B28" s="68" t="str">
        <f>TabRACI[[#This Row],[IDPhase]] &amp; IF(TabRACI[[#This Row],[IsPhase]] = "", ".","") &amp; TabRACI[[#This Row],[IDTask]]</f>
        <v>4</v>
      </c>
      <c r="C28" s="71">
        <f>IF(ISNUMBER($C27), IF(TabRACI[[#This Row],[IsPhase]] &lt;&gt;"",$C27+1, $C27), 1)</f>
        <v>4</v>
      </c>
      <c r="D28" s="71" t="s">
        <v>74</v>
      </c>
      <c r="E28" s="71" t="str">
        <f>IFERROR(IF(TabRACI[[#This Row],[IsPhase]]= "",$E27+1,""),1)</f>
        <v/>
      </c>
      <c r="F28" s="41" t="s">
        <v>55</v>
      </c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</row>
    <row r="29" spans="2:24" ht="15.6" customHeight="1" x14ac:dyDescent="0.3">
      <c r="B29" s="68" t="str">
        <f>TabRACI[[#This Row],[IDPhase]] &amp; IF(TabRACI[[#This Row],[IsPhase]] = "", ".","") &amp; TabRACI[[#This Row],[IDTask]]</f>
        <v>4.1</v>
      </c>
      <c r="C29" s="71">
        <f>IF(ISNUMBER($C28), IF(TabRACI[[#This Row],[IsPhase]] &lt;&gt;"",$C28+1, $C28), 1)</f>
        <v>4</v>
      </c>
      <c r="D29" s="71"/>
      <c r="E29" s="71">
        <f>IFERROR(IF(TabRACI[[#This Row],[IsPhase]]= "",$E28+1,""),1)</f>
        <v>1</v>
      </c>
      <c r="F29" s="41" t="s">
        <v>56</v>
      </c>
      <c r="G29" s="69" t="s">
        <v>39</v>
      </c>
      <c r="H29" s="69" t="s">
        <v>39</v>
      </c>
      <c r="I29" s="69" t="s">
        <v>39</v>
      </c>
      <c r="J29" s="69" t="s">
        <v>40</v>
      </c>
      <c r="K29" s="69"/>
      <c r="L29" s="69" t="s">
        <v>40</v>
      </c>
      <c r="M29" s="69" t="s">
        <v>40</v>
      </c>
      <c r="N29" s="69" t="s">
        <v>40</v>
      </c>
      <c r="O29" s="69" t="s">
        <v>40</v>
      </c>
      <c r="P29" s="69" t="s">
        <v>40</v>
      </c>
      <c r="Q29" s="69" t="s">
        <v>39</v>
      </c>
      <c r="R29" s="69" t="s">
        <v>39</v>
      </c>
      <c r="S29" s="69" t="s">
        <v>41</v>
      </c>
      <c r="T29" s="69" t="s">
        <v>39</v>
      </c>
      <c r="U29" s="69" t="s">
        <v>39</v>
      </c>
      <c r="V29" s="69" t="s">
        <v>39</v>
      </c>
      <c r="W29" s="69" t="s">
        <v>38</v>
      </c>
      <c r="X29" s="69" t="s">
        <v>39</v>
      </c>
    </row>
    <row r="30" spans="2:24" ht="15.6" customHeight="1" x14ac:dyDescent="0.3">
      <c r="B30" s="68" t="str">
        <f>TabRACI[[#This Row],[IDPhase]] &amp; IF(TabRACI[[#This Row],[IsPhase]] = "", ".","") &amp; TabRACI[[#This Row],[IDTask]]</f>
        <v>4.2</v>
      </c>
      <c r="C30" s="71">
        <f>IF(ISNUMBER($C29), IF(TabRACI[[#This Row],[IsPhase]] &lt;&gt;"",$C29+1, $C29), 1)</f>
        <v>4</v>
      </c>
      <c r="D30" s="71"/>
      <c r="E30" s="71">
        <f>IFERROR(IF(TabRACI[[#This Row],[IsPhase]]= "",$E29+1,""),1)</f>
        <v>2</v>
      </c>
      <c r="F30" s="41" t="s">
        <v>57</v>
      </c>
      <c r="G30" s="69" t="s">
        <v>39</v>
      </c>
      <c r="H30" s="69" t="s">
        <v>39</v>
      </c>
      <c r="I30" s="69" t="s">
        <v>39</v>
      </c>
      <c r="J30" s="69" t="s">
        <v>40</v>
      </c>
      <c r="K30" s="69"/>
      <c r="L30" s="69" t="s">
        <v>40</v>
      </c>
      <c r="M30" s="69" t="s">
        <v>41</v>
      </c>
      <c r="N30" s="69" t="s">
        <v>40</v>
      </c>
      <c r="O30" s="69" t="s">
        <v>40</v>
      </c>
      <c r="P30" s="69" t="s">
        <v>40</v>
      </c>
      <c r="Q30" s="69" t="s">
        <v>39</v>
      </c>
      <c r="R30" s="69" t="s">
        <v>39</v>
      </c>
      <c r="S30" s="69" t="s">
        <v>39</v>
      </c>
      <c r="T30" s="69" t="s">
        <v>39</v>
      </c>
      <c r="U30" s="69" t="s">
        <v>39</v>
      </c>
      <c r="V30" s="69" t="s">
        <v>39</v>
      </c>
      <c r="W30" s="69" t="s">
        <v>38</v>
      </c>
      <c r="X30" s="69" t="s">
        <v>39</v>
      </c>
    </row>
    <row r="31" spans="2:24" ht="15.6" customHeight="1" x14ac:dyDescent="0.3">
      <c r="B31" s="68" t="str">
        <f>TabRACI[[#This Row],[IDPhase]] &amp; IF(TabRACI[[#This Row],[IsPhase]] = "", ".","") &amp; TabRACI[[#This Row],[IDTask]]</f>
        <v>4.3</v>
      </c>
      <c r="C31" s="71">
        <f>IF(ISNUMBER($C30), IF(TabRACI[[#This Row],[IsPhase]] &lt;&gt;"",$C30+1, $C30), 1)</f>
        <v>4</v>
      </c>
      <c r="D31" s="71"/>
      <c r="E31" s="71">
        <f>IFERROR(IF(TabRACI[[#This Row],[IsPhase]]= "",$E30+1,""),1)</f>
        <v>3</v>
      </c>
      <c r="F31" s="41" t="s">
        <v>58</v>
      </c>
      <c r="G31" s="69" t="s">
        <v>39</v>
      </c>
      <c r="H31" s="69"/>
      <c r="I31" s="69" t="s">
        <v>39</v>
      </c>
      <c r="J31" s="69" t="s">
        <v>40</v>
      </c>
      <c r="K31" s="69" t="s">
        <v>40</v>
      </c>
      <c r="L31" s="69" t="s">
        <v>39</v>
      </c>
      <c r="M31" s="69" t="s">
        <v>39</v>
      </c>
      <c r="N31" s="69" t="s">
        <v>41</v>
      </c>
      <c r="O31" s="69" t="s">
        <v>39</v>
      </c>
      <c r="P31" s="69" t="s">
        <v>39</v>
      </c>
      <c r="Q31" s="69" t="s">
        <v>39</v>
      </c>
      <c r="R31" s="69" t="s">
        <v>39</v>
      </c>
      <c r="S31" s="69" t="s">
        <v>39</v>
      </c>
      <c r="T31" s="69" t="s">
        <v>39</v>
      </c>
      <c r="U31" s="69" t="s">
        <v>39</v>
      </c>
      <c r="V31" s="69" t="s">
        <v>39</v>
      </c>
      <c r="W31" s="69" t="s">
        <v>38</v>
      </c>
      <c r="X31" s="69" t="s">
        <v>38</v>
      </c>
    </row>
    <row r="32" spans="2:24" ht="15.6" customHeight="1" x14ac:dyDescent="0.3">
      <c r="B32" s="68" t="str">
        <f>TabRACI[[#This Row],[IDPhase]] &amp; IF(TabRACI[[#This Row],[IsPhase]] = "", ".","") &amp; TabRACI[[#This Row],[IDTask]]</f>
        <v>4.4</v>
      </c>
      <c r="C32" s="71">
        <f>IF(ISNUMBER($C31), IF(TabRACI[[#This Row],[IsPhase]] &lt;&gt;"",$C31+1, $C31), 1)</f>
        <v>4</v>
      </c>
      <c r="D32" s="71"/>
      <c r="E32" s="71">
        <f>IFERROR(IF(TabRACI[[#This Row],[IsPhase]]= "",$E31+1,""),1)</f>
        <v>4</v>
      </c>
      <c r="F32" s="41" t="s">
        <v>59</v>
      </c>
      <c r="G32" s="69"/>
      <c r="H32" s="69" t="s">
        <v>39</v>
      </c>
      <c r="I32" s="69" t="s">
        <v>40</v>
      </c>
      <c r="J32" s="69" t="s">
        <v>38</v>
      </c>
      <c r="K32" s="69" t="s">
        <v>40</v>
      </c>
      <c r="L32" s="69" t="s">
        <v>40</v>
      </c>
      <c r="M32" s="69" t="s">
        <v>40</v>
      </c>
      <c r="N32" s="69" t="s">
        <v>40</v>
      </c>
      <c r="O32" s="69" t="s">
        <v>40</v>
      </c>
      <c r="P32" s="69" t="s">
        <v>40</v>
      </c>
      <c r="Q32" s="69" t="s">
        <v>39</v>
      </c>
      <c r="R32" s="69" t="s">
        <v>41</v>
      </c>
      <c r="S32" s="69" t="s">
        <v>39</v>
      </c>
      <c r="T32" s="69" t="s">
        <v>39</v>
      </c>
      <c r="U32" s="69" t="s">
        <v>39</v>
      </c>
      <c r="V32" s="69" t="s">
        <v>39</v>
      </c>
      <c r="W32" s="69" t="s">
        <v>39</v>
      </c>
      <c r="X32" s="69" t="s">
        <v>39</v>
      </c>
    </row>
    <row r="33" spans="2:24" ht="15.6" customHeight="1" x14ac:dyDescent="0.3">
      <c r="B33" s="68" t="str">
        <f>TabRACI[[#This Row],[IDPhase]] &amp; IF(TabRACI[[#This Row],[IsPhase]] = "", ".","") &amp; TabRACI[[#This Row],[IDTask]]</f>
        <v>4.5</v>
      </c>
      <c r="C33" s="71">
        <f>IF(ISNUMBER($C32), IF(TabRACI[[#This Row],[IsPhase]] &lt;&gt;"",$C32+1, $C32), 1)</f>
        <v>4</v>
      </c>
      <c r="D33" s="71"/>
      <c r="E33" s="71">
        <f>IFERROR(IF(TabRACI[[#This Row],[IsPhase]]= "",$E32+1,""),1)</f>
        <v>5</v>
      </c>
      <c r="F33" s="41" t="s">
        <v>60</v>
      </c>
      <c r="G33" s="69"/>
      <c r="H33" s="69" t="s">
        <v>39</v>
      </c>
      <c r="I33" s="69" t="s">
        <v>40</v>
      </c>
      <c r="J33" s="69" t="s">
        <v>38</v>
      </c>
      <c r="K33" s="69" t="s">
        <v>40</v>
      </c>
      <c r="L33" s="69" t="s">
        <v>40</v>
      </c>
      <c r="M33" s="69" t="s">
        <v>40</v>
      </c>
      <c r="N33" s="69" t="s">
        <v>40</v>
      </c>
      <c r="O33" s="69" t="s">
        <v>40</v>
      </c>
      <c r="P33" s="69" t="s">
        <v>41</v>
      </c>
      <c r="Q33" s="69" t="s">
        <v>39</v>
      </c>
      <c r="R33" s="69" t="s">
        <v>39</v>
      </c>
      <c r="S33" s="69" t="s">
        <v>39</v>
      </c>
      <c r="T33" s="69" t="s">
        <v>39</v>
      </c>
      <c r="U33" s="69" t="s">
        <v>39</v>
      </c>
      <c r="V33" s="69" t="s">
        <v>39</v>
      </c>
      <c r="W33" s="69" t="s">
        <v>39</v>
      </c>
      <c r="X33" s="69" t="s">
        <v>39</v>
      </c>
    </row>
    <row r="34" spans="2:24" ht="15.6" customHeight="1" x14ac:dyDescent="0.3">
      <c r="B34" s="68" t="str">
        <f>TabRACI[[#This Row],[IDPhase]] &amp; IF(TabRACI[[#This Row],[IsPhase]] = "", ".","") &amp; TabRACI[[#This Row],[IDTask]]</f>
        <v>5</v>
      </c>
      <c r="C34" s="71">
        <f>IF(ISNUMBER($C33), IF(TabRACI[[#This Row],[IsPhase]] &lt;&gt;"",$C33+1, $C33), 1)</f>
        <v>5</v>
      </c>
      <c r="D34" s="71" t="s">
        <v>74</v>
      </c>
      <c r="E34" s="71" t="str">
        <f>IFERROR(IF(TabRACI[[#This Row],[IsPhase]]= "",$E33+1,""),1)</f>
        <v/>
      </c>
      <c r="F34" s="41" t="s">
        <v>61</v>
      </c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</row>
    <row r="35" spans="2:24" ht="15.6" customHeight="1" x14ac:dyDescent="0.3">
      <c r="B35" s="68" t="str">
        <f>TabRACI[[#This Row],[IDPhase]] &amp; IF(TabRACI[[#This Row],[IsPhase]] = "", ".","") &amp; TabRACI[[#This Row],[IDTask]]</f>
        <v>5.1</v>
      </c>
      <c r="C35" s="71">
        <f>IF(ISNUMBER($C34), IF(TabRACI[[#This Row],[IsPhase]] &lt;&gt;"",$C34+1, $C34), 1)</f>
        <v>5</v>
      </c>
      <c r="D35" s="71"/>
      <c r="E35" s="71">
        <f>IFERROR(IF(TabRACI[[#This Row],[IsPhase]]= "",$E34+1,""),1)</f>
        <v>1</v>
      </c>
      <c r="F35" s="41" t="s">
        <v>62</v>
      </c>
      <c r="G35" s="69" t="s">
        <v>40</v>
      </c>
      <c r="H35" s="69" t="s">
        <v>40</v>
      </c>
      <c r="I35" s="69" t="s">
        <v>40</v>
      </c>
      <c r="J35" s="69" t="s">
        <v>41</v>
      </c>
      <c r="K35" s="69" t="s">
        <v>40</v>
      </c>
      <c r="L35" s="69" t="s">
        <v>38</v>
      </c>
      <c r="M35" s="69" t="s">
        <v>38</v>
      </c>
      <c r="N35" s="69" t="s">
        <v>38</v>
      </c>
      <c r="O35" s="69" t="s">
        <v>38</v>
      </c>
      <c r="P35" s="69" t="s">
        <v>38</v>
      </c>
      <c r="Q35" s="69" t="s">
        <v>40</v>
      </c>
      <c r="R35" s="69" t="s">
        <v>40</v>
      </c>
      <c r="S35" s="69" t="s">
        <v>40</v>
      </c>
      <c r="T35" s="69" t="s">
        <v>40</v>
      </c>
      <c r="U35" s="69" t="s">
        <v>40</v>
      </c>
      <c r="V35" s="69" t="s">
        <v>40</v>
      </c>
      <c r="W35" s="69" t="s">
        <v>40</v>
      </c>
      <c r="X35" s="69" t="s">
        <v>40</v>
      </c>
    </row>
    <row r="36" spans="2:24" ht="15.6" customHeight="1" x14ac:dyDescent="0.3">
      <c r="B36" s="68" t="str">
        <f>TabRACI[[#This Row],[IDPhase]] &amp; IF(TabRACI[[#This Row],[IsPhase]] = "", ".","") &amp; TabRACI[[#This Row],[IDTask]]</f>
        <v>5.2</v>
      </c>
      <c r="C36" s="71">
        <f>IF(ISNUMBER($C35), IF(TabRACI[[#This Row],[IsPhase]] &lt;&gt;"",$C35+1, $C35), 1)</f>
        <v>5</v>
      </c>
      <c r="D36" s="71"/>
      <c r="E36" s="71">
        <f>IFERROR(IF(TabRACI[[#This Row],[IsPhase]]= "",$E35+1,""),1)</f>
        <v>2</v>
      </c>
      <c r="F36" s="41" t="s">
        <v>63</v>
      </c>
      <c r="G36" s="69" t="s">
        <v>40</v>
      </c>
      <c r="H36" s="69" t="s">
        <v>40</v>
      </c>
      <c r="I36" s="69" t="s">
        <v>40</v>
      </c>
      <c r="J36" s="69" t="s">
        <v>38</v>
      </c>
      <c r="K36" s="69" t="s">
        <v>40</v>
      </c>
      <c r="L36" s="69" t="s">
        <v>40</v>
      </c>
      <c r="M36" s="69" t="s">
        <v>40</v>
      </c>
      <c r="N36" s="69" t="s">
        <v>40</v>
      </c>
      <c r="O36" s="69" t="s">
        <v>40</v>
      </c>
      <c r="P36" s="69" t="s">
        <v>40</v>
      </c>
      <c r="Q36" s="69" t="s">
        <v>40</v>
      </c>
      <c r="R36" s="69" t="s">
        <v>41</v>
      </c>
      <c r="S36" s="69" t="s">
        <v>40</v>
      </c>
      <c r="T36" s="69" t="s">
        <v>40</v>
      </c>
      <c r="U36" s="69" t="s">
        <v>40</v>
      </c>
      <c r="V36" s="69" t="s">
        <v>40</v>
      </c>
      <c r="W36" s="69" t="s">
        <v>40</v>
      </c>
      <c r="X36" s="69" t="s">
        <v>40</v>
      </c>
    </row>
    <row r="37" spans="2:24" ht="15.6" customHeight="1" x14ac:dyDescent="0.3">
      <c r="B37" s="68" t="str">
        <f>TabRACI[[#This Row],[IDPhase]] &amp; IF(TabRACI[[#This Row],[IsPhase]] = "", ".","") &amp; TabRACI[[#This Row],[IDTask]]</f>
        <v>5.3</v>
      </c>
      <c r="C37" s="71">
        <f>IF(ISNUMBER($C36), IF(TabRACI[[#This Row],[IsPhase]] &lt;&gt;"",$C36+1, $C36), 1)</f>
        <v>5</v>
      </c>
      <c r="D37" s="71"/>
      <c r="E37" s="71">
        <f>IFERROR(IF(TabRACI[[#This Row],[IsPhase]]= "",$E36+1,""),1)</f>
        <v>3</v>
      </c>
      <c r="F37" s="41" t="s">
        <v>17</v>
      </c>
      <c r="G37" s="69"/>
      <c r="H37" s="69" t="s">
        <v>39</v>
      </c>
      <c r="I37" s="69" t="s">
        <v>38</v>
      </c>
      <c r="J37" s="69" t="s">
        <v>40</v>
      </c>
      <c r="K37" s="69" t="s">
        <v>40</v>
      </c>
      <c r="L37" s="69" t="s">
        <v>39</v>
      </c>
      <c r="M37" s="69" t="s">
        <v>39</v>
      </c>
      <c r="N37" s="69" t="s">
        <v>39</v>
      </c>
      <c r="O37" s="69" t="s">
        <v>84</v>
      </c>
      <c r="P37" s="69" t="s">
        <v>39</v>
      </c>
      <c r="Q37" s="69" t="s">
        <v>39</v>
      </c>
      <c r="R37" s="69" t="s">
        <v>40</v>
      </c>
      <c r="S37" s="69" t="s">
        <v>39</v>
      </c>
      <c r="T37" s="69" t="s">
        <v>41</v>
      </c>
      <c r="U37" s="69" t="s">
        <v>39</v>
      </c>
      <c r="V37" s="69" t="s">
        <v>39</v>
      </c>
      <c r="W37" s="69" t="s">
        <v>39</v>
      </c>
      <c r="X37" s="69" t="s">
        <v>39</v>
      </c>
    </row>
    <row r="38" spans="2:24" ht="15.6" customHeight="1" x14ac:dyDescent="0.3">
      <c r="B38" s="68" t="str">
        <f>TabRACI[[#This Row],[IDPhase]] &amp; IF(TabRACI[[#This Row],[IsPhase]] = "", ".","") &amp; TabRACI[[#This Row],[IDTask]]</f>
        <v>5.4</v>
      </c>
      <c r="C38" s="71">
        <f>IF(ISNUMBER($C37), IF(TabRACI[[#This Row],[IsPhase]] &lt;&gt;"",$C37+1, $C37), 1)</f>
        <v>5</v>
      </c>
      <c r="D38" s="71"/>
      <c r="E38" s="71">
        <f>IFERROR(IF(TabRACI[[#This Row],[IsPhase]]= "",$E37+1,""),1)</f>
        <v>4</v>
      </c>
      <c r="F38" s="41" t="s">
        <v>64</v>
      </c>
      <c r="G38" s="69" t="s">
        <v>41</v>
      </c>
      <c r="H38" s="69" t="s">
        <v>39</v>
      </c>
      <c r="I38" s="69" t="s">
        <v>39</v>
      </c>
      <c r="J38" s="69" t="s">
        <v>38</v>
      </c>
      <c r="K38" s="69" t="s">
        <v>38</v>
      </c>
      <c r="L38" s="69" t="s">
        <v>39</v>
      </c>
      <c r="M38" s="69" t="s">
        <v>39</v>
      </c>
      <c r="N38" s="69" t="s">
        <v>39</v>
      </c>
      <c r="O38" s="69" t="s">
        <v>39</v>
      </c>
      <c r="P38" s="69" t="s">
        <v>38</v>
      </c>
      <c r="Q38" s="69" t="s">
        <v>39</v>
      </c>
      <c r="R38" s="69" t="s">
        <v>39</v>
      </c>
      <c r="S38" s="69" t="s">
        <v>40</v>
      </c>
      <c r="T38" s="69" t="s">
        <v>39</v>
      </c>
      <c r="U38" s="69" t="s">
        <v>39</v>
      </c>
      <c r="V38" s="69" t="s">
        <v>39</v>
      </c>
      <c r="W38" s="69" t="s">
        <v>39</v>
      </c>
      <c r="X38" s="69" t="s">
        <v>39</v>
      </c>
    </row>
    <row r="39" spans="2:24" ht="15.6" customHeight="1" x14ac:dyDescent="0.3"/>
    <row r="40" spans="2:24" ht="15.6" customHeight="1" x14ac:dyDescent="0.3"/>
    <row r="41" spans="2:24" ht="15.6" customHeight="1" x14ac:dyDescent="0.3"/>
    <row r="42" spans="2:24" ht="15.6" customHeight="1" x14ac:dyDescent="0.3"/>
    <row r="43" spans="2:24" ht="15.6" customHeight="1" x14ac:dyDescent="0.3"/>
    <row r="44" spans="2:24" ht="15.6" customHeight="1" x14ac:dyDescent="0.3"/>
    <row r="45" spans="2:24" ht="15.6" customHeight="1" x14ac:dyDescent="0.3"/>
    <row r="46" spans="2:24" ht="15.6" customHeight="1" x14ac:dyDescent="0.3"/>
    <row r="47" spans="2:24" ht="15.6" customHeight="1" x14ac:dyDescent="0.3"/>
    <row r="48" spans="2:24" ht="15.6" customHeight="1" x14ac:dyDescent="0.3"/>
    <row r="49" ht="15.6" customHeight="1" x14ac:dyDescent="0.3"/>
    <row r="50" ht="15.6" customHeight="1" x14ac:dyDescent="0.3"/>
    <row r="51" ht="15.6" customHeight="1" x14ac:dyDescent="0.3"/>
    <row r="52" ht="15.6" customHeight="1" x14ac:dyDescent="0.3"/>
    <row r="53" ht="15.6" customHeight="1" x14ac:dyDescent="0.3"/>
    <row r="54" ht="15.6" customHeight="1" x14ac:dyDescent="0.3"/>
    <row r="55" ht="15.6" customHeight="1" x14ac:dyDescent="0.3"/>
    <row r="56" ht="15.6" customHeight="1" x14ac:dyDescent="0.3"/>
    <row r="57" ht="15.6" customHeight="1" x14ac:dyDescent="0.3"/>
    <row r="58" ht="15.6" customHeight="1" x14ac:dyDescent="0.3"/>
    <row r="59" ht="15.6" customHeight="1" x14ac:dyDescent="0.3"/>
    <row r="60" ht="15.6" customHeight="1" x14ac:dyDescent="0.3"/>
    <row r="61" ht="15.6" customHeight="1" x14ac:dyDescent="0.3"/>
    <row r="62" ht="15.6" customHeight="1" x14ac:dyDescent="0.3"/>
    <row r="63" ht="15.6" customHeight="1" x14ac:dyDescent="0.3"/>
    <row r="64" ht="15.6" customHeight="1" x14ac:dyDescent="0.3"/>
    <row r="65" ht="15.6" customHeight="1" x14ac:dyDescent="0.3"/>
    <row r="66" ht="15.6" customHeight="1" x14ac:dyDescent="0.3"/>
    <row r="67" ht="15.6" customHeight="1" x14ac:dyDescent="0.3"/>
    <row r="68" ht="15.6" customHeight="1" x14ac:dyDescent="0.3"/>
    <row r="69" ht="15.6" customHeight="1" x14ac:dyDescent="0.3"/>
    <row r="70" ht="15.6" customHeight="1" x14ac:dyDescent="0.3"/>
    <row r="71" ht="15.6" customHeight="1" x14ac:dyDescent="0.3"/>
    <row r="72" ht="15.6" customHeight="1" x14ac:dyDescent="0.3"/>
    <row r="73" ht="15.6" customHeight="1" x14ac:dyDescent="0.3"/>
    <row r="74" ht="15.6" customHeight="1" x14ac:dyDescent="0.3"/>
    <row r="75" ht="15.6" customHeight="1" x14ac:dyDescent="0.3"/>
    <row r="76" ht="15.6" customHeight="1" x14ac:dyDescent="0.3"/>
    <row r="77" ht="15.6" customHeight="1" x14ac:dyDescent="0.3"/>
    <row r="78" ht="15.6" customHeight="1" x14ac:dyDescent="0.3"/>
    <row r="79" ht="15.6" customHeight="1" x14ac:dyDescent="0.3"/>
    <row r="80" ht="15.6" customHeight="1" x14ac:dyDescent="0.3"/>
    <row r="81" ht="15.6" customHeight="1" x14ac:dyDescent="0.3"/>
    <row r="82" ht="15.6" customHeight="1" x14ac:dyDescent="0.3"/>
    <row r="83" ht="15.6" customHeight="1" x14ac:dyDescent="0.3"/>
    <row r="84" ht="15.6" customHeight="1" x14ac:dyDescent="0.3"/>
    <row r="85" ht="15.6" customHeight="1" x14ac:dyDescent="0.3"/>
    <row r="86" ht="15.6" customHeight="1" x14ac:dyDescent="0.3"/>
    <row r="87" ht="15.6" customHeight="1" x14ac:dyDescent="0.3"/>
    <row r="88" ht="15.6" customHeight="1" x14ac:dyDescent="0.3"/>
    <row r="89" ht="15.6" customHeight="1" x14ac:dyDescent="0.3"/>
    <row r="90" ht="15.6" customHeight="1" x14ac:dyDescent="0.3"/>
    <row r="91" ht="15.6" customHeight="1" x14ac:dyDescent="0.3"/>
    <row r="92" ht="15.6" customHeight="1" x14ac:dyDescent="0.3"/>
    <row r="93" ht="15.6" customHeight="1" x14ac:dyDescent="0.3"/>
    <row r="94" ht="15.6" customHeight="1" x14ac:dyDescent="0.3"/>
    <row r="95" ht="15.6" customHeight="1" x14ac:dyDescent="0.3"/>
    <row r="96" ht="15.6" customHeight="1" x14ac:dyDescent="0.3"/>
    <row r="97" ht="15.6" customHeight="1" x14ac:dyDescent="0.3"/>
    <row r="98" ht="15.6" customHeight="1" x14ac:dyDescent="0.3"/>
    <row r="99" ht="15.6" customHeight="1" x14ac:dyDescent="0.3"/>
    <row r="100" ht="15.6" customHeight="1" x14ac:dyDescent="0.3"/>
    <row r="101" ht="15.6" customHeight="1" x14ac:dyDescent="0.3"/>
    <row r="102" ht="15.6" customHeight="1" x14ac:dyDescent="0.3"/>
    <row r="103" ht="15.6" customHeight="1" x14ac:dyDescent="0.3"/>
    <row r="104" ht="15.6" customHeight="1" x14ac:dyDescent="0.3"/>
    <row r="105" ht="15.6" customHeight="1" x14ac:dyDescent="0.3"/>
    <row r="106" ht="15.6" customHeight="1" x14ac:dyDescent="0.3"/>
    <row r="107" ht="15.6" customHeight="1" x14ac:dyDescent="0.3"/>
    <row r="108" ht="15.6" customHeight="1" x14ac:dyDescent="0.3"/>
    <row r="109" ht="15.6" customHeight="1" x14ac:dyDescent="0.3"/>
    <row r="110" ht="15.6" customHeight="1" x14ac:dyDescent="0.3"/>
    <row r="111" ht="15.6" customHeight="1" x14ac:dyDescent="0.3"/>
    <row r="112" ht="15.6" customHeight="1" x14ac:dyDescent="0.3"/>
    <row r="113" ht="15.6" customHeight="1" x14ac:dyDescent="0.3"/>
    <row r="114" ht="15.6" customHeight="1" x14ac:dyDescent="0.3"/>
    <row r="115" ht="15.6" customHeight="1" x14ac:dyDescent="0.3"/>
    <row r="116" ht="15.6" customHeight="1" x14ac:dyDescent="0.3"/>
    <row r="117" ht="15.6" customHeight="1" x14ac:dyDescent="0.3"/>
    <row r="118" ht="15.6" customHeight="1" x14ac:dyDescent="0.3"/>
    <row r="119" ht="15.6" customHeight="1" x14ac:dyDescent="0.3"/>
    <row r="120" ht="15.6" customHeight="1" x14ac:dyDescent="0.3"/>
    <row r="121" ht="15.6" customHeight="1" x14ac:dyDescent="0.3"/>
    <row r="122" ht="15.6" customHeight="1" x14ac:dyDescent="0.3"/>
    <row r="123" ht="15.6" customHeight="1" x14ac:dyDescent="0.3"/>
    <row r="124" ht="15.6" customHeight="1" x14ac:dyDescent="0.3"/>
    <row r="125" ht="15.6" customHeight="1" x14ac:dyDescent="0.3"/>
    <row r="126" ht="15.6" customHeight="1" x14ac:dyDescent="0.3"/>
    <row r="127" ht="15.6" customHeight="1" x14ac:dyDescent="0.3"/>
    <row r="128" ht="15.6" customHeight="1" x14ac:dyDescent="0.3"/>
    <row r="129" ht="15.6" customHeight="1" x14ac:dyDescent="0.3"/>
    <row r="130" ht="15.6" customHeight="1" x14ac:dyDescent="0.3"/>
    <row r="131" ht="15.6" customHeight="1" x14ac:dyDescent="0.3"/>
    <row r="132" ht="15.6" customHeight="1" x14ac:dyDescent="0.3"/>
    <row r="133" ht="15.6" customHeight="1" x14ac:dyDescent="0.3"/>
    <row r="134" ht="15.6" customHeight="1" x14ac:dyDescent="0.3"/>
    <row r="135" ht="15.6" customHeight="1" x14ac:dyDescent="0.3"/>
    <row r="136" ht="15.6" customHeight="1" x14ac:dyDescent="0.3"/>
    <row r="137" ht="15.6" customHeight="1" x14ac:dyDescent="0.3"/>
    <row r="138" ht="15.6" customHeight="1" x14ac:dyDescent="0.3"/>
    <row r="139" ht="15.6" customHeight="1" x14ac:dyDescent="0.3"/>
    <row r="140" ht="15.6" customHeight="1" x14ac:dyDescent="0.3"/>
    <row r="141" ht="15.6" customHeight="1" x14ac:dyDescent="0.3"/>
    <row r="142" ht="15.6" customHeight="1" x14ac:dyDescent="0.3"/>
    <row r="143" ht="15.6" customHeight="1" x14ac:dyDescent="0.3"/>
    <row r="144" ht="15.6" customHeight="1" x14ac:dyDescent="0.3"/>
    <row r="145" ht="15.6" customHeight="1" x14ac:dyDescent="0.3"/>
    <row r="146" ht="15.6" customHeight="1" x14ac:dyDescent="0.3"/>
    <row r="147" ht="15.6" customHeight="1" x14ac:dyDescent="0.3"/>
    <row r="148" ht="15.6" customHeight="1" x14ac:dyDescent="0.3"/>
    <row r="149" ht="15.6" customHeight="1" x14ac:dyDescent="0.3"/>
    <row r="150" ht="15.6" customHeight="1" x14ac:dyDescent="0.3"/>
    <row r="151" ht="15.6" customHeight="1" x14ac:dyDescent="0.3"/>
    <row r="152" ht="15.6" customHeight="1" x14ac:dyDescent="0.3"/>
    <row r="153" ht="15.6" customHeight="1" x14ac:dyDescent="0.3"/>
    <row r="154" ht="15.6" customHeight="1" x14ac:dyDescent="0.3"/>
    <row r="155" ht="15.6" customHeight="1" x14ac:dyDescent="0.3"/>
    <row r="156" ht="15.6" customHeight="1" x14ac:dyDescent="0.3"/>
    <row r="157" ht="15.6" customHeight="1" x14ac:dyDescent="0.3"/>
    <row r="158" ht="15.6" customHeight="1" x14ac:dyDescent="0.3"/>
    <row r="159" ht="15.6" customHeight="1" x14ac:dyDescent="0.3"/>
    <row r="160" ht="15.6" customHeight="1" x14ac:dyDescent="0.3"/>
    <row r="161" ht="15.6" customHeight="1" x14ac:dyDescent="0.3"/>
    <row r="162" ht="15.6" customHeight="1" x14ac:dyDescent="0.3"/>
    <row r="163" ht="15.6" customHeight="1" x14ac:dyDescent="0.3"/>
    <row r="164" ht="15.6" customHeight="1" x14ac:dyDescent="0.3"/>
    <row r="165" ht="15.6" customHeight="1" x14ac:dyDescent="0.3"/>
    <row r="166" ht="15.6" customHeight="1" x14ac:dyDescent="0.3"/>
    <row r="167" ht="15.6" customHeight="1" x14ac:dyDescent="0.3"/>
    <row r="168" ht="15.6" customHeight="1" x14ac:dyDescent="0.3"/>
    <row r="169" ht="15.6" customHeight="1" x14ac:dyDescent="0.3"/>
    <row r="170" ht="15.6" customHeight="1" x14ac:dyDescent="0.3"/>
    <row r="171" ht="15.6" customHeight="1" x14ac:dyDescent="0.3"/>
    <row r="172" ht="15.6" customHeight="1" x14ac:dyDescent="0.3"/>
    <row r="173" ht="15.6" customHeight="1" x14ac:dyDescent="0.3"/>
    <row r="174" ht="15.6" customHeight="1" x14ac:dyDescent="0.3"/>
    <row r="175" ht="15.6" customHeight="1" x14ac:dyDescent="0.3"/>
    <row r="176" ht="15.6" customHeight="1" x14ac:dyDescent="0.3"/>
    <row r="177" ht="15.6" customHeight="1" x14ac:dyDescent="0.3"/>
    <row r="178" ht="15.6" customHeight="1" x14ac:dyDescent="0.3"/>
    <row r="179" ht="15.6" customHeight="1" x14ac:dyDescent="0.3"/>
    <row r="180" ht="15.6" customHeight="1" x14ac:dyDescent="0.3"/>
    <row r="181" ht="15.6" customHeight="1" x14ac:dyDescent="0.3"/>
    <row r="182" ht="15.6" customHeight="1" x14ac:dyDescent="0.3"/>
    <row r="183" ht="15.6" customHeight="1" x14ac:dyDescent="0.3"/>
    <row r="184" ht="15.6" customHeight="1" x14ac:dyDescent="0.3"/>
    <row r="185" ht="15.6" customHeight="1" x14ac:dyDescent="0.3"/>
    <row r="186" ht="15.6" customHeight="1" x14ac:dyDescent="0.3"/>
    <row r="187" ht="15.6" customHeight="1" x14ac:dyDescent="0.3"/>
    <row r="188" ht="15.6" customHeight="1" x14ac:dyDescent="0.3"/>
    <row r="189" ht="15.6" customHeight="1" x14ac:dyDescent="0.3"/>
    <row r="190" ht="15.6" customHeight="1" x14ac:dyDescent="0.3"/>
    <row r="191" ht="15.6" customHeight="1" x14ac:dyDescent="0.3"/>
    <row r="192" ht="15.6" customHeight="1" x14ac:dyDescent="0.3"/>
    <row r="193" ht="15.6" customHeight="1" x14ac:dyDescent="0.3"/>
    <row r="194" ht="15.6" customHeight="1" x14ac:dyDescent="0.3"/>
    <row r="195" ht="15.6" customHeight="1" x14ac:dyDescent="0.3"/>
    <row r="196" ht="15.6" customHeight="1" x14ac:dyDescent="0.3"/>
    <row r="197" ht="15.6" customHeight="1" x14ac:dyDescent="0.3"/>
    <row r="198" ht="15.6" customHeight="1" x14ac:dyDescent="0.3"/>
    <row r="199" ht="15.6" customHeight="1" x14ac:dyDescent="0.3"/>
    <row r="200" ht="15.6" customHeight="1" x14ac:dyDescent="0.3"/>
    <row r="201" ht="15.6" customHeight="1" x14ac:dyDescent="0.3"/>
    <row r="202" ht="15.6" customHeight="1" x14ac:dyDescent="0.3"/>
    <row r="203" ht="15.6" customHeight="1" x14ac:dyDescent="0.3"/>
    <row r="204" ht="15.6" customHeight="1" x14ac:dyDescent="0.3"/>
    <row r="205" ht="15.6" customHeight="1" x14ac:dyDescent="0.3"/>
    <row r="206" ht="15.6" customHeight="1" x14ac:dyDescent="0.3"/>
    <row r="207" ht="15.6" customHeight="1" x14ac:dyDescent="0.3"/>
    <row r="208" ht="15.6" customHeight="1" x14ac:dyDescent="0.3"/>
    <row r="209" ht="15.6" customHeight="1" x14ac:dyDescent="0.3"/>
    <row r="210" ht="15.6" customHeight="1" x14ac:dyDescent="0.3"/>
    <row r="211" ht="15.6" customHeight="1" x14ac:dyDescent="0.3"/>
    <row r="212" ht="15.6" customHeight="1" x14ac:dyDescent="0.3"/>
    <row r="213" ht="15.6" customHeight="1" x14ac:dyDescent="0.3"/>
    <row r="214" ht="15.6" customHeight="1" x14ac:dyDescent="0.3"/>
    <row r="215" ht="15.6" customHeight="1" x14ac:dyDescent="0.3"/>
    <row r="216" ht="15.6" customHeight="1" x14ac:dyDescent="0.3"/>
    <row r="217" ht="15.6" customHeight="1" x14ac:dyDescent="0.3"/>
    <row r="218" ht="15.6" customHeight="1" x14ac:dyDescent="0.3"/>
    <row r="219" ht="15.6" customHeight="1" x14ac:dyDescent="0.3"/>
    <row r="220" ht="15.6" customHeight="1" x14ac:dyDescent="0.3"/>
    <row r="221" ht="15.6" customHeight="1" x14ac:dyDescent="0.3"/>
    <row r="222" ht="15.6" customHeight="1" x14ac:dyDescent="0.3"/>
    <row r="223" ht="15.6" customHeight="1" x14ac:dyDescent="0.3"/>
    <row r="224" ht="15.6" customHeight="1" x14ac:dyDescent="0.3"/>
    <row r="225" ht="15.6" customHeight="1" x14ac:dyDescent="0.3"/>
    <row r="226" ht="15.6" customHeight="1" x14ac:dyDescent="0.3"/>
    <row r="227" ht="15.6" customHeight="1" x14ac:dyDescent="0.3"/>
    <row r="228" ht="15.6" customHeight="1" x14ac:dyDescent="0.3"/>
    <row r="229" ht="15.6" customHeight="1" x14ac:dyDescent="0.3"/>
    <row r="230" ht="15.6" customHeight="1" x14ac:dyDescent="0.3"/>
    <row r="231" ht="15.6" customHeight="1" x14ac:dyDescent="0.3"/>
    <row r="232" ht="15.6" customHeight="1" x14ac:dyDescent="0.3"/>
    <row r="233" ht="15.6" customHeight="1" x14ac:dyDescent="0.3"/>
    <row r="234" ht="15.6" customHeight="1" x14ac:dyDescent="0.3"/>
    <row r="235" ht="15.6" customHeight="1" x14ac:dyDescent="0.3"/>
    <row r="236" ht="15.6" customHeight="1" x14ac:dyDescent="0.3"/>
    <row r="237" ht="15.6" customHeight="1" x14ac:dyDescent="0.3"/>
    <row r="238" ht="15.6" customHeight="1" x14ac:dyDescent="0.3"/>
    <row r="239" ht="15.6" customHeight="1" x14ac:dyDescent="0.3"/>
    <row r="240" ht="15.6" customHeight="1" x14ac:dyDescent="0.3"/>
    <row r="241" ht="15.6" customHeight="1" x14ac:dyDescent="0.3"/>
    <row r="242" ht="15.6" customHeight="1" x14ac:dyDescent="0.3"/>
    <row r="243" ht="15.6" customHeight="1" x14ac:dyDescent="0.3"/>
    <row r="244" ht="15.6" customHeight="1" x14ac:dyDescent="0.3"/>
    <row r="245" ht="15.6" customHeight="1" x14ac:dyDescent="0.3"/>
    <row r="246" ht="15.6" customHeight="1" x14ac:dyDescent="0.3"/>
    <row r="247" ht="15.6" customHeight="1" x14ac:dyDescent="0.3"/>
    <row r="248" ht="15.6" customHeight="1" x14ac:dyDescent="0.3"/>
    <row r="249" ht="15.6" customHeight="1" x14ac:dyDescent="0.3"/>
    <row r="250" ht="15.6" customHeight="1" x14ac:dyDescent="0.3"/>
    <row r="251" ht="15.6" customHeight="1" x14ac:dyDescent="0.3"/>
    <row r="252" ht="15.6" customHeight="1" x14ac:dyDescent="0.3"/>
    <row r="253" ht="15.6" customHeight="1" x14ac:dyDescent="0.3"/>
    <row r="254" ht="15.6" customHeight="1" x14ac:dyDescent="0.3"/>
    <row r="255" ht="15.6" customHeight="1" x14ac:dyDescent="0.3"/>
    <row r="256" ht="15.6" customHeight="1" x14ac:dyDescent="0.3"/>
    <row r="257" ht="15.6" customHeight="1" x14ac:dyDescent="0.3"/>
    <row r="258" ht="15.6" customHeight="1" x14ac:dyDescent="0.3"/>
    <row r="259" ht="15.6" customHeight="1" x14ac:dyDescent="0.3"/>
    <row r="260" ht="15.6" customHeight="1" x14ac:dyDescent="0.3"/>
    <row r="261" ht="15.6" customHeight="1" x14ac:dyDescent="0.3"/>
    <row r="262" ht="15.6" customHeight="1" x14ac:dyDescent="0.3"/>
    <row r="263" ht="21" customHeight="1" x14ac:dyDescent="0.3"/>
  </sheetData>
  <mergeCells count="10">
    <mergeCell ref="V10:X10"/>
    <mergeCell ref="T1:U1"/>
    <mergeCell ref="G10:I10"/>
    <mergeCell ref="J10:U10"/>
    <mergeCell ref="I1:K1"/>
    <mergeCell ref="I3:K3"/>
    <mergeCell ref="G3:H3"/>
    <mergeCell ref="M3:N3"/>
    <mergeCell ref="M1:N1"/>
    <mergeCell ref="T6:U6"/>
  </mergeCells>
  <phoneticPr fontId="22" type="noConversion"/>
  <conditionalFormatting sqref="G13:X38">
    <cfRule type="cellIs" dxfId="52" priority="3" stopIfTrue="1" operator="equal">
      <formula>""</formula>
    </cfRule>
    <cfRule type="cellIs" dxfId="51" priority="4" stopIfTrue="1" operator="equal">
      <formula>"I"</formula>
    </cfRule>
    <cfRule type="cellIs" dxfId="50" priority="5" stopIfTrue="1" operator="equal">
      <formula>"C"</formula>
    </cfRule>
    <cfRule type="cellIs" dxfId="49" priority="6" stopIfTrue="1" operator="equal">
      <formula>"A"</formula>
    </cfRule>
    <cfRule type="cellIs" dxfId="48" priority="7" stopIfTrue="1" operator="equal">
      <formula>"R"</formula>
    </cfRule>
    <cfRule type="cellIs" dxfId="47" priority="8" stopIfTrue="1" operator="notEqual">
      <formula>""""""</formula>
    </cfRule>
  </conditionalFormatting>
  <conditionalFormatting sqref="B13:X38">
    <cfRule type="expression" dxfId="46" priority="2">
      <formula>$D13="X"</formula>
    </cfRule>
  </conditionalFormatting>
  <dataValidations count="1">
    <dataValidation allowBlank="1" sqref="K13:X38" xr:uid="{81315F7E-227E-4E10-B113-608F67908C58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change_langue">
                <anchor moveWithCells="1">
                  <from>
                    <xdr:col>21</xdr:col>
                    <xdr:colOff>30480</xdr:colOff>
                    <xdr:row>5</xdr:row>
                    <xdr:rowOff>76200</xdr:rowOff>
                  </from>
                  <to>
                    <xdr:col>23</xdr:col>
                    <xdr:colOff>388620</xdr:colOff>
                    <xdr:row>5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25F92-F1ED-4954-81FA-1E4FF15A695E}">
  <sheetPr codeName="ShLangue"/>
  <dimension ref="A1:F183"/>
  <sheetViews>
    <sheetView showGridLines="0" topLeftCell="A54" workbookViewId="0">
      <selection activeCell="B68" sqref="B68"/>
    </sheetView>
  </sheetViews>
  <sheetFormatPr defaultColWidth="9.109375" defaultRowHeight="14.4" x14ac:dyDescent="0.3"/>
  <cols>
    <col min="1" max="1" width="47.5546875" customWidth="1"/>
    <col min="2" max="2" width="57.33203125" bestFit="1" customWidth="1"/>
    <col min="6" max="6" width="15" customWidth="1"/>
  </cols>
  <sheetData>
    <row r="1" spans="1:6" x14ac:dyDescent="0.3">
      <c r="A1" s="60" t="s">
        <v>127</v>
      </c>
      <c r="B1" s="60" t="s">
        <v>128</v>
      </c>
      <c r="F1" t="s">
        <v>129</v>
      </c>
    </row>
    <row r="2" spans="1:6" x14ac:dyDescent="0.3">
      <c r="A2" s="61" t="s">
        <v>7</v>
      </c>
      <c r="B2" s="62" t="s">
        <v>7</v>
      </c>
      <c r="F2" t="s">
        <v>128</v>
      </c>
    </row>
    <row r="3" spans="1:6" x14ac:dyDescent="0.3">
      <c r="A3" s="61" t="s">
        <v>18</v>
      </c>
      <c r="B3" s="62" t="s">
        <v>192</v>
      </c>
      <c r="F3" t="s">
        <v>127</v>
      </c>
    </row>
    <row r="4" spans="1:6" x14ac:dyDescent="0.3">
      <c r="A4" s="61" t="s">
        <v>16</v>
      </c>
      <c r="B4" s="62" t="s">
        <v>16</v>
      </c>
    </row>
    <row r="5" spans="1:6" x14ac:dyDescent="0.3">
      <c r="A5" s="61" t="s">
        <v>19</v>
      </c>
      <c r="B5" s="62" t="s">
        <v>145</v>
      </c>
    </row>
    <row r="6" spans="1:6" x14ac:dyDescent="0.3">
      <c r="A6" s="61" t="s">
        <v>20</v>
      </c>
      <c r="B6" s="62" t="s">
        <v>146</v>
      </c>
    </row>
    <row r="7" spans="1:6" x14ac:dyDescent="0.3">
      <c r="A7" s="61" t="s">
        <v>21</v>
      </c>
      <c r="B7" s="62" t="s">
        <v>140</v>
      </c>
    </row>
    <row r="8" spans="1:6" x14ac:dyDescent="0.3">
      <c r="A8" s="61" t="s">
        <v>22</v>
      </c>
      <c r="B8" s="62" t="s">
        <v>147</v>
      </c>
    </row>
    <row r="9" spans="1:6" x14ac:dyDescent="0.3">
      <c r="A9" s="61" t="s">
        <v>23</v>
      </c>
      <c r="B9" s="62" t="s">
        <v>148</v>
      </c>
    </row>
    <row r="10" spans="1:6" x14ac:dyDescent="0.3">
      <c r="A10" s="61" t="s">
        <v>24</v>
      </c>
      <c r="B10" s="62" t="s">
        <v>149</v>
      </c>
    </row>
    <row r="11" spans="1:6" x14ac:dyDescent="0.3">
      <c r="A11" s="61" t="s">
        <v>25</v>
      </c>
      <c r="B11" s="62" t="s">
        <v>150</v>
      </c>
    </row>
    <row r="12" spans="1:6" x14ac:dyDescent="0.3">
      <c r="A12" s="61" t="s">
        <v>26</v>
      </c>
      <c r="B12" s="62" t="s">
        <v>151</v>
      </c>
    </row>
    <row r="13" spans="1:6" x14ac:dyDescent="0.3">
      <c r="A13" s="61" t="s">
        <v>27</v>
      </c>
      <c r="B13" s="62" t="s">
        <v>152</v>
      </c>
    </row>
    <row r="14" spans="1:6" x14ac:dyDescent="0.3">
      <c r="A14" s="61" t="s">
        <v>28</v>
      </c>
      <c r="B14" s="62" t="s">
        <v>153</v>
      </c>
    </row>
    <row r="15" spans="1:6" x14ac:dyDescent="0.3">
      <c r="A15" s="61" t="s">
        <v>29</v>
      </c>
      <c r="B15" s="62" t="s">
        <v>154</v>
      </c>
    </row>
    <row r="16" spans="1:6" x14ac:dyDescent="0.3">
      <c r="A16" s="61" t="s">
        <v>30</v>
      </c>
      <c r="B16" s="62" t="s">
        <v>155</v>
      </c>
    </row>
    <row r="17" spans="1:2" x14ac:dyDescent="0.3">
      <c r="A17" s="61" t="s">
        <v>31</v>
      </c>
      <c r="B17" s="62" t="s">
        <v>156</v>
      </c>
    </row>
    <row r="18" spans="1:2" x14ac:dyDescent="0.3">
      <c r="A18" s="61" t="s">
        <v>32</v>
      </c>
      <c r="B18" s="62" t="s">
        <v>157</v>
      </c>
    </row>
    <row r="19" spans="1:2" x14ac:dyDescent="0.3">
      <c r="A19" s="61" t="s">
        <v>33</v>
      </c>
      <c r="B19" s="62" t="s">
        <v>158</v>
      </c>
    </row>
    <row r="20" spans="1:2" x14ac:dyDescent="0.3">
      <c r="A20" s="61" t="s">
        <v>34</v>
      </c>
      <c r="B20" s="62" t="s">
        <v>159</v>
      </c>
    </row>
    <row r="21" spans="1:2" x14ac:dyDescent="0.3">
      <c r="A21" s="61" t="s">
        <v>35</v>
      </c>
      <c r="B21" s="62" t="s">
        <v>160</v>
      </c>
    </row>
    <row r="22" spans="1:2" x14ac:dyDescent="0.3">
      <c r="A22" s="61" t="s">
        <v>81</v>
      </c>
      <c r="B22" s="62" t="s">
        <v>161</v>
      </c>
    </row>
    <row r="23" spans="1:2" x14ac:dyDescent="0.3">
      <c r="A23" s="61" t="s">
        <v>82</v>
      </c>
      <c r="B23" s="62" t="s">
        <v>162</v>
      </c>
    </row>
    <row r="24" spans="1:2" x14ac:dyDescent="0.3">
      <c r="A24" s="61" t="s">
        <v>83</v>
      </c>
      <c r="B24" s="62" t="s">
        <v>163</v>
      </c>
    </row>
    <row r="25" spans="1:2" x14ac:dyDescent="0.3">
      <c r="A25" s="61" t="s">
        <v>126</v>
      </c>
      <c r="B25" s="62" t="s">
        <v>126</v>
      </c>
    </row>
    <row r="26" spans="1:2" x14ac:dyDescent="0.3">
      <c r="A26" s="61" t="s">
        <v>0</v>
      </c>
      <c r="B26" s="62" t="s">
        <v>142</v>
      </c>
    </row>
    <row r="27" spans="1:2" x14ac:dyDescent="0.3">
      <c r="A27" s="61" t="s">
        <v>1</v>
      </c>
      <c r="B27" s="62" t="s">
        <v>143</v>
      </c>
    </row>
    <row r="28" spans="1:2" x14ac:dyDescent="0.3">
      <c r="A28" s="61" t="s">
        <v>2</v>
      </c>
      <c r="B28" s="62" t="s">
        <v>144</v>
      </c>
    </row>
    <row r="29" spans="1:2" x14ac:dyDescent="0.3">
      <c r="A29" s="61" t="s">
        <v>13</v>
      </c>
      <c r="B29" s="62" t="s">
        <v>140</v>
      </c>
    </row>
    <row r="30" spans="1:2" x14ac:dyDescent="0.3">
      <c r="A30" s="61" t="s">
        <v>14</v>
      </c>
      <c r="B30" s="62" t="s">
        <v>141</v>
      </c>
    </row>
    <row r="31" spans="1:2" x14ac:dyDescent="0.3">
      <c r="A31" s="61" t="s">
        <v>4</v>
      </c>
      <c r="B31" s="62" t="s">
        <v>138</v>
      </c>
    </row>
    <row r="32" spans="1:2" x14ac:dyDescent="0.3">
      <c r="A32" s="61" t="s">
        <v>5</v>
      </c>
      <c r="B32" s="62" t="s">
        <v>139</v>
      </c>
    </row>
    <row r="33" spans="1:2" x14ac:dyDescent="0.3">
      <c r="A33" s="61" t="s">
        <v>36</v>
      </c>
      <c r="B33" s="62" t="s">
        <v>36</v>
      </c>
    </row>
    <row r="34" spans="1:2" x14ac:dyDescent="0.3">
      <c r="A34" s="61" t="s">
        <v>37</v>
      </c>
      <c r="B34" s="62" t="s">
        <v>164</v>
      </c>
    </row>
    <row r="35" spans="1:2" x14ac:dyDescent="0.3">
      <c r="A35" s="61" t="s">
        <v>42</v>
      </c>
      <c r="B35" s="62" t="s">
        <v>165</v>
      </c>
    </row>
    <row r="36" spans="1:2" x14ac:dyDescent="0.3">
      <c r="A36" s="61" t="s">
        <v>43</v>
      </c>
      <c r="B36" s="62" t="s">
        <v>166</v>
      </c>
    </row>
    <row r="37" spans="1:2" x14ac:dyDescent="0.3">
      <c r="A37" s="63" t="s">
        <v>44</v>
      </c>
      <c r="B37" s="64" t="s">
        <v>167</v>
      </c>
    </row>
    <row r="38" spans="1:2" x14ac:dyDescent="0.3">
      <c r="A38" s="63" t="s">
        <v>45</v>
      </c>
      <c r="B38" s="64" t="s">
        <v>168</v>
      </c>
    </row>
    <row r="39" spans="1:2" x14ac:dyDescent="0.3">
      <c r="A39" s="63" t="s">
        <v>46</v>
      </c>
      <c r="B39" s="64" t="s">
        <v>169</v>
      </c>
    </row>
    <row r="40" spans="1:2" x14ac:dyDescent="0.3">
      <c r="A40" s="63" t="s">
        <v>47</v>
      </c>
      <c r="B40" s="64" t="s">
        <v>170</v>
      </c>
    </row>
    <row r="41" spans="1:2" x14ac:dyDescent="0.3">
      <c r="A41" s="63" t="s">
        <v>48</v>
      </c>
      <c r="B41" s="64" t="s">
        <v>171</v>
      </c>
    </row>
    <row r="42" spans="1:2" x14ac:dyDescent="0.3">
      <c r="A42" s="63" t="s">
        <v>49</v>
      </c>
      <c r="B42" s="64" t="s">
        <v>172</v>
      </c>
    </row>
    <row r="43" spans="1:2" x14ac:dyDescent="0.3">
      <c r="A43" s="63" t="s">
        <v>50</v>
      </c>
      <c r="B43" s="64" t="s">
        <v>173</v>
      </c>
    </row>
    <row r="44" spans="1:2" x14ac:dyDescent="0.3">
      <c r="A44" s="63" t="s">
        <v>51</v>
      </c>
      <c r="B44" s="64" t="s">
        <v>174</v>
      </c>
    </row>
    <row r="45" spans="1:2" x14ac:dyDescent="0.3">
      <c r="A45" s="63" t="s">
        <v>52</v>
      </c>
      <c r="B45" s="64" t="s">
        <v>175</v>
      </c>
    </row>
    <row r="46" spans="1:2" x14ac:dyDescent="0.3">
      <c r="A46" s="63" t="s">
        <v>53</v>
      </c>
      <c r="B46" s="64" t="s">
        <v>176</v>
      </c>
    </row>
    <row r="47" spans="1:2" x14ac:dyDescent="0.3">
      <c r="A47" s="63" t="s">
        <v>54</v>
      </c>
      <c r="B47" s="64" t="s">
        <v>177</v>
      </c>
    </row>
    <row r="48" spans="1:2" x14ac:dyDescent="0.3">
      <c r="A48" s="63" t="s">
        <v>55</v>
      </c>
      <c r="B48" s="64" t="s">
        <v>178</v>
      </c>
    </row>
    <row r="49" spans="1:2" x14ac:dyDescent="0.3">
      <c r="A49" s="63" t="s">
        <v>56</v>
      </c>
      <c r="B49" s="64" t="s">
        <v>179</v>
      </c>
    </row>
    <row r="50" spans="1:2" x14ac:dyDescent="0.3">
      <c r="A50" s="63" t="s">
        <v>57</v>
      </c>
      <c r="B50" s="64" t="s">
        <v>180</v>
      </c>
    </row>
    <row r="51" spans="1:2" x14ac:dyDescent="0.3">
      <c r="A51" s="63" t="s">
        <v>58</v>
      </c>
      <c r="B51" s="64" t="s">
        <v>181</v>
      </c>
    </row>
    <row r="52" spans="1:2" x14ac:dyDescent="0.3">
      <c r="A52" s="63" t="s">
        <v>59</v>
      </c>
      <c r="B52" s="64" t="s">
        <v>182</v>
      </c>
    </row>
    <row r="53" spans="1:2" x14ac:dyDescent="0.3">
      <c r="A53" s="63" t="s">
        <v>60</v>
      </c>
      <c r="B53" s="64" t="s">
        <v>183</v>
      </c>
    </row>
    <row r="54" spans="1:2" x14ac:dyDescent="0.3">
      <c r="A54" s="63" t="s">
        <v>61</v>
      </c>
      <c r="B54" s="64" t="s">
        <v>184</v>
      </c>
    </row>
    <row r="55" spans="1:2" x14ac:dyDescent="0.3">
      <c r="A55" s="63" t="s">
        <v>62</v>
      </c>
      <c r="B55" s="64" t="s">
        <v>130</v>
      </c>
    </row>
    <row r="56" spans="1:2" x14ac:dyDescent="0.3">
      <c r="A56" s="63" t="s">
        <v>63</v>
      </c>
      <c r="B56" s="64" t="s">
        <v>185</v>
      </c>
    </row>
    <row r="57" spans="1:2" x14ac:dyDescent="0.3">
      <c r="A57" s="63" t="s">
        <v>17</v>
      </c>
      <c r="B57" s="64" t="s">
        <v>186</v>
      </c>
    </row>
    <row r="58" spans="1:2" x14ac:dyDescent="0.3">
      <c r="A58" s="63" t="s">
        <v>64</v>
      </c>
      <c r="B58" s="64" t="s">
        <v>131</v>
      </c>
    </row>
    <row r="59" spans="1:2" x14ac:dyDescent="0.3">
      <c r="A59" s="63" t="s">
        <v>85</v>
      </c>
      <c r="B59" s="64" t="s">
        <v>187</v>
      </c>
    </row>
    <row r="60" spans="1:2" x14ac:dyDescent="0.3">
      <c r="A60" s="63" t="s">
        <v>132</v>
      </c>
      <c r="B60" s="64" t="s">
        <v>133</v>
      </c>
    </row>
    <row r="61" spans="1:2" x14ac:dyDescent="0.3">
      <c r="A61" s="63" t="s">
        <v>134</v>
      </c>
      <c r="B61" s="64" t="s">
        <v>135</v>
      </c>
    </row>
    <row r="62" spans="1:2" x14ac:dyDescent="0.3">
      <c r="A62" s="63" t="s">
        <v>136</v>
      </c>
      <c r="B62" s="64" t="s">
        <v>137</v>
      </c>
    </row>
    <row r="63" spans="1:2" x14ac:dyDescent="0.3">
      <c r="A63" s="63" t="s">
        <v>67</v>
      </c>
      <c r="B63" s="64" t="s">
        <v>188</v>
      </c>
    </row>
    <row r="64" spans="1:2" x14ac:dyDescent="0.3">
      <c r="A64" s="63" t="s">
        <v>68</v>
      </c>
      <c r="B64" s="64" t="s">
        <v>193</v>
      </c>
    </row>
    <row r="65" spans="1:2" x14ac:dyDescent="0.3">
      <c r="A65" s="63" t="s">
        <v>69</v>
      </c>
      <c r="B65" s="64" t="s">
        <v>189</v>
      </c>
    </row>
    <row r="66" spans="1:2" x14ac:dyDescent="0.3">
      <c r="A66" s="63" t="s">
        <v>70</v>
      </c>
      <c r="B66" s="64" t="s">
        <v>190</v>
      </c>
    </row>
    <row r="67" spans="1:2" x14ac:dyDescent="0.3">
      <c r="A67" s="63" t="s">
        <v>8</v>
      </c>
      <c r="B67" s="64" t="s">
        <v>194</v>
      </c>
    </row>
    <row r="68" spans="1:2" x14ac:dyDescent="0.3">
      <c r="A68" s="61"/>
      <c r="B68" s="65"/>
    </row>
    <row r="69" spans="1:2" x14ac:dyDescent="0.3">
      <c r="A69" s="61"/>
      <c r="B69" s="65"/>
    </row>
    <row r="70" spans="1:2" x14ac:dyDescent="0.3">
      <c r="A70" s="61"/>
      <c r="B70" s="65"/>
    </row>
    <row r="71" spans="1:2" x14ac:dyDescent="0.3">
      <c r="A71" s="61"/>
      <c r="B71" s="65"/>
    </row>
    <row r="72" spans="1:2" x14ac:dyDescent="0.3">
      <c r="A72" s="61"/>
      <c r="B72" s="65"/>
    </row>
    <row r="73" spans="1:2" x14ac:dyDescent="0.3">
      <c r="A73" s="61"/>
      <c r="B73" s="65"/>
    </row>
    <row r="74" spans="1:2" x14ac:dyDescent="0.3">
      <c r="A74" s="61"/>
      <c r="B74" s="65"/>
    </row>
    <row r="75" spans="1:2" x14ac:dyDescent="0.3">
      <c r="A75" s="61"/>
      <c r="B75" s="65"/>
    </row>
    <row r="76" spans="1:2" x14ac:dyDescent="0.3">
      <c r="A76" s="61"/>
      <c r="B76" s="65"/>
    </row>
    <row r="77" spans="1:2" x14ac:dyDescent="0.3">
      <c r="A77" s="61"/>
      <c r="B77" s="65"/>
    </row>
    <row r="78" spans="1:2" x14ac:dyDescent="0.3">
      <c r="A78" s="61"/>
      <c r="B78" s="65"/>
    </row>
    <row r="79" spans="1:2" x14ac:dyDescent="0.3">
      <c r="A79" s="61"/>
      <c r="B79" s="65"/>
    </row>
    <row r="80" spans="1:2" x14ac:dyDescent="0.3">
      <c r="A80" s="61"/>
      <c r="B80" s="65"/>
    </row>
    <row r="81" spans="1:2" x14ac:dyDescent="0.3">
      <c r="A81" s="61"/>
      <c r="B81" s="65"/>
    </row>
    <row r="82" spans="1:2" x14ac:dyDescent="0.3">
      <c r="A82" s="61"/>
      <c r="B82" s="65"/>
    </row>
    <row r="83" spans="1:2" x14ac:dyDescent="0.3">
      <c r="A83" s="61"/>
      <c r="B83" s="65"/>
    </row>
    <row r="84" spans="1:2" x14ac:dyDescent="0.3">
      <c r="A84" s="61"/>
      <c r="B84" s="65"/>
    </row>
    <row r="85" spans="1:2" x14ac:dyDescent="0.3">
      <c r="A85" s="61"/>
      <c r="B85" s="66"/>
    </row>
    <row r="86" spans="1:2" x14ac:dyDescent="0.3">
      <c r="A86" s="61"/>
      <c r="B86" s="66"/>
    </row>
    <row r="87" spans="1:2" x14ac:dyDescent="0.3">
      <c r="A87" s="61"/>
      <c r="B87" s="66"/>
    </row>
    <row r="88" spans="1:2" x14ac:dyDescent="0.3">
      <c r="A88" s="61"/>
      <c r="B88" s="66"/>
    </row>
    <row r="89" spans="1:2" x14ac:dyDescent="0.3">
      <c r="A89" s="67"/>
      <c r="B89" s="66"/>
    </row>
    <row r="90" spans="1:2" x14ac:dyDescent="0.3">
      <c r="A90" s="61"/>
      <c r="B90" s="66"/>
    </row>
    <row r="91" spans="1:2" x14ac:dyDescent="0.3">
      <c r="A91" s="61"/>
      <c r="B91" s="66"/>
    </row>
    <row r="92" spans="1:2" x14ac:dyDescent="0.3">
      <c r="A92" s="61"/>
      <c r="B92" s="66"/>
    </row>
    <row r="93" spans="1:2" x14ac:dyDescent="0.3">
      <c r="A93" s="61"/>
      <c r="B93" s="66"/>
    </row>
    <row r="94" spans="1:2" x14ac:dyDescent="0.3">
      <c r="A94" s="61"/>
      <c r="B94" s="66"/>
    </row>
    <row r="95" spans="1:2" x14ac:dyDescent="0.3">
      <c r="A95" s="61"/>
      <c r="B95" s="66"/>
    </row>
    <row r="96" spans="1:2" x14ac:dyDescent="0.3">
      <c r="A96" s="61"/>
      <c r="B96" s="66"/>
    </row>
    <row r="97" spans="1:2" x14ac:dyDescent="0.3">
      <c r="A97" s="61"/>
      <c r="B97" s="66"/>
    </row>
    <row r="98" spans="1:2" x14ac:dyDescent="0.3">
      <c r="A98" s="61"/>
      <c r="B98" s="66"/>
    </row>
    <row r="99" spans="1:2" x14ac:dyDescent="0.3">
      <c r="A99" s="61"/>
      <c r="B99" s="66"/>
    </row>
    <row r="100" spans="1:2" x14ac:dyDescent="0.3">
      <c r="A100" s="61"/>
      <c r="B100" s="66"/>
    </row>
    <row r="101" spans="1:2" x14ac:dyDescent="0.3">
      <c r="A101" s="61"/>
      <c r="B101" s="66"/>
    </row>
    <row r="102" spans="1:2" x14ac:dyDescent="0.3">
      <c r="A102" s="61"/>
      <c r="B102" s="66"/>
    </row>
    <row r="103" spans="1:2" x14ac:dyDescent="0.3">
      <c r="A103" s="61"/>
      <c r="B103" s="66"/>
    </row>
    <row r="104" spans="1:2" x14ac:dyDescent="0.3">
      <c r="A104" s="61"/>
      <c r="B104" s="66"/>
    </row>
    <row r="105" spans="1:2" x14ac:dyDescent="0.3">
      <c r="A105" s="61"/>
      <c r="B105" s="66"/>
    </row>
    <row r="106" spans="1:2" x14ac:dyDescent="0.3">
      <c r="A106" s="61"/>
      <c r="B106" s="66"/>
    </row>
    <row r="107" spans="1:2" x14ac:dyDescent="0.3">
      <c r="A107" s="61"/>
      <c r="B107" s="66"/>
    </row>
    <row r="108" spans="1:2" x14ac:dyDescent="0.3">
      <c r="A108" s="66"/>
      <c r="B108" s="66"/>
    </row>
    <row r="109" spans="1:2" x14ac:dyDescent="0.3">
      <c r="A109" s="66"/>
      <c r="B109" s="66"/>
    </row>
    <row r="110" spans="1:2" x14ac:dyDescent="0.3">
      <c r="A110" s="66"/>
      <c r="B110" s="66"/>
    </row>
    <row r="111" spans="1:2" x14ac:dyDescent="0.3">
      <c r="A111" s="66"/>
      <c r="B111" s="66"/>
    </row>
    <row r="112" spans="1:2" x14ac:dyDescent="0.3">
      <c r="A112" s="66"/>
      <c r="B112" s="66"/>
    </row>
    <row r="113" spans="1:2" x14ac:dyDescent="0.3">
      <c r="A113" s="66"/>
      <c r="B113" s="66"/>
    </row>
    <row r="114" spans="1:2" x14ac:dyDescent="0.3">
      <c r="A114" s="66"/>
      <c r="B114" s="66"/>
    </row>
    <row r="115" spans="1:2" x14ac:dyDescent="0.3">
      <c r="A115" s="66"/>
      <c r="B115" s="66"/>
    </row>
    <row r="116" spans="1:2" x14ac:dyDescent="0.3">
      <c r="A116" s="66"/>
      <c r="B116" s="66"/>
    </row>
    <row r="117" spans="1:2" x14ac:dyDescent="0.3">
      <c r="A117" s="66"/>
      <c r="B117" s="66"/>
    </row>
    <row r="118" spans="1:2" x14ac:dyDescent="0.3">
      <c r="A118" s="66"/>
      <c r="B118" s="66"/>
    </row>
    <row r="119" spans="1:2" x14ac:dyDescent="0.3">
      <c r="A119" s="66"/>
      <c r="B119" s="66"/>
    </row>
    <row r="120" spans="1:2" x14ac:dyDescent="0.3">
      <c r="A120" s="66"/>
      <c r="B120" s="66"/>
    </row>
    <row r="121" spans="1:2" x14ac:dyDescent="0.3">
      <c r="A121" s="66"/>
      <c r="B121" s="66"/>
    </row>
    <row r="122" spans="1:2" x14ac:dyDescent="0.3">
      <c r="A122" s="66"/>
      <c r="B122" s="66"/>
    </row>
    <row r="123" spans="1:2" x14ac:dyDescent="0.3">
      <c r="A123" s="66"/>
      <c r="B123" s="66"/>
    </row>
    <row r="124" spans="1:2" x14ac:dyDescent="0.3">
      <c r="A124" s="66"/>
      <c r="B124" s="66"/>
    </row>
    <row r="125" spans="1:2" x14ac:dyDescent="0.3">
      <c r="A125" s="66"/>
      <c r="B125" s="66"/>
    </row>
    <row r="126" spans="1:2" x14ac:dyDescent="0.3">
      <c r="A126" s="66"/>
      <c r="B126" s="66"/>
    </row>
    <row r="127" spans="1:2" x14ac:dyDescent="0.3">
      <c r="A127" s="66"/>
      <c r="B127" s="66"/>
    </row>
    <row r="128" spans="1:2" x14ac:dyDescent="0.3">
      <c r="A128" s="66"/>
      <c r="B128" s="66"/>
    </row>
    <row r="129" spans="1:2" x14ac:dyDescent="0.3">
      <c r="A129" s="66"/>
      <c r="B129" s="66"/>
    </row>
    <row r="130" spans="1:2" x14ac:dyDescent="0.3">
      <c r="A130" s="66"/>
      <c r="B130" s="66"/>
    </row>
    <row r="131" spans="1:2" x14ac:dyDescent="0.3">
      <c r="A131" s="66"/>
      <c r="B131" s="66"/>
    </row>
    <row r="132" spans="1:2" x14ac:dyDescent="0.3">
      <c r="A132" s="66"/>
      <c r="B132" s="66"/>
    </row>
    <row r="133" spans="1:2" x14ac:dyDescent="0.3">
      <c r="A133" s="66"/>
      <c r="B133" s="66"/>
    </row>
    <row r="134" spans="1:2" x14ac:dyDescent="0.3">
      <c r="A134" s="66"/>
      <c r="B134" s="66"/>
    </row>
    <row r="135" spans="1:2" x14ac:dyDescent="0.3">
      <c r="A135" s="66"/>
      <c r="B135" s="66"/>
    </row>
    <row r="136" spans="1:2" x14ac:dyDescent="0.3">
      <c r="A136" s="66"/>
      <c r="B136" s="66"/>
    </row>
    <row r="137" spans="1:2" x14ac:dyDescent="0.3">
      <c r="A137" s="66"/>
      <c r="B137" s="66"/>
    </row>
    <row r="138" spans="1:2" x14ac:dyDescent="0.3">
      <c r="A138" s="66"/>
      <c r="B138" s="66"/>
    </row>
    <row r="139" spans="1:2" x14ac:dyDescent="0.3">
      <c r="A139" s="66"/>
      <c r="B139" s="66"/>
    </row>
    <row r="140" spans="1:2" x14ac:dyDescent="0.3">
      <c r="A140" s="66"/>
      <c r="B140" s="66"/>
    </row>
    <row r="141" spans="1:2" x14ac:dyDescent="0.3">
      <c r="A141" s="66"/>
      <c r="B141" s="66"/>
    </row>
    <row r="142" spans="1:2" x14ac:dyDescent="0.3">
      <c r="A142" s="66"/>
      <c r="B142" s="66"/>
    </row>
    <row r="143" spans="1:2" x14ac:dyDescent="0.3">
      <c r="A143" s="66"/>
      <c r="B143" s="66"/>
    </row>
    <row r="144" spans="1:2" x14ac:dyDescent="0.3">
      <c r="A144" s="66"/>
      <c r="B144" s="66"/>
    </row>
    <row r="145" spans="1:2" x14ac:dyDescent="0.3">
      <c r="A145" s="66"/>
      <c r="B145" s="66"/>
    </row>
    <row r="146" spans="1:2" x14ac:dyDescent="0.3">
      <c r="A146" s="66"/>
      <c r="B146" s="66"/>
    </row>
    <row r="147" spans="1:2" x14ac:dyDescent="0.3">
      <c r="A147" s="66"/>
      <c r="B147" s="66"/>
    </row>
    <row r="148" spans="1:2" x14ac:dyDescent="0.3">
      <c r="A148" s="66"/>
      <c r="B148" s="66"/>
    </row>
    <row r="149" spans="1:2" x14ac:dyDescent="0.3">
      <c r="A149" s="66"/>
      <c r="B149" s="66"/>
    </row>
    <row r="150" spans="1:2" x14ac:dyDescent="0.3">
      <c r="A150" s="66"/>
      <c r="B150" s="66"/>
    </row>
    <row r="151" spans="1:2" x14ac:dyDescent="0.3">
      <c r="A151" s="66"/>
      <c r="B151" s="66"/>
    </row>
    <row r="152" spans="1:2" x14ac:dyDescent="0.3">
      <c r="A152" s="66"/>
      <c r="B152" s="66"/>
    </row>
    <row r="153" spans="1:2" x14ac:dyDescent="0.3">
      <c r="A153" s="66"/>
      <c r="B153" s="66"/>
    </row>
    <row r="154" spans="1:2" x14ac:dyDescent="0.3">
      <c r="A154" s="66"/>
      <c r="B154" s="66"/>
    </row>
    <row r="155" spans="1:2" x14ac:dyDescent="0.3">
      <c r="A155" s="66"/>
      <c r="B155" s="66"/>
    </row>
    <row r="156" spans="1:2" x14ac:dyDescent="0.3">
      <c r="A156" s="66"/>
      <c r="B156" s="66"/>
    </row>
    <row r="157" spans="1:2" x14ac:dyDescent="0.3">
      <c r="A157" s="66"/>
      <c r="B157" s="66"/>
    </row>
    <row r="158" spans="1:2" x14ac:dyDescent="0.3">
      <c r="A158" s="66"/>
      <c r="B158" s="66"/>
    </row>
    <row r="159" spans="1:2" x14ac:dyDescent="0.3">
      <c r="A159" s="66"/>
      <c r="B159" s="66"/>
    </row>
    <row r="160" spans="1:2" x14ac:dyDescent="0.3">
      <c r="A160" s="66"/>
      <c r="B160" s="66"/>
    </row>
    <row r="161" spans="1:2" x14ac:dyDescent="0.3">
      <c r="A161" s="66"/>
      <c r="B161" s="66"/>
    </row>
    <row r="162" spans="1:2" x14ac:dyDescent="0.3">
      <c r="A162" s="66"/>
      <c r="B162" s="66"/>
    </row>
    <row r="163" spans="1:2" x14ac:dyDescent="0.3">
      <c r="A163" s="66"/>
      <c r="B163" s="66"/>
    </row>
    <row r="164" spans="1:2" x14ac:dyDescent="0.3">
      <c r="A164" s="66"/>
      <c r="B164" s="66"/>
    </row>
    <row r="165" spans="1:2" x14ac:dyDescent="0.3">
      <c r="A165" s="66"/>
      <c r="B165" s="66"/>
    </row>
    <row r="166" spans="1:2" x14ac:dyDescent="0.3">
      <c r="A166" s="66"/>
      <c r="B166" s="66"/>
    </row>
    <row r="167" spans="1:2" x14ac:dyDescent="0.3">
      <c r="A167" s="66"/>
      <c r="B167" s="66"/>
    </row>
    <row r="168" spans="1:2" x14ac:dyDescent="0.3">
      <c r="A168" s="66"/>
      <c r="B168" s="66"/>
    </row>
    <row r="169" spans="1:2" x14ac:dyDescent="0.3">
      <c r="A169" s="66"/>
      <c r="B169" s="66"/>
    </row>
    <row r="170" spans="1:2" x14ac:dyDescent="0.3">
      <c r="A170" s="66"/>
      <c r="B170" s="66"/>
    </row>
    <row r="171" spans="1:2" x14ac:dyDescent="0.3">
      <c r="A171" s="66"/>
      <c r="B171" s="66"/>
    </row>
    <row r="172" spans="1:2" x14ac:dyDescent="0.3">
      <c r="A172" s="66"/>
      <c r="B172" s="66"/>
    </row>
    <row r="173" spans="1:2" x14ac:dyDescent="0.3">
      <c r="A173" s="66"/>
      <c r="B173" s="66"/>
    </row>
    <row r="174" spans="1:2" x14ac:dyDescent="0.3">
      <c r="A174" s="66"/>
      <c r="B174" s="60"/>
    </row>
    <row r="175" spans="1:2" x14ac:dyDescent="0.3">
      <c r="A175" s="66"/>
      <c r="B175" s="60"/>
    </row>
    <row r="176" spans="1:2" x14ac:dyDescent="0.3">
      <c r="A176" s="66"/>
      <c r="B176" s="60"/>
    </row>
    <row r="177" spans="1:2" x14ac:dyDescent="0.3">
      <c r="A177" s="66"/>
      <c r="B177" s="60"/>
    </row>
    <row r="178" spans="1:2" x14ac:dyDescent="0.3">
      <c r="A178" s="66"/>
      <c r="B178" s="60"/>
    </row>
    <row r="179" spans="1:2" x14ac:dyDescent="0.3">
      <c r="A179" s="66"/>
      <c r="B179" s="60"/>
    </row>
    <row r="180" spans="1:2" x14ac:dyDescent="0.3">
      <c r="A180" s="66"/>
      <c r="B180" s="60"/>
    </row>
    <row r="181" spans="1:2" x14ac:dyDescent="0.3">
      <c r="A181" s="66"/>
      <c r="B181" s="60"/>
    </row>
    <row r="182" spans="1:2" x14ac:dyDescent="0.3">
      <c r="A182" s="66"/>
      <c r="B182" s="60"/>
    </row>
    <row r="183" spans="1:2" x14ac:dyDescent="0.3">
      <c r="A183" s="66"/>
      <c r="B183" s="60"/>
    </row>
  </sheetData>
  <conditionalFormatting sqref="A130:A183">
    <cfRule type="duplicateValues" dxfId="20" priority="9"/>
  </conditionalFormatting>
  <conditionalFormatting sqref="B68:B107 B131:B183">
    <cfRule type="duplicateValues" dxfId="19" priority="10"/>
  </conditionalFormatting>
  <conditionalFormatting sqref="A68:A107">
    <cfRule type="expression" dxfId="18" priority="8" stopIfTrue="1">
      <formula>$C55&lt;&gt;""</formula>
    </cfRule>
  </conditionalFormatting>
  <conditionalFormatting sqref="A108:A111">
    <cfRule type="duplicateValues" dxfId="17" priority="6"/>
  </conditionalFormatting>
  <conditionalFormatting sqref="B108:B111">
    <cfRule type="duplicateValues" dxfId="16" priority="7"/>
  </conditionalFormatting>
  <conditionalFormatting sqref="A112:A120">
    <cfRule type="duplicateValues" dxfId="15" priority="4"/>
  </conditionalFormatting>
  <conditionalFormatting sqref="B112:B120">
    <cfRule type="duplicateValues" dxfId="14" priority="5"/>
  </conditionalFormatting>
  <conditionalFormatting sqref="A121:A129">
    <cfRule type="duplicateValues" dxfId="13" priority="2"/>
  </conditionalFormatting>
  <conditionalFormatting sqref="B121:B129">
    <cfRule type="duplicateValues" dxfId="12" priority="3"/>
  </conditionalFormatting>
  <conditionalFormatting sqref="B130">
    <cfRule type="duplicateValues" dxfId="11" priority="1"/>
  </conditionalFormatting>
  <conditionalFormatting sqref="B60:B67 B2:B33">
    <cfRule type="duplicateValues" dxfId="10" priority="12"/>
  </conditionalFormatting>
  <conditionalFormatting sqref="A33 A37:A67">
    <cfRule type="duplicateValues" dxfId="9" priority="14"/>
  </conditionalFormatting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93683-995A-4A4B-B428-99BB8342CD57}">
  <sheetPr codeName="ShSettings"/>
  <dimension ref="B1:O32"/>
  <sheetViews>
    <sheetView showGridLines="0" workbookViewId="0">
      <selection activeCell="C19" sqref="C19"/>
    </sheetView>
  </sheetViews>
  <sheetFormatPr defaultColWidth="8.88671875" defaultRowHeight="14.4" x14ac:dyDescent="0.3"/>
  <cols>
    <col min="1" max="1" width="2.88671875" customWidth="1"/>
    <col min="3" max="3" width="22.44140625" customWidth="1"/>
    <col min="4" max="4" width="13.44140625" customWidth="1"/>
    <col min="5" max="5" width="22" customWidth="1"/>
    <col min="6" max="6" width="12.33203125" customWidth="1"/>
    <col min="7" max="7" width="19.6640625" customWidth="1"/>
    <col min="8" max="8" width="11.5546875" customWidth="1"/>
    <col min="9" max="9" width="20.33203125" customWidth="1"/>
    <col min="10" max="10" width="18.88671875" customWidth="1"/>
    <col min="11" max="11" width="5.6640625" customWidth="1"/>
    <col min="12" max="12" width="18" customWidth="1"/>
    <col min="13" max="13" width="13.44140625" customWidth="1"/>
  </cols>
  <sheetData>
    <row r="1" spans="2:13" ht="19.95" customHeight="1" x14ac:dyDescent="0.3">
      <c r="E1" s="9" t="s">
        <v>4</v>
      </c>
      <c r="F1" s="88" t="s">
        <v>10</v>
      </c>
      <c r="G1" s="88"/>
      <c r="I1" s="9" t="s">
        <v>13</v>
      </c>
      <c r="J1" s="10" t="s">
        <v>12</v>
      </c>
      <c r="L1" s="1" t="s">
        <v>0</v>
      </c>
      <c r="M1" s="2">
        <v>44893</v>
      </c>
    </row>
    <row r="2" spans="2:13" ht="14.4" hidden="1" customHeight="1" x14ac:dyDescent="0.3">
      <c r="E2" s="11"/>
      <c r="F2" s="12"/>
      <c r="G2" s="12"/>
      <c r="I2" s="11"/>
      <c r="J2" s="12"/>
      <c r="L2" s="3"/>
      <c r="M2" s="4"/>
    </row>
    <row r="3" spans="2:13" ht="19.95" customHeight="1" x14ac:dyDescent="0.3">
      <c r="E3" s="9" t="s">
        <v>5</v>
      </c>
      <c r="F3" s="88" t="s">
        <v>11</v>
      </c>
      <c r="G3" s="88"/>
      <c r="I3" s="9" t="s">
        <v>14</v>
      </c>
      <c r="J3" s="10" t="s">
        <v>15</v>
      </c>
      <c r="L3" s="1" t="s">
        <v>1</v>
      </c>
      <c r="M3" s="2"/>
    </row>
    <row r="4" spans="2:13" ht="14.4" hidden="1" customHeight="1" x14ac:dyDescent="0.3">
      <c r="L4" s="3"/>
      <c r="M4" s="4"/>
    </row>
    <row r="5" spans="2:13" ht="19.95" customHeight="1" thickBot="1" x14ac:dyDescent="0.35">
      <c r="L5" s="5" t="s">
        <v>2</v>
      </c>
      <c r="M5" s="6" t="s">
        <v>3</v>
      </c>
    </row>
    <row r="6" spans="2:13" ht="28.2" customHeight="1" thickTop="1" thickBot="1" x14ac:dyDescent="0.35">
      <c r="B6" s="7"/>
      <c r="C6" s="8" t="s">
        <v>9</v>
      </c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ht="15" thickTop="1" x14ac:dyDescent="0.3"/>
    <row r="9" spans="2:13" x14ac:dyDescent="0.3">
      <c r="C9" s="16" t="s">
        <v>65</v>
      </c>
      <c r="D9" s="30" t="s">
        <v>66</v>
      </c>
    </row>
    <row r="10" spans="2:13" x14ac:dyDescent="0.3">
      <c r="C10" s="34" t="s">
        <v>72</v>
      </c>
      <c r="D10" s="37" t="s">
        <v>80</v>
      </c>
    </row>
    <row r="11" spans="2:13" x14ac:dyDescent="0.3">
      <c r="C11" s="15" t="s">
        <v>67</v>
      </c>
      <c r="D11" s="38" t="s">
        <v>38</v>
      </c>
    </row>
    <row r="12" spans="2:13" x14ac:dyDescent="0.3">
      <c r="C12" s="15" t="s">
        <v>68</v>
      </c>
      <c r="D12" s="39" t="s">
        <v>41</v>
      </c>
      <c r="J12" s="17"/>
      <c r="K12" s="17"/>
    </row>
    <row r="13" spans="2:13" x14ac:dyDescent="0.3">
      <c r="C13" s="15" t="s">
        <v>69</v>
      </c>
      <c r="D13" s="36" t="s">
        <v>40</v>
      </c>
      <c r="J13" s="18"/>
      <c r="K13" s="19"/>
      <c r="L13" s="20"/>
    </row>
    <row r="14" spans="2:13" x14ac:dyDescent="0.3">
      <c r="C14" s="15" t="s">
        <v>70</v>
      </c>
      <c r="D14" s="40" t="s">
        <v>39</v>
      </c>
      <c r="J14" s="18"/>
      <c r="K14" s="19"/>
      <c r="L14" s="18"/>
    </row>
    <row r="15" spans="2:13" x14ac:dyDescent="0.3">
      <c r="C15" s="15" t="s">
        <v>71</v>
      </c>
      <c r="D15" s="35"/>
      <c r="J15" s="18"/>
      <c r="K15" s="21"/>
      <c r="L15" s="18"/>
    </row>
    <row r="21" spans="2:15" x14ac:dyDescent="0.3">
      <c r="F21" s="25"/>
      <c r="H21" s="25"/>
    </row>
    <row r="22" spans="2:15" x14ac:dyDescent="0.3">
      <c r="H22" s="25"/>
    </row>
    <row r="24" spans="2:15" x14ac:dyDescent="0.3">
      <c r="B24" s="13"/>
      <c r="F24" s="13"/>
      <c r="J24" s="13"/>
      <c r="N24" s="13"/>
      <c r="O24" s="13"/>
    </row>
    <row r="25" spans="2:15" x14ac:dyDescent="0.3">
      <c r="B25" s="13"/>
      <c r="C25" s="22"/>
      <c r="E25" s="15"/>
      <c r="F25" s="13"/>
      <c r="I25" s="13"/>
      <c r="J25" s="13"/>
      <c r="N25" s="13"/>
      <c r="O25" s="13"/>
    </row>
    <row r="26" spans="2:15" x14ac:dyDescent="0.3">
      <c r="B26" s="13"/>
      <c r="C26" s="23"/>
      <c r="E26" s="15"/>
      <c r="F26" s="13"/>
      <c r="I26" s="13"/>
      <c r="J26" s="13"/>
      <c r="N26" s="13"/>
      <c r="O26" s="13"/>
    </row>
    <row r="27" spans="2:15" x14ac:dyDescent="0.3">
      <c r="B27" s="13"/>
      <c r="C27" s="24"/>
      <c r="E27" s="15"/>
      <c r="F27" s="13"/>
      <c r="I27" s="14"/>
      <c r="J27" s="14"/>
      <c r="K27" s="13"/>
      <c r="L27" s="13"/>
      <c r="M27" s="13"/>
      <c r="N27" s="13"/>
      <c r="O27" s="13"/>
    </row>
    <row r="28" spans="2:15" x14ac:dyDescent="0.3">
      <c r="B28" s="13"/>
      <c r="E28" s="13"/>
      <c r="F28" s="13"/>
      <c r="I28" s="13"/>
      <c r="J28" s="13"/>
      <c r="K28" s="13"/>
      <c r="L28" s="13"/>
      <c r="M28" s="13"/>
      <c r="N28" s="13"/>
      <c r="O28" s="13"/>
    </row>
    <row r="29" spans="2:15" x14ac:dyDescent="0.3">
      <c r="B29" s="13"/>
      <c r="C29" s="13"/>
      <c r="D29" s="13"/>
      <c r="F29" s="13"/>
      <c r="I29" s="13"/>
      <c r="J29" s="13"/>
      <c r="K29" s="13"/>
      <c r="L29" s="13"/>
      <c r="M29" s="13"/>
      <c r="N29" s="13"/>
      <c r="O29" s="13"/>
    </row>
    <row r="30" spans="2:15" x14ac:dyDescent="0.3">
      <c r="B30" s="13"/>
      <c r="C30" s="13"/>
      <c r="D30" s="13"/>
      <c r="F30" s="13"/>
      <c r="I30" s="13"/>
      <c r="J30" s="13"/>
      <c r="N30" s="13"/>
      <c r="O30" s="13"/>
    </row>
    <row r="31" spans="2:15" x14ac:dyDescent="0.3">
      <c r="B31" s="13"/>
      <c r="C31" s="13"/>
      <c r="D31" s="13"/>
      <c r="F31" s="13"/>
      <c r="G31" s="13"/>
      <c r="H31" s="13"/>
      <c r="I31" s="13"/>
      <c r="J31" s="13"/>
      <c r="N31" s="13"/>
      <c r="O31" s="13"/>
    </row>
    <row r="32" spans="2:15" x14ac:dyDescent="0.3">
      <c r="C32" s="13"/>
      <c r="D32" s="13"/>
    </row>
  </sheetData>
  <mergeCells count="2">
    <mergeCell ref="F3:G3"/>
    <mergeCell ref="F1:G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Matrice RACI</vt:lpstr>
      <vt:lpstr>Langue</vt:lpstr>
      <vt:lpstr>StatutFilter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BGDP</dc:creator>
  <cp:lastModifiedBy>Sara AIT TALEB</cp:lastModifiedBy>
  <dcterms:created xsi:type="dcterms:W3CDTF">2023-03-25T11:35:34Z</dcterms:created>
  <dcterms:modified xsi:type="dcterms:W3CDTF">2024-07-29T09:26:35Z</dcterms:modified>
</cp:coreProperties>
</file>
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BGDP\Kit du chef de projet\02-Initialisation\"/>
    </mc:Choice>
  </mc:AlternateContent>
  <xr:revisionPtr revIDLastSave="0" documentId="13_ncr:1_{8384DEE8-253E-4841-8516-76E9903CE3FD}" xr6:coauthVersionLast="47" xr6:coauthVersionMax="47" xr10:uidLastSave="{00000000-0000-0000-0000-000000000000}"/>
  <bookViews>
    <workbookView xWindow="-108" yWindow="-108" windowWidth="23256" windowHeight="12576" tabRatio="322" firstSheet="1" activeTab="1" xr2:uid="{E9E35B5E-CE22-48DD-9FF9-C057520BCDE5}"/>
  </bookViews>
  <sheets>
    <sheet name="Guide d'utilisation" sheetId="5" state="veryHidden" r:id="rId1"/>
    <sheet name="Macro-planing projet" sheetId="1" r:id="rId2"/>
    <sheet name="Langue" sheetId="6" state="veryHidden" r:id="rId3"/>
    <sheet name="Paramétrage" sheetId="2" state="veryHidden" r:id="rId4"/>
    <sheet name="Backend" sheetId="3" state="veryHidden" r:id="rId5"/>
  </sheets>
  <functionGroups builtInGroupCount="19"/>
  <definedNames>
    <definedName name="DaysToIncrement">Backend!$B$1</definedName>
    <definedName name="FirstMonthTheme">Paramétrage!$AN$8</definedName>
    <definedName name="GanttColor">Paramétrage!$C$10</definedName>
    <definedName name="GanttHeader">'Macro-planing projet'!$K$9:$BN$9</definedName>
    <definedName name="GanttHeaderAll">'Macro-planing projet'!$K$5:$BN$11</definedName>
    <definedName name="GanttHeaderDateWeeks">'Macro-planing projet'!$K$8:$BN$8</definedName>
    <definedName name="GanttHeaderMonthsWeeks">'Macro-planing projet'!$K$5:$BN$5</definedName>
    <definedName name="GanttHeaderYears">'Macro-planing projet'!$K$6:$BN$6</definedName>
    <definedName name="IsDaysGantt">Backend!$B$3</definedName>
    <definedName name="IsMaximize">Backend!$B$2</definedName>
    <definedName name="IsMonthsGantt">Backend!$B$5</definedName>
    <definedName name="IsProject">Paramétrage!$AG$9</definedName>
    <definedName name="IsWeeksGant">Backend!$B$4</definedName>
    <definedName name="Langue">'Macro-planing projet'!$I$4</definedName>
    <definedName name="ProgressionFormat">Paramétrage!#REF!</definedName>
    <definedName name="ProjectDone">Paramétrage!#REF!</definedName>
    <definedName name="ProjectStart">'Macro-planing projet'!$AC$4</definedName>
    <definedName name="RadioBtnResult">Backend!$C$1</definedName>
    <definedName name="ScrollingIncrement">Paramétrage!$AP$3</definedName>
    <definedName name="SecondMonthTheme">Paramétrage!$AN$9</definedName>
    <definedName name="TodayFormat">Paramétrage!$AK$8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L6" i="1" l="1"/>
  <c r="BL5" i="1"/>
  <c r="BH6" i="1"/>
  <c r="BH5" i="1"/>
  <c r="BD6" i="1"/>
  <c r="BD5" i="1"/>
  <c r="AY6" i="1"/>
  <c r="AY5" i="1"/>
  <c r="AU6" i="1"/>
  <c r="AU5" i="1"/>
  <c r="AQ6" i="1"/>
  <c r="AQ5" i="1"/>
  <c r="AL6" i="1"/>
  <c r="AL5" i="1"/>
  <c r="AH6" i="1"/>
  <c r="AH5" i="1"/>
  <c r="AD6" i="1"/>
  <c r="AD5" i="1"/>
  <c r="Y6" i="1"/>
  <c r="Y5" i="1"/>
  <c r="U6" i="1"/>
  <c r="U5" i="1"/>
  <c r="Q6" i="1"/>
  <c r="Q5" i="1"/>
  <c r="L6" i="1"/>
  <c r="L5" i="1"/>
  <c r="K6" i="1"/>
  <c r="K5" i="1"/>
  <c r="J36" i="1"/>
  <c r="J35" i="1"/>
  <c r="J34" i="1"/>
  <c r="J33" i="1"/>
  <c r="J31" i="1"/>
  <c r="J30" i="1"/>
  <c r="J29" i="1"/>
  <c r="J28" i="1"/>
  <c r="J27" i="1"/>
  <c r="J25" i="1"/>
  <c r="J24" i="1"/>
  <c r="J23" i="1"/>
  <c r="J21" i="1"/>
  <c r="J20" i="1"/>
  <c r="J19" i="1"/>
  <c r="J17" i="1"/>
  <c r="J16" i="1"/>
  <c r="J15" i="1"/>
  <c r="E14" i="1"/>
  <c r="E15" i="1" s="1"/>
  <c r="E16" i="1" s="1"/>
  <c r="E17" i="1" s="1"/>
  <c r="E18" i="1"/>
  <c r="E19" i="1" s="1"/>
  <c r="E20" i="1" s="1"/>
  <c r="E21" i="1" s="1"/>
  <c r="E22" i="1"/>
  <c r="E23" i="1" s="1"/>
  <c r="E24" i="1" s="1"/>
  <c r="E25" i="1" s="1"/>
  <c r="E26" i="1"/>
  <c r="E27" i="1" s="1"/>
  <c r="E28" i="1" s="1"/>
  <c r="E29" i="1" s="1"/>
  <c r="E30" i="1" s="1"/>
  <c r="E31" i="1" s="1"/>
  <c r="E32" i="1"/>
  <c r="E33" i="1" s="1"/>
  <c r="E34" i="1" s="1"/>
  <c r="E35" i="1" s="1"/>
  <c r="E36" i="1" s="1"/>
  <c r="D14" i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22" i="1"/>
  <c r="J14" i="1"/>
  <c r="J18" i="1"/>
  <c r="J32" i="1"/>
  <c r="J26" i="1"/>
  <c r="B17" i="1" l="1"/>
  <c r="B15" i="1" l="1"/>
  <c r="B16" i="1"/>
  <c r="B31" i="1"/>
  <c r="B4" i="3"/>
  <c r="B5" i="3"/>
  <c r="B3" i="3"/>
  <c r="BD11" i="1" l="1"/>
  <c r="B1" i="3" a="1"/>
  <c r="B1" i="3" s="1"/>
  <c r="B14" i="1" l="1"/>
  <c r="AC11" i="1"/>
  <c r="AG11" i="1"/>
  <c r="AK11" i="1"/>
  <c r="AL11" i="1"/>
  <c r="BI11" i="1"/>
  <c r="AE11" i="1"/>
  <c r="BN11" i="1"/>
  <c r="AN11" i="1"/>
  <c r="AJ11" i="1"/>
  <c r="BJ11" i="1"/>
  <c r="BH11" i="1"/>
  <c r="AD11" i="1"/>
  <c r="AM11" i="1"/>
  <c r="BK11" i="1"/>
  <c r="AF11" i="1"/>
  <c r="BM11" i="1"/>
  <c r="AI11" i="1"/>
  <c r="AH11" i="1"/>
  <c r="BL11" i="1"/>
  <c r="AO11" i="1"/>
  <c r="AP11" i="1"/>
  <c r="AR11" i="1"/>
  <c r="M11" i="1"/>
  <c r="N11" i="1"/>
  <c r="AS11" i="1"/>
  <c r="O11" i="1"/>
  <c r="AT11" i="1"/>
  <c r="P11" i="1"/>
  <c r="AU11" i="1"/>
  <c r="Q11" i="1"/>
  <c r="AV11" i="1"/>
  <c r="R11" i="1"/>
  <c r="AW11" i="1"/>
  <c r="S11" i="1"/>
  <c r="AX11" i="1"/>
  <c r="T11" i="1"/>
  <c r="AY11" i="1"/>
  <c r="AZ11" i="1"/>
  <c r="U11" i="1"/>
  <c r="V11" i="1"/>
  <c r="BA11" i="1"/>
  <c r="W11" i="1"/>
  <c r="BB11" i="1"/>
  <c r="X11" i="1"/>
  <c r="BC11" i="1"/>
  <c r="Y11" i="1"/>
  <c r="AB11" i="1"/>
  <c r="BG11" i="1"/>
  <c r="AA11" i="1"/>
  <c r="BF11" i="1"/>
  <c r="Z11" i="1"/>
  <c r="BE11" i="1"/>
  <c r="K11" i="1"/>
  <c r="AQ11" i="1"/>
  <c r="L11" i="1"/>
  <c r="B21" i="1" l="1"/>
  <c r="B25" i="1"/>
  <c r="K9" i="1"/>
  <c r="AK9" i="1"/>
  <c r="AJ9" i="1"/>
  <c r="AH9" i="1"/>
  <c r="AG9" i="1"/>
  <c r="X9" i="1"/>
  <c r="N9" i="1"/>
  <c r="AF9" i="1"/>
  <c r="AC9" i="1"/>
  <c r="AN9" i="1"/>
  <c r="BE9" i="1"/>
  <c r="AO9" i="1"/>
  <c r="BC9" i="1"/>
  <c r="AR9" i="1"/>
  <c r="BL9" i="1"/>
  <c r="M9" i="1"/>
  <c r="BM9" i="1"/>
  <c r="BN9" i="1"/>
  <c r="W9" i="1"/>
  <c r="O9" i="1"/>
  <c r="BJ9" i="1"/>
  <c r="V9" i="1"/>
  <c r="BB9" i="1"/>
  <c r="AT9" i="1"/>
  <c r="AX9" i="1"/>
  <c r="AS9" i="1"/>
  <c r="AL9" i="1"/>
  <c r="Y9" i="1"/>
  <c r="R9" i="1"/>
  <c r="Q9" i="1"/>
  <c r="AU9" i="1"/>
  <c r="AZ9" i="1"/>
  <c r="P9" i="1"/>
  <c r="BA9" i="1"/>
  <c r="AI9" i="1"/>
  <c r="AA9" i="1"/>
  <c r="BD9" i="1"/>
  <c r="U9" i="1"/>
  <c r="BK9" i="1"/>
  <c r="AM9" i="1"/>
  <c r="AE9" i="1"/>
  <c r="AB9" i="1"/>
  <c r="BH9" i="1"/>
  <c r="BI9" i="1"/>
  <c r="AV9" i="1"/>
  <c r="AQ9" i="1"/>
  <c r="BF9" i="1"/>
  <c r="BG9" i="1"/>
  <c r="AP9" i="1"/>
  <c r="Z9" i="1"/>
  <c r="T9" i="1"/>
  <c r="AD9" i="1"/>
  <c r="AW9" i="1"/>
  <c r="AY9" i="1"/>
  <c r="S9" i="1"/>
  <c r="L9" i="1"/>
  <c r="B18" i="1" l="1"/>
  <c r="B19" i="1" l="1"/>
  <c r="B20" i="1" l="1"/>
  <c r="I26" i="1" l="1"/>
  <c r="I22" i="1"/>
  <c r="I14" i="1"/>
  <c r="B22" i="1"/>
  <c r="H14" i="1"/>
  <c r="H26" i="1"/>
  <c r="H18" i="1"/>
  <c r="H22" i="1"/>
  <c r="H32" i="1"/>
  <c r="I18" i="1" l="1"/>
  <c r="I32" i="1"/>
  <c r="B36" i="1"/>
  <c r="B23" i="1"/>
  <c r="B24" i="1" l="1"/>
  <c r="B26" i="1" l="1"/>
  <c r="B27" i="1" l="1"/>
  <c r="B28" i="1" l="1"/>
  <c r="B29" i="1" l="1"/>
  <c r="B30" i="1" l="1"/>
  <c r="B32" i="1" l="1"/>
  <c r="B33" i="1" l="1"/>
  <c r="B34" i="1" l="1"/>
  <c r="B35" i="1" l="1"/>
  <c r="H12" i="1" l="1"/>
  <c r="I12" i="1"/>
  <c r="J12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<sst xmlns="http://schemas.openxmlformats.org/spreadsheetml/2006/main" count="284" uniqueCount="214">
  <si>
    <t>ID</t>
  </si>
  <si>
    <t>WBS - Activité / tâche</t>
  </si>
  <si>
    <t>Début</t>
  </si>
  <si>
    <t>Deadline</t>
  </si>
  <si>
    <t>IDProj</t>
  </si>
  <si>
    <t>IDSubProj</t>
  </si>
  <si>
    <t>X</t>
  </si>
  <si>
    <t>Is Project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</si>
  <si>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</si>
  <si>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</si>
  <si>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</si>
  <si>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</si>
  <si>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</si>
  <si>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</si>
  <si>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</si>
  <si>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</si>
  <si>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</si>
  <si>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</si>
  <si>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</si>
  <si>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</si>
  <si>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</si>
  <si>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</si>
  <si>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</si>
  <si>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</si>
  <si>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</si>
  <si>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</si>
  <si>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</si>
  <si>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</si>
  <si>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</si>
  <si>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</si>
  <si>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</si>
  <si>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</si>
  <si>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</si>
  <si>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</si>
  <si>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</si>
  <si>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</si>
  <si>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</si>
  <si>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</si>
  <si>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</si>
  <si>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</si>
  <si>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</si>
  <si>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</si>
  <si>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</si>
  <si>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</si>
  <si>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</si>
  <si>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</si>
  <si>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</si>
  <si>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</si>
  <si>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</si>
  <si>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</si>
  <si>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</si>
  <si>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</si>
  <si>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</si>
  <si>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</si>
  <si>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</si>
  <si>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</si>
  <si>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</si>
  <si>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</si>
  <si>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</si>
  <si>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</si>
  <si>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</si>
  <si>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</si>
  <si>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Scrolling Increment:</t>
  </si>
  <si>
    <t>C54</t>
  </si>
  <si>
    <t>C55</t>
  </si>
  <si>
    <t>Gantt type</t>
  </si>
  <si>
    <t>Nom / Code projet</t>
  </si>
  <si>
    <t>Référence</t>
  </si>
  <si>
    <t>Date de création</t>
  </si>
  <si>
    <t>Date de la version</t>
  </si>
  <si>
    <t>Numéro de version</t>
  </si>
  <si>
    <t>V3.4</t>
  </si>
  <si>
    <t>Maximize</t>
  </si>
  <si>
    <t>Paramétrage</t>
  </si>
  <si>
    <t>Guide d'utilisation</t>
  </si>
  <si>
    <t>Conception générale</t>
  </si>
  <si>
    <t>Déploiement</t>
  </si>
  <si>
    <t>Basculement et validation</t>
  </si>
  <si>
    <t>Liste des corrections</t>
  </si>
  <si>
    <t>Documentation leçons apprises Projet</t>
  </si>
  <si>
    <t>Plan de corrections</t>
  </si>
  <si>
    <t>IsWeeksGantt</t>
  </si>
  <si>
    <t>IsMonthsGantt</t>
  </si>
  <si>
    <t>IsDaysGantt</t>
  </si>
  <si>
    <t>Today</t>
  </si>
  <si>
    <t>Gantt</t>
  </si>
  <si>
    <t>Thème En tête</t>
  </si>
  <si>
    <t>Choisir la couleur des activités</t>
  </si>
  <si>
    <t>Bords Aujourd'hui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</si>
  <si>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</si>
  <si>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</si>
  <si>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</si>
  <si>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</si>
  <si>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</si>
  <si>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</si>
  <si>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</si>
  <si>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</si>
  <si>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</si>
  <si>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</si>
  <si>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</si>
  <si>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</si>
  <si>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</si>
  <si>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</si>
  <si>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</si>
  <si>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</si>
  <si>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</si>
  <si>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</si>
  <si>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</si>
  <si>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</si>
  <si>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</si>
  <si>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</si>
  <si>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</si>
  <si>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</si>
  <si>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</si>
  <si>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</si>
  <si>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</si>
  <si>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</si>
  <si>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</si>
  <si>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</si>
  <si>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</si>
  <si>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</si>
  <si>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</si>
  <si>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</si>
  <si>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</si>
  <si>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</si>
  <si>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</si>
  <si>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</si>
  <si>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Phases/Taches</t>
  </si>
  <si>
    <t>Phase</t>
  </si>
  <si>
    <t>Tâche</t>
  </si>
  <si>
    <t>Color</t>
  </si>
  <si>
    <t>Phase 1: Initialisation</t>
  </si>
  <si>
    <t>Phase 3: Réalisation</t>
  </si>
  <si>
    <t>Phase 4: Contrôle et suivi</t>
  </si>
  <si>
    <t>Phase 5: Clôture du projet</t>
  </si>
  <si>
    <t>IsJalon</t>
  </si>
  <si>
    <t>Jalon</t>
  </si>
  <si>
    <t>Project</t>
  </si>
  <si>
    <t>Etude d'opportunité et approbation du projet</t>
  </si>
  <si>
    <t>Plan détaillé et Cahier des Charges</t>
  </si>
  <si>
    <t>Approbation Plan détaillé et Cahier des Charges</t>
  </si>
  <si>
    <t>Paramétrage des spécifiques CMRL</t>
  </si>
  <si>
    <t>Approbation utilisateurs-clé</t>
  </si>
  <si>
    <t>Tests d’intégration et de consolidation</t>
  </si>
  <si>
    <t>Environnement pré-productif</t>
  </si>
  <si>
    <t>Validation de l’environnement productif</t>
  </si>
  <si>
    <t>Réunion de clôture</t>
  </si>
  <si>
    <t>Chef de projet</t>
  </si>
  <si>
    <t>Service/Organisation</t>
  </si>
  <si>
    <t>Marketing/ Société XY</t>
  </si>
  <si>
    <t>Mme.Dupont</t>
  </si>
  <si>
    <t>Projet SAP 30 / CMRL</t>
  </si>
  <si>
    <t>Programme PG01</t>
  </si>
  <si>
    <t>Développement de la Charte projet</t>
  </si>
  <si>
    <t>Planification</t>
  </si>
  <si>
    <t>Tests et confirmation</t>
  </si>
  <si>
    <t>Charge en J</t>
  </si>
  <si>
    <t>Etat global de toutes les activités</t>
  </si>
  <si>
    <t>Français</t>
  </si>
  <si>
    <t>Anglais</t>
  </si>
  <si>
    <t>Langue</t>
  </si>
  <si>
    <t>Date of Creation</t>
  </si>
  <si>
    <t>Version Date</t>
  </si>
  <si>
    <t>Version Number</t>
  </si>
  <si>
    <t>Project Manager</t>
  </si>
  <si>
    <t>Language</t>
  </si>
  <si>
    <t>Planning</t>
  </si>
  <si>
    <t>General Design</t>
  </si>
  <si>
    <t>Integration and Consolidation Testing</t>
  </si>
  <si>
    <t>Deployment</t>
  </si>
  <si>
    <t>Switching and Validation</t>
  </si>
  <si>
    <t>Project Lessons Learned Documentation</t>
  </si>
  <si>
    <t>Correction Plan</t>
  </si>
  <si>
    <t>Closing Meeting</t>
  </si>
  <si>
    <t>Aujourd'hui</t>
  </si>
  <si>
    <t>Ajouter une tâche</t>
  </si>
  <si>
    <t>Add a Task</t>
  </si>
  <si>
    <t>Supprimer</t>
  </si>
  <si>
    <t>Delete</t>
  </si>
  <si>
    <t>Project Name / Code</t>
  </si>
  <si>
    <t>Reference</t>
  </si>
  <si>
    <t>Overall Status of all Activities</t>
  </si>
  <si>
    <t>Start Date</t>
  </si>
  <si>
    <t>Effort in J</t>
  </si>
  <si>
    <t>Ajouter une phase</t>
  </si>
  <si>
    <t>Ajouter un jalon</t>
  </si>
  <si>
    <t>Convertir à une phase / tâche</t>
  </si>
  <si>
    <t>Macro-planing projet</t>
  </si>
  <si>
    <t>Phase 1: Initialization</t>
  </si>
  <si>
    <t>Opportunity Study and Project Approval</t>
  </si>
  <si>
    <t>Project Charter Development</t>
  </si>
  <si>
    <t>Detailed Plan and Requirements Document</t>
  </si>
  <si>
    <t>Approval of Detailed Plan and Requirements Document</t>
  </si>
  <si>
    <t>Phase 3: Execution</t>
  </si>
  <si>
    <t>Parameterization of CMRL-specifics</t>
  </si>
  <si>
    <t>Testing and Confirmation</t>
  </si>
  <si>
    <t>Key User Approval</t>
  </si>
  <si>
    <t>Phase 4: Control and Monitoring</t>
  </si>
  <si>
    <t>Pre-Production Environment</t>
  </si>
  <si>
    <t>Production Environment Validation</t>
  </si>
  <si>
    <t>Phase 5: Project Closure</t>
  </si>
  <si>
    <t>List of Corrections</t>
  </si>
  <si>
    <t>Phases/Tasks</t>
  </si>
  <si>
    <t>Add a Phase</t>
  </si>
  <si>
    <t>Add a Milestone</t>
  </si>
  <si>
    <t>Convert to a Phase / Task</t>
  </si>
  <si>
    <t>Project Macro-Planning</t>
  </si>
  <si>
    <t>Department/Organization</t>
  </si>
  <si>
    <t>User guide</t>
  </si>
  <si>
    <t>Ajouter une colonne</t>
  </si>
  <si>
    <t>Add a column</t>
  </si>
  <si>
    <t>Supprimer une colonne</t>
  </si>
  <si>
    <t>Delete a column</t>
  </si>
  <si>
    <r>
      <t xml:space="preserve">A la recherche d'un logiciel de planification ? ProjectChef </t>
    </r>
    <r>
      <rPr>
        <sz val="11"/>
        <color theme="1"/>
        <rFont val="Calibri"/>
        <family val="2"/>
        <scheme val="minor"/>
      </rPr>
      <t xml:space="preserve">t'offre un plan gratuit à vie pour gérer jusqu'à 2 projets : </t>
    </r>
    <r>
      <rPr>
        <b/>
        <sz val="11"/>
        <color rgb="FF0091FE"/>
        <rFont val="Calibri"/>
        <family val="2"/>
        <scheme val="minor"/>
      </rPr>
      <t xml:space="preserve">https://projectchef.io/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</si>
</sst>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"/>
  </numFmts>
  <fonts count="3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11"/>
      <color theme="2" tint="-0.74999237037263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0.1499984740745262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"/>
      <color theme="9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91FE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lightUp">
        <bgColor theme="6" tint="0.79998168889431442"/>
      </patternFill>
    </fill>
    <fill>
      <patternFill patternType="lightUp">
        <fgColor auto="1"/>
        <bgColor theme="6" tint="0.79998168889431442"/>
      </patternFill>
    </fill>
  </fills>
  <borders count="23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0" fillId="8" borderId="3" xfId="0" applyFont="1" applyFill="1" applyBorder="1" applyAlignment="1">
      <alignment vertical="center"/>
    </xf>
    <xf numFmtId="0" fontId="13" fillId="10" borderId="0" xfId="0" applyFont="1" applyFill="1" applyAlignment="1">
      <alignment horizontal="left" vertical="center"/>
    </xf>
    <xf numFmtId="14" fontId="13" fillId="10" borderId="0" xfId="0" applyNumberFormat="1" applyFont="1" applyFill="1" applyAlignment="1">
      <alignment horizontal="left" vertical="center"/>
    </xf>
    <xf numFmtId="0" fontId="13" fillId="10" borderId="6" xfId="0" applyFont="1" applyFill="1" applyBorder="1" applyAlignment="1">
      <alignment vertical="center"/>
    </xf>
    <xf numFmtId="0" fontId="13" fillId="10" borderId="0" xfId="0" applyFont="1" applyFill="1" applyAlignment="1">
      <alignment vertical="center"/>
    </xf>
    <xf numFmtId="0" fontId="7" fillId="0" borderId="0" xfId="0" applyFont="1"/>
    <xf numFmtId="0" fontId="6" fillId="2" borderId="7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14" fontId="9" fillId="0" borderId="0" xfId="0" applyNumberFormat="1" applyFont="1" applyAlignment="1" applyProtection="1">
      <alignment horizontal="center" vertical="center"/>
      <protection locked="0"/>
    </xf>
    <xf numFmtId="0" fontId="12" fillId="9" borderId="4" xfId="0" applyFont="1" applyFill="1" applyBorder="1" applyAlignment="1" applyProtection="1">
      <alignment vertical="center"/>
      <protection locked="0"/>
    </xf>
    <xf numFmtId="0" fontId="9" fillId="0" borderId="0" xfId="0" applyFont="1"/>
    <xf numFmtId="14" fontId="0" fillId="0" borderId="0" xfId="0" applyNumberFormat="1"/>
    <xf numFmtId="1" fontId="0" fillId="0" borderId="0" xfId="0" applyNumberFormat="1"/>
    <xf numFmtId="0" fontId="19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1" fillId="12" borderId="0" xfId="0" applyFont="1" applyFill="1" applyAlignment="1">
      <alignment vertical="top"/>
    </xf>
    <xf numFmtId="0" fontId="22" fillId="12" borderId="0" xfId="0" applyFont="1" applyFill="1" applyAlignment="1">
      <alignment vertical="top"/>
    </xf>
    <xf numFmtId="0" fontId="23" fillId="12" borderId="0" xfId="0" applyFont="1" applyFill="1"/>
    <xf numFmtId="0" fontId="24" fillId="12" borderId="0" xfId="0" applyFont="1" applyFill="1"/>
    <xf numFmtId="0" fontId="0" fillId="12" borderId="0" xfId="0" applyFill="1"/>
    <xf numFmtId="0" fontId="25" fillId="12" borderId="0" xfId="0" applyFont="1" applyFill="1" applyAlignment="1">
      <alignment vertical="center"/>
    </xf>
    <xf numFmtId="0" fontId="23" fillId="12" borderId="0" xfId="0" applyFont="1" applyFill="1" applyAlignment="1">
      <alignment vertical="center"/>
    </xf>
    <xf numFmtId="0" fontId="24" fillId="12" borderId="0" xfId="0" applyFont="1" applyFill="1" applyAlignment="1">
      <alignment vertical="center"/>
    </xf>
    <xf numFmtId="0" fontId="28" fillId="0" borderId="0" xfId="0" applyFont="1"/>
    <xf numFmtId="0" fontId="5" fillId="4" borderId="1" xfId="0" applyFont="1" applyFill="1" applyBorder="1" applyAlignment="1">
      <alignment horizontal="center" vertical="center"/>
    </xf>
    <xf numFmtId="0" fontId="5" fillId="13" borderId="0" xfId="0" applyFont="1" applyFill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29" fillId="14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0" fillId="8" borderId="3" xfId="0" applyFont="1" applyFill="1" applyBorder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14" fontId="18" fillId="0" borderId="0" xfId="0" applyNumberFormat="1" applyFont="1" applyProtection="1">
      <protection locked="0"/>
    </xf>
    <xf numFmtId="0" fontId="10" fillId="8" borderId="3" xfId="0" applyFont="1" applyFill="1" applyBorder="1" applyAlignment="1" applyProtection="1">
      <alignment horizontal="left" vertical="center"/>
      <protection locked="0"/>
    </xf>
    <xf numFmtId="0" fontId="10" fillId="17" borderId="3" xfId="0" applyFont="1" applyFill="1" applyBorder="1" applyAlignment="1" applyProtection="1">
      <alignment horizontal="left" vertical="center"/>
      <protection locked="0"/>
    </xf>
    <xf numFmtId="0" fontId="10" fillId="17" borderId="3" xfId="0" applyFont="1" applyFill="1" applyBorder="1" applyAlignment="1" applyProtection="1">
      <alignment vertical="center"/>
      <protection locked="0"/>
    </xf>
    <xf numFmtId="0" fontId="15" fillId="8" borderId="3" xfId="0" applyFont="1" applyFill="1" applyBorder="1" applyAlignment="1" applyProtection="1">
      <alignment vertical="center"/>
      <protection locked="0"/>
    </xf>
    <xf numFmtId="164" fontId="4" fillId="6" borderId="0" xfId="0" applyNumberFormat="1" applyFont="1" applyFill="1" applyAlignment="1" applyProtection="1">
      <alignment horizontal="left" vertical="center"/>
      <protection locked="0"/>
    </xf>
    <xf numFmtId="164" fontId="4" fillId="7" borderId="0" xfId="0" applyNumberFormat="1" applyFont="1" applyFill="1" applyAlignment="1" applyProtection="1">
      <alignment horizontal="left" vertical="center"/>
      <protection locked="0"/>
    </xf>
    <xf numFmtId="1" fontId="4" fillId="6" borderId="0" xfId="0" applyNumberFormat="1" applyFont="1" applyFill="1" applyAlignment="1" applyProtection="1">
      <alignment horizontal="left" vertical="center"/>
      <protection locked="0"/>
    </xf>
    <xf numFmtId="1" fontId="4" fillId="7" borderId="0" xfId="0" applyNumberFormat="1" applyFont="1" applyFill="1" applyAlignment="1" applyProtection="1">
      <alignment horizontal="left" vertical="center"/>
      <protection locked="0"/>
    </xf>
    <xf numFmtId="1" fontId="4" fillId="6" borderId="0" xfId="0" applyNumberFormat="1" applyFont="1" applyFill="1" applyAlignment="1" applyProtection="1">
      <alignment horizontal="center" vertical="center"/>
      <protection locked="0"/>
    </xf>
    <xf numFmtId="1" fontId="4" fillId="7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4" fontId="17" fillId="6" borderId="0" xfId="0" applyNumberFormat="1" applyFont="1" applyFill="1" applyAlignment="1" applyProtection="1">
      <alignment vertical="center"/>
      <protection locked="0"/>
    </xf>
    <xf numFmtId="14" fontId="17" fillId="7" borderId="0" xfId="0" applyNumberFormat="1" applyFont="1" applyFill="1" applyAlignment="1" applyProtection="1">
      <alignment vertical="center"/>
      <protection locked="0"/>
    </xf>
    <xf numFmtId="1" fontId="2" fillId="6" borderId="8" xfId="0" applyNumberFormat="1" applyFont="1" applyFill="1" applyBorder="1" applyAlignment="1" applyProtection="1">
      <alignment horizontal="center" vertical="center"/>
      <protection locked="0"/>
    </xf>
    <xf numFmtId="1" fontId="2" fillId="7" borderId="9" xfId="0" applyNumberFormat="1" applyFont="1" applyFill="1" applyBorder="1" applyAlignment="1" applyProtection="1">
      <alignment horizontal="center" vertical="center"/>
      <protection locked="0"/>
    </xf>
    <xf numFmtId="1" fontId="2" fillId="6" borderId="9" xfId="0" applyNumberFormat="1" applyFont="1" applyFill="1" applyBorder="1" applyAlignment="1" applyProtection="1">
      <alignment horizontal="center" vertical="center"/>
      <protection locked="0"/>
    </xf>
    <xf numFmtId="1" fontId="2" fillId="6" borderId="10" xfId="0" applyNumberFormat="1" applyFont="1" applyFill="1" applyBorder="1" applyAlignment="1" applyProtection="1">
      <alignment horizontal="center" vertical="center"/>
      <protection locked="0"/>
    </xf>
    <xf numFmtId="1" fontId="2" fillId="7" borderId="10" xfId="0" applyNumberFormat="1" applyFont="1" applyFill="1" applyBorder="1" applyAlignment="1" applyProtection="1">
      <alignment horizontal="center" vertical="center"/>
      <protection locked="0"/>
    </xf>
    <xf numFmtId="1" fontId="2" fillId="7" borderId="8" xfId="0" applyNumberFormat="1" applyFont="1" applyFill="1" applyBorder="1" applyAlignment="1" applyProtection="1">
      <alignment horizontal="center" vertical="center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16" fillId="7" borderId="0" xfId="0" applyFont="1" applyFill="1" applyAlignment="1" applyProtection="1">
      <alignment horizontal="center" vertical="center"/>
      <protection locked="0"/>
    </xf>
    <xf numFmtId="0" fontId="16" fillId="6" borderId="0" xfId="0" applyFont="1" applyFill="1" applyAlignment="1" applyProtection="1">
      <alignment horizontal="center" vertical="center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7" borderId="12" xfId="0" applyFont="1" applyFill="1" applyBorder="1" applyAlignment="1" applyProtection="1">
      <alignment horizontal="center" vertical="center"/>
      <protection locked="0"/>
    </xf>
    <xf numFmtId="0" fontId="16" fillId="7" borderId="1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8" fillId="16" borderId="1" xfId="0" applyFont="1" applyFill="1" applyBorder="1" applyAlignment="1" applyProtection="1">
      <alignment horizontal="center" vertical="center"/>
      <protection locked="0"/>
    </xf>
    <xf numFmtId="0" fontId="3" fillId="7" borderId="14" xfId="0" applyFont="1" applyFill="1" applyBorder="1" applyAlignment="1" applyProtection="1">
      <alignment horizontal="center" vertical="center"/>
      <protection locked="0"/>
    </xf>
    <xf numFmtId="0" fontId="3" fillId="6" borderId="14" xfId="0" applyFont="1" applyFill="1" applyBorder="1" applyAlignment="1" applyProtection="1">
      <alignment horizontal="center" vertical="center"/>
      <protection locked="0"/>
    </xf>
    <xf numFmtId="0" fontId="32" fillId="15" borderId="19" xfId="0" applyFont="1" applyFill="1" applyBorder="1" applyAlignment="1" applyProtection="1">
      <alignment horizontal="centerContinuous" vertical="center"/>
      <protection locked="0"/>
    </xf>
    <xf numFmtId="0" fontId="8" fillId="16" borderId="0" xfId="0" applyFont="1" applyFill="1" applyAlignment="1" applyProtection="1">
      <alignment horizontal="center" vertical="center"/>
      <protection locked="0"/>
    </xf>
    <xf numFmtId="14" fontId="32" fillId="15" borderId="22" xfId="0" applyNumberFormat="1" applyFont="1" applyFill="1" applyBorder="1" applyAlignment="1" applyProtection="1">
      <alignment horizontal="centerContinuous" vertical="center"/>
      <protection locked="0"/>
    </xf>
    <xf numFmtId="0" fontId="32" fillId="15" borderId="22" xfId="0" applyFont="1" applyFill="1" applyBorder="1" applyAlignment="1" applyProtection="1">
      <alignment horizontal="centerContinuous" vertical="center"/>
      <protection locked="0"/>
    </xf>
    <xf numFmtId="0" fontId="0" fillId="16" borderId="0" xfId="0" applyFill="1" applyAlignment="1" applyProtection="1">
      <alignment horizontal="center" vertical="center" wrapText="1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33" fillId="8" borderId="3" xfId="0" applyFont="1" applyFill="1" applyBorder="1" applyAlignment="1" applyProtection="1">
      <alignment horizontal="center" vertical="center"/>
      <protection locked="0"/>
    </xf>
    <xf numFmtId="0" fontId="3" fillId="7" borderId="13" xfId="0" applyFont="1" applyFill="1" applyBorder="1" applyAlignment="1" applyProtection="1">
      <alignment horizontal="center" vertical="center"/>
      <protection locked="0"/>
    </xf>
    <xf numFmtId="0" fontId="3" fillId="6" borderId="15" xfId="0" applyFont="1" applyFill="1" applyBorder="1" applyAlignment="1" applyProtection="1">
      <alignment horizontal="center" vertical="center"/>
      <protection locked="0"/>
    </xf>
    <xf numFmtId="0" fontId="24" fillId="12" borderId="0" xfId="0" applyFont="1" applyFill="1" applyAlignment="1">
      <alignment horizontal="left" vertical="center" wrapText="1"/>
    </xf>
    <xf numFmtId="0" fontId="13" fillId="10" borderId="0" xfId="0" applyFont="1" applyFill="1" applyAlignment="1" applyProtection="1">
      <alignment horizontal="left" vertical="center"/>
      <protection locked="0"/>
    </xf>
    <xf numFmtId="0" fontId="13" fillId="10" borderId="6" xfId="0" applyFont="1" applyFill="1" applyBorder="1" applyAlignment="1" applyProtection="1">
      <alignment horizontal="left" vertical="center"/>
      <protection locked="0"/>
    </xf>
    <xf numFmtId="14" fontId="15" fillId="8" borderId="3" xfId="0" applyNumberFormat="1" applyFont="1" applyFill="1" applyBorder="1" applyAlignment="1" applyProtection="1">
      <alignment horizontal="center" vertical="center"/>
      <protection locked="0"/>
    </xf>
    <xf numFmtId="14" fontId="13" fillId="10" borderId="0" xfId="0" applyNumberFormat="1" applyFont="1" applyFill="1" applyAlignment="1" applyProtection="1">
      <alignment horizontal="left" vertical="center"/>
      <protection locked="0"/>
    </xf>
    <xf numFmtId="0" fontId="11" fillId="9" borderId="4" xfId="0" applyFont="1" applyFill="1" applyBorder="1" applyAlignment="1" applyProtection="1">
      <alignment horizontal="left" vertical="center"/>
      <protection locked="0"/>
    </xf>
    <xf numFmtId="0" fontId="11" fillId="9" borderId="5" xfId="0" applyFont="1" applyFill="1" applyBorder="1" applyAlignment="1" applyProtection="1">
      <alignment horizontal="left" vertical="center"/>
      <protection locked="0"/>
    </xf>
    <xf numFmtId="0" fontId="12" fillId="9" borderId="4" xfId="0" applyFont="1" applyFill="1" applyBorder="1" applyAlignment="1" applyProtection="1">
      <alignment horizontal="left" vertical="center"/>
      <protection locked="0"/>
    </xf>
    <xf numFmtId="0" fontId="12" fillId="9" borderId="5" xfId="0" applyFont="1" applyFill="1" applyBorder="1" applyAlignment="1" applyProtection="1">
      <alignment horizontal="left" vertical="center"/>
      <protection locked="0"/>
    </xf>
    <xf numFmtId="0" fontId="8" fillId="3" borderId="17" xfId="0" applyFont="1" applyFill="1" applyBorder="1" applyAlignment="1">
      <alignment horizontal="center" vertical="center"/>
    </xf>
    <xf numFmtId="0" fontId="8" fillId="3" borderId="19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14" fillId="11" borderId="20" xfId="0" applyFont="1" applyFill="1" applyBorder="1" applyAlignment="1">
      <alignment horizontal="center"/>
    </xf>
    <xf numFmtId="0" fontId="14" fillId="11" borderId="16" xfId="0" applyFont="1" applyFill="1" applyBorder="1" applyAlignment="1">
      <alignment horizontal="center"/>
    </xf>
    <xf numFmtId="0" fontId="34" fillId="0" borderId="0" xfId="0" applyFont="1" applyProtection="1">
      <protection locked="0"/>
    </xf>
  </cellXfs>
  <cellStyles count="1">
    <cellStyle name="Normal" xfId="0" builtinId="0"/>
  </cellStyles>
  <dxfs count="1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top style="thin">
          <color theme="9"/>
        </top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lightUp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color theme="0"/>
      </font>
      <fill>
        <patternFill>
          <fgColor indexed="64"/>
          <bgColor rgb="FF4868E5"/>
        </patternFill>
      </fill>
      <border>
        <left/>
        <right/>
      </border>
    </dxf>
    <dxf>
      <font>
        <b val="0"/>
        <i val="0"/>
        <color theme="0"/>
      </font>
      <fill>
        <patternFill patternType="solid">
          <fgColor indexed="64"/>
          <bgColor theme="9" tint="0.39997558519241921"/>
        </patternFill>
      </fill>
      <border>
        <left/>
        <right/>
      </border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b/>
        <i val="0"/>
        <color theme="7" tint="-0.249977111117893"/>
      </font>
      <fill>
        <patternFill patternType="solid">
          <fgColor indexed="64"/>
          <bgColor theme="7" tint="0.79998168889431442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2" defaultTableStyle="TableStyleMedium2" defaultPivotStyle="PivotStyleLight16">
    <tableStyle name="TableStyleLight14 2" pivot="0" count="9" xr9:uid="{C803ECF4-81F2-48DA-A591-0A545A829943}">
      <tableStyleElement type="wholeTable" dxfId="117"/>
      <tableStyleElement type="headerRow" dxfId="116"/>
      <tableStyleElement type="totalRow" dxfId="115"/>
      <tableStyleElement type="firstColumn" dxfId="114"/>
      <tableStyleElement type="lastColumn" dxfId="113"/>
      <tableStyleElement type="firstRowStripe" dxfId="112"/>
      <tableStyleElement type="secondRowStripe" dxfId="111"/>
      <tableStyleElement type="firstColumnStripe" dxfId="110"/>
      <tableStyleElement type="secondColumnStripe" dxfId="109"/>
    </tableStyle>
    <tableStyle name="TableStyleLight14 2 2" pivot="0" count="9" xr9:uid="{AC5A6F65-C9C4-4955-81C3-AF4FEE86B463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secondRowStripe" dxfId="102"/>
      <tableStyleElement type="firstColumnStripe" dxfId="101"/>
      <tableStyleElement type="secondColumnStripe" dxfId="100"/>
    </tableStyle>
  </tableStyles>
  <colors>
    <mruColors>
      <color rgb="FF355321"/>
      <color rgb="FFF1F7ED"/>
      <color rgb="FFFFE38B"/>
      <color rgb="FF9DAFF1"/>
      <color rgb="FFFF8989"/>
      <color rgb="FF87F997"/>
      <color rgb="FF55FD6D"/>
      <color rgb="FF53FFA1"/>
      <color rgb="FF00F66F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Lines="2" dropStyle="combo" dx="26" fmlaLink="$I$4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4.png"/><Relationship Id="rId7" Type="http://schemas.openxmlformats.org/officeDocument/2006/relationships/image" Target="../media/image27.svg"/><Relationship Id="rId12" Type="http://schemas.openxmlformats.org/officeDocument/2006/relationships/hyperlink" Target="https://blog-gestion-de-projet.com/docs/kit-management-projet/initialisation/macro-planning/" TargetMode="External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1.png"/><Relationship Id="rId10" Type="http://schemas.openxmlformats.org/officeDocument/2006/relationships/image" Target="../media/image30.png"/><Relationship Id="rId4" Type="http://schemas.openxmlformats.org/officeDocument/2006/relationships/image" Target="../media/image25.svg"/><Relationship Id="rId9" Type="http://schemas.openxmlformats.org/officeDocument/2006/relationships/image" Target="../media/image29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4320" y="6789338"/>
          <a:ext cx="7367526" cy="319424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02692" y="10469880"/>
          <a:ext cx="4494212" cy="27522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261" y="13807440"/>
          <a:ext cx="3886200" cy="231972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82880" y="20927394"/>
          <a:ext cx="10751820" cy="231131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29730264"/>
          <a:ext cx="2457048" cy="156291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205740" y="45885624"/>
          <a:ext cx="8391989" cy="2186675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205741" y="48490849"/>
          <a:ext cx="6842760" cy="239576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1290220"/>
          <a:ext cx="8100207" cy="294894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2880" y="16946108"/>
          <a:ext cx="11852084" cy="318162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7640" y="26120846"/>
          <a:ext cx="6001647" cy="246897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8121" y="23545800"/>
          <a:ext cx="6431280" cy="18132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4</xdr:row>
      <xdr:rowOff>106680</xdr:rowOff>
    </xdr:from>
    <xdr:to>
      <xdr:col>6</xdr:col>
      <xdr:colOff>861060</xdr:colOff>
      <xdr:row>5</xdr:row>
      <xdr:rowOff>45720</xdr:rowOff>
    </xdr:to>
    <xdr:sp macro="[0]!AddProject" textlink="">
      <xdr:nvSpPr>
        <xdr:cNvPr id="2" name="BtnAddProjec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0" y="1158240"/>
          <a:ext cx="1112520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0"/>
            <a:t>Ajouter une phase</a:t>
          </a:r>
        </a:p>
      </xdr:txBody>
    </xdr:sp>
    <xdr:clientData/>
  </xdr:twoCellAnchor>
  <xdr:twoCellAnchor editAs="absolute">
    <xdr:from>
      <xdr:col>6</xdr:col>
      <xdr:colOff>4689614</xdr:colOff>
      <xdr:row>4</xdr:row>
      <xdr:rowOff>107674</xdr:rowOff>
    </xdr:from>
    <xdr:to>
      <xdr:col>7</xdr:col>
      <xdr:colOff>228600</xdr:colOff>
      <xdr:row>5</xdr:row>
      <xdr:rowOff>40750</xdr:rowOff>
    </xdr:to>
    <xdr:sp macro="[0]!DeleteProject" textlink="">
      <xdr:nvSpPr>
        <xdr:cNvPr id="3" name="BtnDeleteProjec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23954" y="1159234"/>
          <a:ext cx="712966" cy="29883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Supprimer</a:t>
          </a:r>
        </a:p>
      </xdr:txBody>
    </xdr:sp>
    <xdr:clientData/>
  </xdr:twoCellAnchor>
  <xdr:twoCellAnchor editAs="absolute">
    <xdr:from>
      <xdr:col>6</xdr:col>
      <xdr:colOff>952500</xdr:colOff>
      <xdr:row>4</xdr:row>
      <xdr:rowOff>106680</xdr:rowOff>
    </xdr:from>
    <xdr:to>
      <xdr:col>6</xdr:col>
      <xdr:colOff>1966156</xdr:colOff>
      <xdr:row>5</xdr:row>
      <xdr:rowOff>45720</xdr:rowOff>
    </xdr:to>
    <xdr:sp macro="[0]!AddProject" textlink="">
      <xdr:nvSpPr>
        <xdr:cNvPr id="5" name="BtnAddSubProjec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94460" y="1158240"/>
          <a:ext cx="1013656" cy="304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Ajouter une tâche</a:t>
          </a:r>
        </a:p>
      </xdr:txBody>
    </xdr:sp>
    <xdr:clientData/>
  </xdr:twoCellAnchor>
  <xdr:twoCellAnchor editAs="absolute">
    <xdr:from>
      <xdr:col>6</xdr:col>
      <xdr:colOff>3078149</xdr:colOff>
      <xdr:row>4</xdr:row>
      <xdr:rowOff>107672</xdr:rowOff>
    </xdr:from>
    <xdr:to>
      <xdr:col>6</xdr:col>
      <xdr:colOff>4617720</xdr:colOff>
      <xdr:row>5</xdr:row>
      <xdr:rowOff>46712</xdr:rowOff>
    </xdr:to>
    <xdr:sp macro="[0]!ConvertToProject" textlink="">
      <xdr:nvSpPr>
        <xdr:cNvPr id="6" name="BtnConvert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520109" y="1159232"/>
          <a:ext cx="1531951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/>
            <a:t>Convertir à une phase / tâche</a:t>
          </a:r>
        </a:p>
      </xdr:txBody>
    </xdr:sp>
    <xdr:clientData/>
  </xdr:twoCellAnchor>
  <xdr:twoCellAnchor editAs="oneCell">
    <xdr:from>
      <xdr:col>32</xdr:col>
      <xdr:colOff>79020</xdr:colOff>
      <xdr:row>3</xdr:row>
      <xdr:rowOff>73800</xdr:rowOff>
    </xdr:from>
    <xdr:to>
      <xdr:col>33</xdr:col>
      <xdr:colOff>99060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4460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27</xdr:col>
      <xdr:colOff>91440</xdr:colOff>
      <xdr:row>3</xdr:row>
      <xdr:rowOff>76200</xdr:rowOff>
    </xdr:from>
    <xdr:to>
      <xdr:col>28</xdr:col>
      <xdr:colOff>81000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2824460" y="762000"/>
          <a:ext cx="233400" cy="233400"/>
        </a:xfrm>
        <a:prstGeom prst="rect">
          <a:avLst/>
        </a:prstGeom>
      </xdr:spPr>
    </xdr:pic>
    <xdr:clientData/>
  </xdr:twoCellAnchor>
  <xdr:twoCellAnchor editAs="oneCell">
    <xdr:from>
      <xdr:col>35</xdr:col>
      <xdr:colOff>182880</xdr:colOff>
      <xdr:row>3</xdr:row>
      <xdr:rowOff>60959</xdr:rowOff>
    </xdr:from>
    <xdr:to>
      <xdr:col>40</xdr:col>
      <xdr:colOff>60960</xdr:colOff>
      <xdr:row>3</xdr:row>
      <xdr:rowOff>327660</xdr:rowOff>
    </xdr:to>
    <xdr:sp macro="[0]!GoToToday" textlink="">
      <xdr:nvSpPr>
        <xdr:cNvPr id="11" name="BtnDeleteProjec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268200" y="746759"/>
          <a:ext cx="922020" cy="26670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Aujourd'hui</a:t>
          </a:r>
        </a:p>
      </xdr:txBody>
    </xdr:sp>
    <xdr:clientData/>
  </xdr:twoCellAnchor>
  <xdr:twoCellAnchor editAs="oneCell">
    <xdr:from>
      <xdr:col>39</xdr:col>
      <xdr:colOff>26733</xdr:colOff>
      <xdr:row>3</xdr:row>
      <xdr:rowOff>76199</xdr:rowOff>
    </xdr:from>
    <xdr:to>
      <xdr:col>40</xdr:col>
      <xdr:colOff>16730</xdr:colOff>
      <xdr:row>3</xdr:row>
      <xdr:rowOff>316479</xdr:rowOff>
    </xdr:to>
    <xdr:pic macro="[0]!GoToToday">
      <xdr:nvPicPr>
        <xdr:cNvPr id="9" name="Graphic 8" descr="Flip calendar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942633" y="761999"/>
          <a:ext cx="203357" cy="2402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2277286</xdr:colOff>
      <xdr:row>2</xdr:row>
      <xdr:rowOff>60960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121920</xdr:colOff>
      <xdr:row>3</xdr:row>
      <xdr:rowOff>68580</xdr:rowOff>
    </xdr:from>
    <xdr:to>
      <xdr:col>34</xdr:col>
      <xdr:colOff>147180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795760" y="754380"/>
          <a:ext cx="231000" cy="238620"/>
        </a:xfrm>
        <a:prstGeom prst="rect">
          <a:avLst/>
        </a:prstGeom>
      </xdr:spPr>
    </xdr:pic>
    <xdr:clientData/>
  </xdr:twoCellAnchor>
  <xdr:twoCellAnchor editAs="oneCell">
    <xdr:from>
      <xdr:col>26</xdr:col>
      <xdr:colOff>58560</xdr:colOff>
      <xdr:row>3</xdr:row>
      <xdr:rowOff>73800</xdr:rowOff>
    </xdr:from>
    <xdr:to>
      <xdr:col>27</xdr:col>
      <xdr:colOff>45720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200780" y="759600"/>
          <a:ext cx="223380" cy="238620"/>
        </a:xfrm>
        <a:prstGeom prst="rect">
          <a:avLst/>
        </a:prstGeom>
      </xdr:spPr>
    </xdr:pic>
    <xdr:clientData/>
  </xdr:twoCellAnchor>
  <xdr:twoCellAnchor editAs="oneCell">
    <xdr:from>
      <xdr:col>9</xdr:col>
      <xdr:colOff>441960</xdr:colOff>
      <xdr:row>4</xdr:row>
      <xdr:rowOff>106680</xdr:rowOff>
    </xdr:from>
    <xdr:to>
      <xdr:col>9</xdr:col>
      <xdr:colOff>739140</xdr:colOff>
      <xdr:row>5</xdr:row>
      <xdr:rowOff>38100</xdr:rowOff>
    </xdr:to>
    <xdr:pic macro="[0]!maximize">
      <xdr:nvPicPr>
        <xdr:cNvPr id="22" name="Graphic 21" descr="Browser window outline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951220" y="1158240"/>
          <a:ext cx="297180" cy="297180"/>
        </a:xfrm>
        <a:prstGeom prst="rect">
          <a:avLst/>
        </a:prstGeom>
      </xdr:spPr>
    </xdr:pic>
    <xdr:clientData/>
  </xdr:twoCellAnchor>
  <xdr:twoCellAnchor editAs="absolute">
    <xdr:from>
      <xdr:col>6</xdr:col>
      <xdr:colOff>2039840</xdr:colOff>
      <xdr:row>4</xdr:row>
      <xdr:rowOff>106680</xdr:rowOff>
    </xdr:from>
    <xdr:to>
      <xdr:col>6</xdr:col>
      <xdr:colOff>3015200</xdr:colOff>
      <xdr:row>5</xdr:row>
      <xdr:rowOff>45720</xdr:rowOff>
    </xdr:to>
    <xdr:sp macro="[0]!AddProject" textlink="">
      <xdr:nvSpPr>
        <xdr:cNvPr id="8" name="BtnAddJalo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481800" y="1158240"/>
          <a:ext cx="975360" cy="30480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>
              <a:solidFill>
                <a:schemeClr val="accent4">
                  <a:lumMod val="50000"/>
                </a:schemeClr>
              </a:solidFill>
            </a:rPr>
            <a:t>Ajouter un jalon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624840</xdr:colOff>
          <xdr:row>3</xdr:row>
          <xdr:rowOff>76200</xdr:rowOff>
        </xdr:from>
        <xdr:to>
          <xdr:col>9</xdr:col>
          <xdr:colOff>701040</xdr:colOff>
          <xdr:row>3</xdr:row>
          <xdr:rowOff>289560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2268855</xdr:colOff>
      <xdr:row>3</xdr:row>
      <xdr:rowOff>66675</xdr:rowOff>
    </xdr:from>
    <xdr:to>
      <xdr:col>6</xdr:col>
      <xdr:colOff>3366135</xdr:colOff>
      <xdr:row>3</xdr:row>
      <xdr:rowOff>314325</xdr:rowOff>
    </xdr:to>
    <xdr:sp macro="" textlink="">
      <xdr:nvSpPr>
        <xdr:cNvPr id="4" name="BtnAddProject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695575" y="752475"/>
          <a:ext cx="1097280" cy="24765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50" b="0"/>
            <a:t>Guide d'utilisation</a:t>
          </a:r>
        </a:p>
      </xdr:txBody>
    </xdr:sp>
    <xdr:clientData/>
  </xdr:twoCellAnchor>
  <xdr:twoCellAnchor editAs="oneCell">
    <xdr:from>
      <xdr:col>10</xdr:col>
      <xdr:colOff>46067</xdr:colOff>
      <xdr:row>3</xdr:row>
      <xdr:rowOff>60960</xdr:rowOff>
    </xdr:from>
    <xdr:to>
      <xdr:col>15</xdr:col>
      <xdr:colOff>91094</xdr:colOff>
      <xdr:row>3</xdr:row>
      <xdr:rowOff>304800</xdr:rowOff>
    </xdr:to>
    <xdr:sp macro="[0]!AddColumn" textlink="">
      <xdr:nvSpPr>
        <xdr:cNvPr id="12" name="BtnAddColProjec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408767" y="746760"/>
          <a:ext cx="1226127" cy="24384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Ajouter une colonne</a:t>
          </a:r>
        </a:p>
      </xdr:txBody>
    </xdr:sp>
    <xdr:clientData/>
  </xdr:twoCellAnchor>
  <xdr:twoCellAnchor editAs="oneCell">
    <xdr:from>
      <xdr:col>16</xdr:col>
      <xdr:colOff>15240</xdr:colOff>
      <xdr:row>3</xdr:row>
      <xdr:rowOff>53340</xdr:rowOff>
    </xdr:from>
    <xdr:to>
      <xdr:col>21</xdr:col>
      <xdr:colOff>175260</xdr:colOff>
      <xdr:row>3</xdr:row>
      <xdr:rowOff>320040</xdr:rowOff>
    </xdr:to>
    <xdr:sp macro="[0]!DeleteColumn" textlink="">
      <xdr:nvSpPr>
        <xdr:cNvPr id="13" name="BtnAddColProjec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7795260" y="739140"/>
          <a:ext cx="1341120" cy="266700"/>
        </a:xfrm>
        <a:prstGeom prst="roundRect">
          <a:avLst/>
        </a:prstGeom>
        <a:gradFill flip="none" rotWithShape="1">
          <a:gsLst>
            <a:gs pos="0">
              <a:srgbClr val="FF0000">
                <a:shade val="30000"/>
                <a:satMod val="115000"/>
              </a:srgbClr>
            </a:gs>
            <a:gs pos="50000">
              <a:srgbClr val="FF0000">
                <a:shade val="67500"/>
                <a:satMod val="115000"/>
              </a:srgbClr>
            </a:gs>
            <a:gs pos="100000">
              <a:srgbClr val="FF0000">
                <a:shade val="100000"/>
                <a:satMod val="115000"/>
              </a:srgbClr>
            </a:gs>
          </a:gsLst>
          <a:lin ang="8100000" scaled="1"/>
          <a:tileRect/>
        </a:gra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Supprimer une colonne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273226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449580</xdr:colOff>
      <xdr:row>3</xdr:row>
      <xdr:rowOff>76200</xdr:rowOff>
    </xdr:from>
    <xdr:to>
      <xdr:col>12</xdr:col>
      <xdr:colOff>643440</xdr:colOff>
      <xdr:row>3</xdr:row>
      <xdr:rowOff>327485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985260" y="762000"/>
          <a:ext cx="5619300" cy="251285"/>
          <a:chOff x="3984432" y="853807"/>
          <a:chExt cx="6647866" cy="255176"/>
        </a:xfrm>
      </xdr:grpSpPr>
      <xdr:sp macro="[0]!NavBar" textlink="">
        <xdr:nvSpPr>
          <xdr:cNvPr id="10" name="BtnGuide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3984432" y="853807"/>
            <a:ext cx="1442338" cy="252000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11" name="BtnGantt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5469729" y="856983"/>
            <a:ext cx="1655949" cy="252000"/>
          </a:xfrm>
          <a:prstGeom prst="roundRect">
            <a:avLst/>
          </a:prstGeom>
          <a:solidFill>
            <a:srgbClr val="0082B3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Gantt</a:t>
            </a:r>
          </a:p>
        </xdr:txBody>
      </xdr:sp>
      <xdr:sp macro="[0]!NavBar" textlink="">
        <xdr:nvSpPr>
          <xdr:cNvPr id="12" name="BtnRessource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7192228" y="854080"/>
            <a:ext cx="1866555" cy="252000"/>
          </a:xfrm>
          <a:prstGeom prst="roundRect">
            <a:avLst/>
          </a:prstGeom>
          <a:solidFill>
            <a:schemeClr val="accent6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Ressources</a:t>
            </a:r>
          </a:p>
        </xdr:txBody>
      </xdr:sp>
      <xdr:sp macro="[0]!NavBar" textlink="">
        <xdr:nvSpPr>
          <xdr:cNvPr id="13" name="BtnSettings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9125498" y="855200"/>
            <a:ext cx="1506800" cy="252000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B13:BN36" totalsRowShown="0" headerRowDxfId="94" dataDxfId="93">
  <autoFilter ref="B13:BN36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</autoFilter>
  <tableColumns count="65">
    <tableColumn id="14" xr3:uid="{5E011378-D9B2-434B-8C74-F135916C3B11}" name="ID" dataDxfId="92">
      <calculatedColumnFormula>IF(TabProjet[[#This Row],[IsJalon]] = "", (TabProjet[[#This Row],[IDProj]] &amp; "." &amp; TabProjet[[#This Row],[IDSubProj]]), "")</calculatedColumnFormula>
    </tableColumn>
    <tableColumn id="10" xr3:uid="{33A82585-DB2B-44E7-9275-AC5EA3E490AD}" name="Is Project" dataDxfId="91"/>
    <tableColumn id="1" xr3:uid="{FE19D7F9-7E68-477A-9689-CF570B0CBD84}" name="IDProj" dataDxfId="90">
      <calculatedColumnFormula>IF(ISNUMBER($D13),IF(TabProjet[[#This Row],[Is Project]] &lt;&gt;"",$D13+1,$D13),1)</calculatedColumnFormula>
    </tableColumn>
    <tableColumn id="12" xr3:uid="{8E1E4098-54BE-46AD-B12D-71E75D8BD0CE}" name="IDSubProj" dataDxfId="89">
      <calculatedColumnFormula>IFERROR(IF(AND(TabProjet[[#This Row],[Is Project]]= "", TabProjet[[#This Row],[IsJalon]]= ""),$E13+1, IF(TabProjet[[#This Row],[IsJalon]]= "X",$E13, 0)),1)</calculatedColumnFormula>
    </tableColumn>
    <tableColumn id="13" xr3:uid="{34D588B9-69A7-4DD6-9144-63A6C05548E2}" name="IsJalon" dataDxfId="88"/>
    <tableColumn id="2" xr3:uid="{0DC6E036-CB5E-414E-9CA8-266B3754BCD1}" name="WBS - Activité / tâche" dataDxfId="87"/>
    <tableColumn id="6" xr3:uid="{C1DF1DE8-DA2D-42A1-876D-A89759A0A7D4}" name="Début" dataDxfId="86"/>
    <tableColumn id="7" xr3:uid="{619A5E6C-C991-44B9-BB7F-5FFE4F514E1A}" name="Charge en J" dataDxfId="85"/>
    <tableColumn id="8" xr3:uid="{4418214A-69B5-4A83-BB1E-68E3FBFEE5F9}" name="Deadline" dataDxfId="84">
      <calculatedColumnFormula>IF(OR(TabProjet[[#This Row],[IsJalon]] = "X",TabProjet[[#This Row],[Début]]=""),"",WORKDAY(IF(WEEKDAY(TabProjet[[#This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0),))</calculatedColumnFormula>
    </tableColumn>
    <tableColumn id="11" xr3:uid="{31432459-77F0-400C-A56A-BA793D1066C7}" name="C0" dataDxfId="83"/>
    <tableColumn id="15" xr3:uid="{A5B38087-7AFC-4AB0-8100-9372428A0E44}" name="C1" dataDxfId="82"/>
    <tableColumn id="16" xr3:uid="{B23790DD-5CDC-4299-9BA3-EA7078D58C29}" name="C2" dataDxfId="81"/>
    <tableColumn id="17" xr3:uid="{9FCA9906-4703-4027-8369-7642905F7878}" name="C3" dataDxfId="80"/>
    <tableColumn id="18" xr3:uid="{7AE1C3A6-11C7-4214-B913-7F121F5D6C7B}" name="C4" dataDxfId="79"/>
    <tableColumn id="19" xr3:uid="{8C44A9B6-9EBE-42E7-9B1D-FA0534549368}" name="C5" dataDxfId="78"/>
    <tableColumn id="20" xr3:uid="{87BA93D9-060D-4DF9-8F7D-6A328E124F67}" name="C6" dataDxfId="77"/>
    <tableColumn id="21" xr3:uid="{F99F8ECE-1C3D-460C-A623-13250BEE51C7}" name="C7" dataDxfId="76"/>
    <tableColumn id="22" xr3:uid="{1FF8D443-22DD-48F3-B6CA-D39A5A800528}" name="C8" dataDxfId="75"/>
    <tableColumn id="23" xr3:uid="{F484ACDD-0357-448C-AAAF-8EFD2F112C21}" name="C9" dataDxfId="74"/>
    <tableColumn id="24" xr3:uid="{D77918AC-D8C3-47F6-940F-23E9F862DFB4}" name="C10" dataDxfId="73"/>
    <tableColumn id="25" xr3:uid="{50105DDE-4B56-456E-AACC-96EA350589C9}" name="C11" dataDxfId="72"/>
    <tableColumn id="26" xr3:uid="{B2B59E45-AC72-4482-B319-6C470EF73FCC}" name="C12" dataDxfId="71"/>
    <tableColumn id="27" xr3:uid="{A98AAD45-773D-48D9-B17A-EBFE31094BF5}" name="C13" dataDxfId="70"/>
    <tableColumn id="28" xr3:uid="{02FB93AA-8564-4D97-9E88-9D5F115FDBB8}" name="C14" dataDxfId="69"/>
    <tableColumn id="29" xr3:uid="{67B40E81-2761-4680-9AD0-B88C5CEA56A4}" name="C15" dataDxfId="68"/>
    <tableColumn id="30" xr3:uid="{4B7AA26B-D1F3-433A-A10C-845E847FC590}" name="C16" dataDxfId="67"/>
    <tableColumn id="31" xr3:uid="{3A280D40-A246-482A-9DBA-F68739E2C569}" name="C17" dataDxfId="66"/>
    <tableColumn id="32" xr3:uid="{AFD60292-9287-4481-A74F-E50C283A55C7}" name="C18" dataDxfId="65"/>
    <tableColumn id="33" xr3:uid="{198BD112-8E4C-4DDC-9072-A767C6CF05C2}" name="C19" dataDxfId="64"/>
    <tableColumn id="34" xr3:uid="{A8B34248-735F-432E-B459-5BD601F5FC8D}" name="C20" dataDxfId="63"/>
    <tableColumn id="35" xr3:uid="{37BD5FCF-B4D2-4E4D-9451-F12D50244F92}" name="C21" dataDxfId="62"/>
    <tableColumn id="36" xr3:uid="{25040C5B-4F3F-4ED0-BA07-E99BF0777818}" name="C22" dataDxfId="61"/>
    <tableColumn id="37" xr3:uid="{62AA482E-3E43-4765-8EF5-091BDC6F5225}" name="C23" dataDxfId="60"/>
    <tableColumn id="38" xr3:uid="{6189A7D6-D058-4992-BAAD-5648451DBE7B}" name="C24" dataDxfId="59"/>
    <tableColumn id="39" xr3:uid="{03075F3A-DC5D-45FB-97E2-813443679335}" name="C25" dataDxfId="58"/>
    <tableColumn id="40" xr3:uid="{1CAE1948-896E-41F8-BE21-A71BC9DC3F62}" name="C26" dataDxfId="57"/>
    <tableColumn id="41" xr3:uid="{0F9253E4-3E01-4F9C-B378-4E5395D92C17}" name="C27" dataDxfId="56"/>
    <tableColumn id="42" xr3:uid="{790F122F-27AD-426B-B13F-CD3FD8585104}" name="C28" dataDxfId="55"/>
    <tableColumn id="43" xr3:uid="{914053C2-B3E8-4720-BDEB-C49C4AC4B50C}" name="C29" dataDxfId="54"/>
    <tableColumn id="44" xr3:uid="{EA343FC2-4F25-4069-A46E-F4AEA2D1FB0D}" name="C30" dataDxfId="53"/>
    <tableColumn id="45" xr3:uid="{47B7D432-8691-4365-A12D-A95EBA7CE5BF}" name="C31" dataDxfId="52"/>
    <tableColumn id="46" xr3:uid="{E79689C4-C517-47F1-8241-23FD91CA3AF8}" name="C32" dataDxfId="51"/>
    <tableColumn id="47" xr3:uid="{2FA4D317-3D5C-44EF-A807-7C79CA6DE08F}" name="C33" dataDxfId="50"/>
    <tableColumn id="48" xr3:uid="{E0495E75-DC25-41A2-B74D-D75A5B814720}" name="C34" dataDxfId="49"/>
    <tableColumn id="49" xr3:uid="{391ADC20-5896-4360-93CD-0DC4113C861A}" name="C35" dataDxfId="48"/>
    <tableColumn id="50" xr3:uid="{D3068C68-0745-4B1A-9B51-7B8AE775A3C2}" name="C36" dataDxfId="47"/>
    <tableColumn id="51" xr3:uid="{87A37F2E-DC1F-4465-8265-57453ACCFA7D}" name="C37" dataDxfId="46"/>
    <tableColumn id="52" xr3:uid="{0C143BFE-C15F-4E3B-9257-D864E72AC3C7}" name="C38" dataDxfId="45"/>
    <tableColumn id="53" xr3:uid="{23B57741-D513-4B43-B61B-413AAD1DF505}" name="C39" dataDxfId="44"/>
    <tableColumn id="54" xr3:uid="{D4C5FDA7-640B-430F-A37A-34C1B0974FEA}" name="C40" dataDxfId="43"/>
    <tableColumn id="55" xr3:uid="{967EE029-FD3C-4B14-BFA2-01A8A6B13DF9}" name="C41" dataDxfId="42"/>
    <tableColumn id="56" xr3:uid="{FAB6B7EC-6A7F-4477-B654-6EE17469CD28}" name="C42" dataDxfId="41"/>
    <tableColumn id="57" xr3:uid="{04A76D1B-58C8-4134-8675-7F798C7CC071}" name="C43" dataDxfId="40"/>
    <tableColumn id="58" xr3:uid="{EF3EBBF3-8E90-4165-93CB-931208884994}" name="C44" dataDxfId="39"/>
    <tableColumn id="59" xr3:uid="{12DCEA53-9568-4DC1-AE4A-7FDBC5F91F6A}" name="C45" dataDxfId="38"/>
    <tableColumn id="60" xr3:uid="{B32091E3-23E2-4838-B370-F5F4F6AF4391}" name="C46" dataDxfId="37"/>
    <tableColumn id="61" xr3:uid="{941493BE-7E41-40EB-A92A-13E61CA793DF}" name="C47" dataDxfId="36"/>
    <tableColumn id="62" xr3:uid="{624092EB-DE2D-4103-9DC8-D735247BE38A}" name="C48" dataDxfId="35"/>
    <tableColumn id="63" xr3:uid="{C341EF51-157C-40D4-BAAB-7C160B7054C1}" name="C49" dataDxfId="34"/>
    <tableColumn id="64" xr3:uid="{DA4D28A5-88DF-4407-AC1D-C4D1E96BB2BD}" name="C50" dataDxfId="33"/>
    <tableColumn id="65" xr3:uid="{718614D1-EAA2-417F-8582-419F6FC18C4F}" name="C51" dataDxfId="32"/>
    <tableColumn id="66" xr3:uid="{67253AB3-C9EC-48C3-AEC5-8D53411CA06F}" name="C52" dataDxfId="31"/>
    <tableColumn id="67" xr3:uid="{5EBAF0C3-6EC7-4A9B-9FA3-C1CA444A0E60}" name="C53" dataDxfId="30"/>
    <tableColumn id="68" xr3:uid="{D6C0FAE2-93FB-4C8B-A3F0-F0F163FBA4B9}" name="C54" dataDxfId="29"/>
    <tableColumn id="69" xr3:uid="{0417A7FC-6F57-4FC6-B561-A4886A53AC9E}" name="C55" dataDxfId="28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D587BF-4941-494E-8286-12BEDF66C37E}" name="TabLangue" displayName="TabLangue" ref="A1:B47" totalsRowShown="0" headerRowDxfId="15" dataDxfId="14">
  <autoFilter ref="A1:B47" xr:uid="{B5D587BF-4941-494E-8286-12BEDF66C37E}"/>
  <sortState xmlns:xlrd2="http://schemas.microsoft.com/office/spreadsheetml/2017/richdata2" ref="A2:B42">
    <sortCondition ref="A1:A42"/>
  </sortState>
  <tableColumns count="2">
    <tableColumn id="1" xr3:uid="{B4E1D0D0-3B56-4681-9C12-E4E0A7B249E7}" name="Français" dataDxfId="13"/>
    <tableColumn id="2" xr3:uid="{0BB770F7-4074-4401-B5B1-F4C9F70282CE}" name="Anglais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70EDAB-C041-4F41-BDCA-2F8157291E0E}" name="TabLang" displayName="TabLang" ref="F1:F3" totalsRowShown="0">
  <autoFilter ref="F1:F3" xr:uid="{7970EDAB-C041-4F41-BDCA-2F8157291E0E}"/>
  <tableColumns count="1">
    <tableColumn id="1" xr3:uid="{7191A708-46DC-43F3-8911-A0EDD5FF02F1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N7:AN9" totalsRowShown="0" headerRowDxfId="10" dataDxfId="9">
  <autoFilter ref="AN7:AN9" xr:uid="{3253F210-AA72-4E4F-8C81-A40297988F38}">
    <filterColumn colId="0" hiddenButton="1"/>
  </autoFilter>
  <tableColumns count="1">
    <tableColumn id="1" xr3:uid="{E4B9B9C9-4A8A-4CC5-9DE7-282289B33A24}" name="Thème En tête" dataDxfId="8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619783-D82F-4498-8A20-FC7B116FA774}" name="TabColor" displayName="TabColor" ref="B8:B10" totalsRowShown="0" dataDxfId="7">
  <autoFilter ref="B8:B10" xr:uid="{D3619783-D82F-4498-8A20-FC7B116FA774}">
    <filterColumn colId="0" hiddenButton="1"/>
  </autoFilter>
  <tableColumns count="1">
    <tableColumn id="1" xr3:uid="{847962CE-3DD0-4BBA-BD4C-399FCB54C704}" name="Color" dataDxfId="6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5CA638-E0CD-4A2B-8D54-5254B6BDCF0E}" name="TabProjJalon" displayName="TabProjJalon" ref="AG9:AG11" totalsRowShown="0" headerRowDxfId="5" dataDxfId="3" headerRowBorderDxfId="4" tableBorderDxfId="2" totalsRowBorderDxfId="1">
  <autoFilter ref="AG9:AG11" xr:uid="{4B5CA638-E0CD-4A2B-8D54-5254B6BDCF0E}"/>
  <tableColumns count="1">
    <tableColumn id="1" xr3:uid="{B523DBB2-83F3-4860-A234-363AF5134272}" name="Co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M7" sqref="M7"/>
    </sheetView>
  </sheetViews>
  <sheetFormatPr defaultColWidth="8.88671875" defaultRowHeight="14.4" x14ac:dyDescent="0.3"/>
  <cols>
    <col min="1" max="1" width="2.33203125" customWidth="1"/>
    <col min="2" max="2" width="3.5546875" customWidth="1"/>
    <col min="6" max="6" width="20" customWidth="1"/>
    <col min="7" max="8" width="11.33203125" customWidth="1"/>
    <col min="9" max="9" width="13.6640625" customWidth="1"/>
    <col min="10" max="11" width="20" customWidth="1"/>
    <col min="13" max="13" width="20.33203125" customWidth="1"/>
    <col min="14" max="14" width="19.6640625" customWidth="1"/>
  </cols>
  <sheetData>
    <row r="1" spans="2:14" ht="18" customHeight="1" x14ac:dyDescent="0.3">
      <c r="F1" s="1"/>
      <c r="G1" s="1"/>
      <c r="H1" s="1"/>
      <c r="I1" s="1"/>
      <c r="J1" s="1"/>
      <c r="K1" s="1"/>
      <c r="L1" s="1"/>
      <c r="M1" s="7" t="s">
        <v>68</v>
      </c>
      <c r="N1" s="5">
        <v>44893</v>
      </c>
    </row>
    <row r="2" spans="2:14" ht="18" customHeight="1" x14ac:dyDescent="0.3">
      <c r="F2" s="1"/>
      <c r="G2" s="1"/>
      <c r="H2" s="1"/>
      <c r="I2" s="1"/>
      <c r="J2" s="1"/>
      <c r="K2" s="1"/>
      <c r="L2" s="1"/>
      <c r="M2" s="7" t="s">
        <v>69</v>
      </c>
      <c r="N2" s="4"/>
    </row>
    <row r="3" spans="2:14" ht="18" customHeight="1" thickBot="1" x14ac:dyDescent="0.35">
      <c r="F3" s="1"/>
      <c r="G3" s="1"/>
      <c r="H3" s="1"/>
      <c r="I3" s="1"/>
      <c r="J3" s="1"/>
      <c r="K3" s="1"/>
      <c r="L3" s="1"/>
      <c r="M3" s="6" t="s">
        <v>70</v>
      </c>
      <c r="N3" s="4" t="s">
        <v>71</v>
      </c>
    </row>
    <row r="4" spans="2:14" ht="28.95" customHeight="1" thickTop="1" thickBot="1" x14ac:dyDescent="0.35">
      <c r="B4" s="3"/>
      <c r="C4" s="3" t="s">
        <v>74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2:14" ht="15" thickTop="1" x14ac:dyDescent="0.3"/>
    <row r="6" spans="2:14" ht="18" x14ac:dyDescent="0.3">
      <c r="B6" s="22" t="s">
        <v>89</v>
      </c>
    </row>
    <row r="7" spans="2:14" ht="15.6" x14ac:dyDescent="0.3">
      <c r="B7" s="23" t="s">
        <v>90</v>
      </c>
    </row>
    <row r="21" spans="2:18" ht="18" x14ac:dyDescent="0.35">
      <c r="B21" s="24" t="s">
        <v>91</v>
      </c>
      <c r="C21" s="25"/>
      <c r="D21" s="25"/>
      <c r="E21" s="25"/>
      <c r="F21" s="25"/>
      <c r="G21" s="25"/>
      <c r="H21" s="25"/>
      <c r="I21" s="25"/>
      <c r="J21" s="25"/>
      <c r="K21" s="25"/>
      <c r="L21" s="26"/>
      <c r="M21" s="26"/>
      <c r="N21" s="26"/>
      <c r="O21" s="26"/>
      <c r="P21" s="26"/>
      <c r="Q21" s="26"/>
      <c r="R21" s="26"/>
    </row>
    <row r="22" spans="2:18" ht="39.6" customHeight="1" x14ac:dyDescent="0.3">
      <c r="B22" s="90" t="s">
        <v>92</v>
      </c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</row>
    <row r="28" spans="2:18" ht="21" x14ac:dyDescent="0.3">
      <c r="B28" s="27" t="s">
        <v>93</v>
      </c>
    </row>
    <row r="29" spans="2:18" ht="18" x14ac:dyDescent="0.3">
      <c r="B29" s="28" t="s">
        <v>94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2:18" ht="15.6" customHeight="1" x14ac:dyDescent="0.3">
      <c r="B30" s="29" t="s">
        <v>95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</row>
    <row r="31" spans="2:18" ht="15.6" customHeight="1" x14ac:dyDescent="0.3">
      <c r="B31" s="29" t="s">
        <v>96</v>
      </c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</row>
    <row r="52" spans="2:2" ht="15.6" x14ac:dyDescent="0.3">
      <c r="B52" s="29" t="s">
        <v>97</v>
      </c>
    </row>
    <row r="69" spans="2:2" ht="15.6" x14ac:dyDescent="0.3">
      <c r="B69" s="29" t="s">
        <v>98</v>
      </c>
    </row>
    <row r="70" spans="2:2" ht="15.6" x14ac:dyDescent="0.3">
      <c r="B70" s="29" t="s">
        <v>99</v>
      </c>
    </row>
    <row r="84" spans="2:2" ht="15.6" x14ac:dyDescent="0.3">
      <c r="B84" s="29" t="s">
        <v>100</v>
      </c>
    </row>
    <row r="85" spans="2:2" ht="15.6" x14ac:dyDescent="0.3">
      <c r="B85" s="29"/>
    </row>
    <row r="86" spans="2:2" ht="15.6" x14ac:dyDescent="0.3">
      <c r="B86" s="29" t="s">
        <v>101</v>
      </c>
    </row>
    <row r="87" spans="2:2" ht="15.6" x14ac:dyDescent="0.3">
      <c r="B87" s="29" t="s">
        <v>102</v>
      </c>
    </row>
    <row r="88" spans="2:2" ht="15.6" x14ac:dyDescent="0.3">
      <c r="B88" s="29"/>
    </row>
    <row r="89" spans="2:2" ht="15.6" x14ac:dyDescent="0.3">
      <c r="B89" s="29"/>
    </row>
    <row r="90" spans="2:2" ht="15.6" x14ac:dyDescent="0.3">
      <c r="B90" s="29"/>
    </row>
    <row r="91" spans="2:2" ht="15.6" x14ac:dyDescent="0.3">
      <c r="B91" s="29"/>
    </row>
    <row r="92" spans="2:2" ht="15.6" x14ac:dyDescent="0.3">
      <c r="B92" s="29"/>
    </row>
    <row r="93" spans="2:2" ht="15.6" x14ac:dyDescent="0.3">
      <c r="B93" s="29"/>
    </row>
    <row r="94" spans="2:2" ht="15.6" x14ac:dyDescent="0.3">
      <c r="B94" s="29"/>
    </row>
    <row r="95" spans="2:2" ht="15.6" x14ac:dyDescent="0.3">
      <c r="B95" s="29"/>
    </row>
    <row r="96" spans="2:2" ht="15.6" x14ac:dyDescent="0.3">
      <c r="B96" s="29"/>
    </row>
    <row r="97" spans="2:2" ht="15.6" x14ac:dyDescent="0.3">
      <c r="B97" s="29"/>
    </row>
    <row r="98" spans="2:2" ht="15.6" x14ac:dyDescent="0.3">
      <c r="B98" s="29"/>
    </row>
    <row r="99" spans="2:2" ht="15.6" x14ac:dyDescent="0.3">
      <c r="B99" s="29"/>
    </row>
    <row r="100" spans="2:2" ht="15.6" x14ac:dyDescent="0.3">
      <c r="B100" s="29"/>
    </row>
    <row r="101" spans="2:2" ht="15.6" x14ac:dyDescent="0.3">
      <c r="B101" s="29"/>
    </row>
    <row r="102" spans="2:2" ht="15.6" x14ac:dyDescent="0.3">
      <c r="B102" s="29"/>
    </row>
    <row r="103" spans="2:2" ht="15.6" x14ac:dyDescent="0.3">
      <c r="B103" s="29"/>
    </row>
    <row r="104" spans="2:2" ht="15.6" x14ac:dyDescent="0.3">
      <c r="B104" s="29"/>
    </row>
    <row r="105" spans="2:2" ht="15.6" x14ac:dyDescent="0.3">
      <c r="B105" s="29" t="s">
        <v>103</v>
      </c>
    </row>
    <row r="106" spans="2:2" ht="15.6" x14ac:dyDescent="0.3">
      <c r="B106" s="29"/>
    </row>
    <row r="107" spans="2:2" ht="15.6" x14ac:dyDescent="0.3">
      <c r="B107" s="29" t="s">
        <v>104</v>
      </c>
    </row>
    <row r="121" spans="2:2" ht="15.6" x14ac:dyDescent="0.3">
      <c r="B121" s="29" t="s">
        <v>105</v>
      </c>
    </row>
    <row r="134" spans="2:2" ht="18" x14ac:dyDescent="0.3">
      <c r="B134" s="28" t="s">
        <v>106</v>
      </c>
    </row>
    <row r="135" spans="2:2" ht="15.6" x14ac:dyDescent="0.3">
      <c r="B135" s="29" t="s">
        <v>107</v>
      </c>
    </row>
    <row r="150" spans="2:2" ht="15.6" x14ac:dyDescent="0.3">
      <c r="B150" s="29" t="s">
        <v>108</v>
      </c>
    </row>
    <row r="151" spans="2:2" ht="15.6" x14ac:dyDescent="0.3">
      <c r="B151" s="29" t="s">
        <v>109</v>
      </c>
    </row>
    <row r="153" spans="2:2" ht="18" x14ac:dyDescent="0.3">
      <c r="B153" s="28" t="s">
        <v>110</v>
      </c>
    </row>
    <row r="154" spans="2:2" ht="15.6" x14ac:dyDescent="0.3">
      <c r="B154" s="29" t="s">
        <v>111</v>
      </c>
    </row>
    <row r="155" spans="2:2" ht="15.6" x14ac:dyDescent="0.3">
      <c r="B155" s="29"/>
    </row>
    <row r="156" spans="2:2" ht="15.6" x14ac:dyDescent="0.3">
      <c r="B156" s="29"/>
    </row>
    <row r="164" spans="2:2" ht="15.6" x14ac:dyDescent="0.3">
      <c r="B164" s="29" t="s">
        <v>112</v>
      </c>
    </row>
    <row r="165" spans="2:2" ht="15.6" x14ac:dyDescent="0.3">
      <c r="B165" s="29" t="s">
        <v>113</v>
      </c>
    </row>
    <row r="166" spans="2:2" ht="15.6" x14ac:dyDescent="0.3">
      <c r="B166" s="29" t="s">
        <v>114</v>
      </c>
    </row>
    <row r="167" spans="2:2" ht="15.6" x14ac:dyDescent="0.3">
      <c r="B167" s="29"/>
    </row>
    <row r="168" spans="2:2" ht="15.6" x14ac:dyDescent="0.3">
      <c r="B168" s="29" t="s">
        <v>115</v>
      </c>
    </row>
    <row r="169" spans="2:2" ht="15.6" x14ac:dyDescent="0.3">
      <c r="B169" s="29"/>
    </row>
    <row r="170" spans="2:2" ht="15.6" x14ac:dyDescent="0.3">
      <c r="B170" s="29"/>
    </row>
    <row r="171" spans="2:2" ht="15.6" x14ac:dyDescent="0.3">
      <c r="B171" s="29"/>
    </row>
    <row r="172" spans="2:2" ht="15.6" x14ac:dyDescent="0.3">
      <c r="B172" s="29"/>
    </row>
    <row r="173" spans="2:2" ht="15.6" x14ac:dyDescent="0.3">
      <c r="B173" s="29"/>
    </row>
    <row r="174" spans="2:2" ht="15.6" x14ac:dyDescent="0.3">
      <c r="B174" s="29"/>
    </row>
    <row r="175" spans="2:2" ht="15.6" x14ac:dyDescent="0.3">
      <c r="B175" s="29"/>
    </row>
    <row r="176" spans="2:2" ht="15.6" x14ac:dyDescent="0.3">
      <c r="B176" s="29"/>
    </row>
    <row r="177" spans="2:2" ht="15.6" x14ac:dyDescent="0.3">
      <c r="B177" s="29"/>
    </row>
    <row r="178" spans="2:2" ht="15.6" x14ac:dyDescent="0.3">
      <c r="B178" s="29"/>
    </row>
    <row r="179" spans="2:2" ht="15.6" x14ac:dyDescent="0.3">
      <c r="B179" s="29"/>
    </row>
    <row r="180" spans="2:2" ht="15.6" x14ac:dyDescent="0.3">
      <c r="B180" s="29"/>
    </row>
    <row r="181" spans="2:2" ht="18" x14ac:dyDescent="0.3">
      <c r="B181" s="28" t="s">
        <v>116</v>
      </c>
    </row>
    <row r="182" spans="2:2" ht="15.6" x14ac:dyDescent="0.3">
      <c r="B182" s="29" t="s">
        <v>117</v>
      </c>
    </row>
    <row r="183" spans="2:2" ht="15.6" x14ac:dyDescent="0.3">
      <c r="B183" s="29"/>
    </row>
    <row r="184" spans="2:2" ht="15.6" x14ac:dyDescent="0.3">
      <c r="B184" s="29"/>
    </row>
    <row r="185" spans="2:2" ht="15.6" x14ac:dyDescent="0.3">
      <c r="B185" s="29"/>
    </row>
    <row r="186" spans="2:2" ht="15.6" x14ac:dyDescent="0.3">
      <c r="B186" s="29"/>
    </row>
    <row r="187" spans="2:2" ht="15.6" x14ac:dyDescent="0.3">
      <c r="B187" s="29"/>
    </row>
    <row r="188" spans="2:2" ht="15.6" x14ac:dyDescent="0.3">
      <c r="B188" s="29"/>
    </row>
    <row r="189" spans="2:2" ht="15.6" x14ac:dyDescent="0.3">
      <c r="B189" s="29"/>
    </row>
    <row r="190" spans="2:2" ht="15.6" x14ac:dyDescent="0.3">
      <c r="B190" s="29"/>
    </row>
    <row r="191" spans="2:2" ht="15.6" x14ac:dyDescent="0.3">
      <c r="B191" s="29"/>
    </row>
    <row r="192" spans="2:2" ht="15.6" x14ac:dyDescent="0.3">
      <c r="B192" s="29"/>
    </row>
    <row r="193" spans="2:2" ht="15.6" x14ac:dyDescent="0.3">
      <c r="B193" s="29"/>
    </row>
    <row r="194" spans="2:2" ht="15.6" x14ac:dyDescent="0.3">
      <c r="B194" s="29"/>
    </row>
    <row r="195" spans="2:2" ht="15.6" x14ac:dyDescent="0.3">
      <c r="B195" s="29"/>
    </row>
    <row r="196" spans="2:2" ht="15.6" x14ac:dyDescent="0.3">
      <c r="B196" s="29" t="s">
        <v>118</v>
      </c>
    </row>
    <row r="197" spans="2:2" ht="15.6" x14ac:dyDescent="0.3">
      <c r="B197" s="29" t="s">
        <v>119</v>
      </c>
    </row>
    <row r="198" spans="2:2" ht="15.6" x14ac:dyDescent="0.3">
      <c r="B198" s="29"/>
    </row>
    <row r="199" spans="2:2" ht="15.6" x14ac:dyDescent="0.3">
      <c r="B199" s="29"/>
    </row>
    <row r="200" spans="2:2" ht="15.6" x14ac:dyDescent="0.3">
      <c r="B200" s="29"/>
    </row>
    <row r="201" spans="2:2" ht="15.6" x14ac:dyDescent="0.3">
      <c r="B201" s="29"/>
    </row>
    <row r="202" spans="2:2" ht="15.6" x14ac:dyDescent="0.3">
      <c r="B202" s="29"/>
    </row>
    <row r="203" spans="2:2" ht="15.6" x14ac:dyDescent="0.3">
      <c r="B203" s="29"/>
    </row>
    <row r="204" spans="2:2" ht="15.6" x14ac:dyDescent="0.3">
      <c r="B204" s="29"/>
    </row>
    <row r="205" spans="2:2" ht="15.6" x14ac:dyDescent="0.3">
      <c r="B205" s="29"/>
    </row>
    <row r="206" spans="2:2" ht="15.6" x14ac:dyDescent="0.3">
      <c r="B206" s="29"/>
    </row>
    <row r="207" spans="2:2" ht="15.6" x14ac:dyDescent="0.3">
      <c r="B207" s="29"/>
    </row>
    <row r="208" spans="2:2" ht="15.6" x14ac:dyDescent="0.3">
      <c r="B208" s="29"/>
    </row>
    <row r="209" spans="2:2" ht="15.6" x14ac:dyDescent="0.3">
      <c r="B209" s="29"/>
    </row>
    <row r="210" spans="2:2" ht="15.6" x14ac:dyDescent="0.3">
      <c r="B210" s="29"/>
    </row>
    <row r="211" spans="2:2" ht="15.6" x14ac:dyDescent="0.3">
      <c r="B211" s="29"/>
    </row>
    <row r="212" spans="2:2" ht="15.6" x14ac:dyDescent="0.3">
      <c r="B212" s="29"/>
    </row>
    <row r="213" spans="2:2" ht="15.6" x14ac:dyDescent="0.3">
      <c r="B213" s="29"/>
    </row>
    <row r="214" spans="2:2" ht="15.6" x14ac:dyDescent="0.3">
      <c r="B214" s="29"/>
    </row>
    <row r="215" spans="2:2" ht="15.6" x14ac:dyDescent="0.3">
      <c r="B215" s="29"/>
    </row>
    <row r="216" spans="2:2" ht="15.6" x14ac:dyDescent="0.3">
      <c r="B216" s="29"/>
    </row>
    <row r="217" spans="2:2" ht="15.6" x14ac:dyDescent="0.3">
      <c r="B217" s="29" t="s">
        <v>120</v>
      </c>
    </row>
    <row r="218" spans="2:2" ht="15.6" x14ac:dyDescent="0.3">
      <c r="B218" s="29"/>
    </row>
    <row r="219" spans="2:2" ht="15.6" x14ac:dyDescent="0.3">
      <c r="B219" s="29"/>
    </row>
    <row r="220" spans="2:2" ht="15.6" x14ac:dyDescent="0.3">
      <c r="B220" s="29"/>
    </row>
    <row r="221" spans="2:2" ht="15.6" x14ac:dyDescent="0.3">
      <c r="B221" s="29"/>
    </row>
    <row r="222" spans="2:2" ht="15.6" x14ac:dyDescent="0.3">
      <c r="B222" s="29"/>
    </row>
    <row r="223" spans="2:2" ht="15.6" x14ac:dyDescent="0.3">
      <c r="B223" s="29"/>
    </row>
    <row r="224" spans="2:2" ht="15.6" x14ac:dyDescent="0.3">
      <c r="B224" s="29"/>
    </row>
    <row r="225" spans="2:2" ht="15.6" x14ac:dyDescent="0.3">
      <c r="B225" s="29"/>
    </row>
    <row r="226" spans="2:2" ht="15.6" x14ac:dyDescent="0.3">
      <c r="B226" s="29"/>
    </row>
    <row r="227" spans="2:2" ht="15.6" x14ac:dyDescent="0.3">
      <c r="B227" s="29"/>
    </row>
    <row r="228" spans="2:2" ht="15.6" x14ac:dyDescent="0.3">
      <c r="B228" s="29"/>
    </row>
    <row r="229" spans="2:2" ht="15.6" x14ac:dyDescent="0.3">
      <c r="B229" s="29"/>
    </row>
    <row r="230" spans="2:2" ht="15.6" x14ac:dyDescent="0.3">
      <c r="B230" s="29"/>
    </row>
    <row r="231" spans="2:2" ht="15.6" x14ac:dyDescent="0.3">
      <c r="B231" s="29"/>
    </row>
    <row r="232" spans="2:2" ht="15.6" x14ac:dyDescent="0.3">
      <c r="B232" s="29"/>
    </row>
    <row r="233" spans="2:2" ht="18" x14ac:dyDescent="0.3">
      <c r="B233" s="28" t="s">
        <v>121</v>
      </c>
    </row>
    <row r="234" spans="2:2" ht="15.6" x14ac:dyDescent="0.3">
      <c r="B234" s="29" t="s">
        <v>122</v>
      </c>
    </row>
    <row r="235" spans="2:2" ht="15.6" x14ac:dyDescent="0.3">
      <c r="B235" s="29" t="s">
        <v>123</v>
      </c>
    </row>
    <row r="236" spans="2:2" ht="15.6" x14ac:dyDescent="0.3">
      <c r="B236" s="29" t="s">
        <v>124</v>
      </c>
    </row>
    <row r="237" spans="2:2" ht="15.6" x14ac:dyDescent="0.3">
      <c r="B237" s="29"/>
    </row>
    <row r="238" spans="2:2" ht="15.6" x14ac:dyDescent="0.3">
      <c r="B238" s="29"/>
    </row>
    <row r="239" spans="2:2" ht="15.6" x14ac:dyDescent="0.3">
      <c r="B239" s="29"/>
    </row>
    <row r="240" spans="2:2" ht="15.6" x14ac:dyDescent="0.3">
      <c r="B240" s="29"/>
    </row>
    <row r="241" spans="2:2" ht="15.6" x14ac:dyDescent="0.3">
      <c r="B241" s="29"/>
    </row>
    <row r="242" spans="2:2" ht="15.6" x14ac:dyDescent="0.3">
      <c r="B242" s="29"/>
    </row>
    <row r="243" spans="2:2" ht="15.6" x14ac:dyDescent="0.3">
      <c r="B243" s="29"/>
    </row>
    <row r="244" spans="2:2" ht="15.6" x14ac:dyDescent="0.3">
      <c r="B244" s="29"/>
    </row>
    <row r="245" spans="2:2" ht="15.6" x14ac:dyDescent="0.3">
      <c r="B245" s="29"/>
    </row>
    <row r="246" spans="2:2" ht="15.6" x14ac:dyDescent="0.3">
      <c r="B246" s="29"/>
    </row>
    <row r="247" spans="2:2" ht="15.6" x14ac:dyDescent="0.3">
      <c r="B247" s="29"/>
    </row>
    <row r="248" spans="2:2" ht="15.6" x14ac:dyDescent="0.3">
      <c r="B248" s="29"/>
    </row>
    <row r="249" spans="2:2" ht="15.6" x14ac:dyDescent="0.3">
      <c r="B249" s="29" t="s">
        <v>125</v>
      </c>
    </row>
    <row r="250" spans="2:2" ht="15.6" x14ac:dyDescent="0.3">
      <c r="B250" s="29"/>
    </row>
    <row r="251" spans="2:2" ht="15.6" x14ac:dyDescent="0.3">
      <c r="B251" s="29"/>
    </row>
    <row r="252" spans="2:2" ht="15.6" x14ac:dyDescent="0.3">
      <c r="B252" s="29"/>
    </row>
    <row r="253" spans="2:2" ht="15.6" x14ac:dyDescent="0.3">
      <c r="B253" s="29"/>
    </row>
    <row r="254" spans="2:2" ht="15.6" x14ac:dyDescent="0.3">
      <c r="B254" s="29"/>
    </row>
    <row r="255" spans="2:2" ht="15.6" x14ac:dyDescent="0.3">
      <c r="B255" s="29"/>
    </row>
    <row r="256" spans="2:2" ht="15.6" x14ac:dyDescent="0.3">
      <c r="B256" s="29"/>
    </row>
    <row r="257" spans="2:2" ht="15.6" x14ac:dyDescent="0.3">
      <c r="B257" s="29"/>
    </row>
    <row r="258" spans="2:2" ht="15.6" x14ac:dyDescent="0.3">
      <c r="B258" s="29"/>
    </row>
    <row r="259" spans="2:2" ht="15.6" x14ac:dyDescent="0.3">
      <c r="B259" s="29"/>
    </row>
    <row r="260" spans="2:2" ht="15.6" x14ac:dyDescent="0.3">
      <c r="B260" s="29"/>
    </row>
    <row r="261" spans="2:2" ht="15.6" x14ac:dyDescent="0.3">
      <c r="B261" s="29"/>
    </row>
    <row r="262" spans="2:2" ht="15.6" x14ac:dyDescent="0.3">
      <c r="B262" s="29"/>
    </row>
    <row r="263" spans="2:2" ht="15.6" x14ac:dyDescent="0.3">
      <c r="B263" s="29" t="s">
        <v>126</v>
      </c>
    </row>
    <row r="265" spans="2:2" ht="15.6" x14ac:dyDescent="0.3">
      <c r="B265" s="29"/>
    </row>
    <row r="266" spans="2:2" ht="15.6" x14ac:dyDescent="0.3">
      <c r="B266" s="29"/>
    </row>
    <row r="267" spans="2:2" ht="15.6" x14ac:dyDescent="0.3">
      <c r="B267" s="29"/>
    </row>
    <row r="268" spans="2:2" ht="15.6" x14ac:dyDescent="0.3">
      <c r="B268" s="29"/>
    </row>
    <row r="269" spans="2:2" ht="15.6" x14ac:dyDescent="0.3">
      <c r="B269" s="29"/>
    </row>
    <row r="270" spans="2:2" ht="15.6" x14ac:dyDescent="0.3">
      <c r="B270" s="29"/>
    </row>
    <row r="271" spans="2:2" ht="15.6" x14ac:dyDescent="0.3">
      <c r="B271" s="29"/>
    </row>
    <row r="272" spans="2:2" ht="15.6" x14ac:dyDescent="0.3">
      <c r="B272" s="29"/>
    </row>
    <row r="273" spans="2:2" ht="15.6" x14ac:dyDescent="0.3">
      <c r="B273" s="29"/>
    </row>
    <row r="274" spans="2:2" ht="15.6" x14ac:dyDescent="0.3">
      <c r="B274" s="29"/>
    </row>
    <row r="275" spans="2:2" ht="15.6" x14ac:dyDescent="0.3">
      <c r="B275" s="29"/>
    </row>
    <row r="276" spans="2:2" ht="15.6" x14ac:dyDescent="0.3">
      <c r="B276" s="29"/>
    </row>
    <row r="277" spans="2:2" ht="15.6" x14ac:dyDescent="0.3">
      <c r="B277" s="29"/>
    </row>
    <row r="278" spans="2:2" ht="15.6" x14ac:dyDescent="0.3">
      <c r="B278" s="29"/>
    </row>
    <row r="279" spans="2:2" ht="15.6" x14ac:dyDescent="0.3">
      <c r="B279" s="29"/>
    </row>
    <row r="280" spans="2:2" ht="15.6" x14ac:dyDescent="0.3">
      <c r="B280" s="29"/>
    </row>
    <row r="281" spans="2:2" ht="15.6" x14ac:dyDescent="0.3">
      <c r="B281" s="29"/>
    </row>
    <row r="282" spans="2:2" ht="15.6" x14ac:dyDescent="0.3">
      <c r="B282" s="29"/>
    </row>
    <row r="283" spans="2:2" ht="15.6" x14ac:dyDescent="0.3">
      <c r="B283" s="29"/>
    </row>
    <row r="284" spans="2:2" ht="15.6" x14ac:dyDescent="0.3">
      <c r="B284" s="29"/>
    </row>
    <row r="285" spans="2:2" ht="15.6" x14ac:dyDescent="0.3">
      <c r="B285" s="29"/>
    </row>
    <row r="286" spans="2:2" ht="15.6" x14ac:dyDescent="0.3">
      <c r="B286" s="29"/>
    </row>
    <row r="287" spans="2:2" ht="15.6" x14ac:dyDescent="0.3">
      <c r="B287" s="29"/>
    </row>
    <row r="288" spans="2:2" ht="15.6" x14ac:dyDescent="0.3">
      <c r="B288" s="29"/>
    </row>
    <row r="289" spans="2:2" ht="15.6" x14ac:dyDescent="0.3">
      <c r="B289" s="29"/>
    </row>
    <row r="290" spans="2:2" ht="15.6" x14ac:dyDescent="0.3">
      <c r="B290" s="29"/>
    </row>
    <row r="291" spans="2:2" ht="15.6" x14ac:dyDescent="0.3">
      <c r="B291" s="29"/>
    </row>
    <row r="292" spans="2:2" ht="15.6" x14ac:dyDescent="0.3">
      <c r="B292" s="29"/>
    </row>
    <row r="293" spans="2:2" ht="15.6" x14ac:dyDescent="0.3">
      <c r="B293" s="29"/>
    </row>
    <row r="294" spans="2:2" ht="15.6" x14ac:dyDescent="0.3">
      <c r="B294" s="29"/>
    </row>
    <row r="295" spans="2:2" ht="15.6" x14ac:dyDescent="0.3">
      <c r="B295" s="29"/>
    </row>
    <row r="296" spans="2:2" ht="15.6" x14ac:dyDescent="0.3">
      <c r="B296" s="29"/>
    </row>
    <row r="297" spans="2:2" ht="15.6" x14ac:dyDescent="0.3">
      <c r="B297" s="29"/>
    </row>
    <row r="298" spans="2:2" ht="15.6" x14ac:dyDescent="0.3">
      <c r="B298" s="29"/>
    </row>
    <row r="299" spans="2:2" ht="15.6" x14ac:dyDescent="0.3">
      <c r="B299" s="29"/>
    </row>
    <row r="300" spans="2:2" ht="15.6" x14ac:dyDescent="0.3">
      <c r="B300" s="29"/>
    </row>
    <row r="301" spans="2:2" ht="15.6" x14ac:dyDescent="0.3">
      <c r="B301" s="29"/>
    </row>
    <row r="302" spans="2:2" ht="15.6" x14ac:dyDescent="0.3">
      <c r="B302" s="29"/>
    </row>
    <row r="303" spans="2:2" ht="15.6" x14ac:dyDescent="0.3">
      <c r="B303" s="29"/>
    </row>
    <row r="304" spans="2:2" ht="15.6" x14ac:dyDescent="0.3">
      <c r="B304" s="29"/>
    </row>
    <row r="305" spans="2:2" ht="15.6" x14ac:dyDescent="0.3">
      <c r="B305" s="29"/>
    </row>
    <row r="306" spans="2:2" ht="15.6" x14ac:dyDescent="0.3">
      <c r="B306" s="29"/>
    </row>
    <row r="307" spans="2:2" ht="15.6" x14ac:dyDescent="0.3">
      <c r="B307" s="29"/>
    </row>
    <row r="308" spans="2:2" ht="15.6" x14ac:dyDescent="0.3">
      <c r="B308" s="29"/>
    </row>
    <row r="309" spans="2:2" ht="15.6" x14ac:dyDescent="0.3">
      <c r="B309" s="29"/>
    </row>
    <row r="310" spans="2:2" ht="15.6" x14ac:dyDescent="0.3">
      <c r="B310" s="29"/>
    </row>
    <row r="311" spans="2:2" ht="15.6" x14ac:dyDescent="0.3">
      <c r="B311" s="29"/>
    </row>
    <row r="312" spans="2:2" ht="15.6" x14ac:dyDescent="0.3">
      <c r="B312" s="29"/>
    </row>
    <row r="313" spans="2:2" ht="15.6" x14ac:dyDescent="0.3">
      <c r="B313" s="29"/>
    </row>
    <row r="314" spans="2:2" ht="15.6" x14ac:dyDescent="0.3">
      <c r="B314" s="29"/>
    </row>
    <row r="315" spans="2:2" ht="15.6" x14ac:dyDescent="0.3">
      <c r="B315" s="29"/>
    </row>
    <row r="316" spans="2:2" ht="15.6" x14ac:dyDescent="0.3">
      <c r="B316" s="29"/>
    </row>
    <row r="317" spans="2:2" ht="15.6" x14ac:dyDescent="0.3">
      <c r="B317" s="29"/>
    </row>
    <row r="318" spans="2:2" ht="15.6" x14ac:dyDescent="0.3">
      <c r="B318" s="29"/>
    </row>
    <row r="319" spans="2:2" ht="15.6" x14ac:dyDescent="0.3">
      <c r="B319" s="29"/>
    </row>
    <row r="320" spans="2:2" ht="15.6" x14ac:dyDescent="0.3">
      <c r="B320" s="29"/>
    </row>
    <row r="321" spans="2:2" ht="15.6" x14ac:dyDescent="0.3">
      <c r="B321" s="29"/>
    </row>
    <row r="322" spans="2:2" ht="15.6" x14ac:dyDescent="0.3">
      <c r="B322" s="29"/>
    </row>
    <row r="323" spans="2:2" ht="15.6" x14ac:dyDescent="0.3">
      <c r="B323" s="29"/>
    </row>
    <row r="324" spans="2:2" ht="15.6" x14ac:dyDescent="0.3">
      <c r="B324" s="29"/>
    </row>
    <row r="325" spans="2:2" ht="15.6" x14ac:dyDescent="0.3">
      <c r="B325" s="29"/>
    </row>
    <row r="326" spans="2:2" ht="15.6" x14ac:dyDescent="0.3">
      <c r="B326" s="29"/>
    </row>
    <row r="327" spans="2:2" ht="15.6" x14ac:dyDescent="0.3">
      <c r="B327" s="29"/>
    </row>
    <row r="328" spans="2:2" ht="15.6" x14ac:dyDescent="0.3">
      <c r="B328" s="29"/>
    </row>
    <row r="329" spans="2:2" ht="15.6" x14ac:dyDescent="0.3">
      <c r="B329" s="29"/>
    </row>
    <row r="330" spans="2:2" ht="15.6" x14ac:dyDescent="0.3">
      <c r="B330" s="29"/>
    </row>
    <row r="331" spans="2:2" ht="15.6" x14ac:dyDescent="0.3">
      <c r="B331" s="29"/>
    </row>
    <row r="332" spans="2:2" ht="15.6" x14ac:dyDescent="0.3">
      <c r="B332" s="29"/>
    </row>
    <row r="333" spans="2:2" ht="15.6" x14ac:dyDescent="0.3">
      <c r="B333" s="29"/>
    </row>
    <row r="334" spans="2:2" ht="15.6" x14ac:dyDescent="0.3">
      <c r="B334" s="29"/>
    </row>
    <row r="335" spans="2:2" ht="15.6" x14ac:dyDescent="0.3">
      <c r="B335" s="29"/>
    </row>
    <row r="336" spans="2:2" ht="15.6" x14ac:dyDescent="0.3">
      <c r="B336" s="29"/>
    </row>
    <row r="337" spans="2:2" ht="15.6" x14ac:dyDescent="0.3">
      <c r="B337" s="29"/>
    </row>
    <row r="338" spans="2:2" ht="15.6" x14ac:dyDescent="0.3">
      <c r="B338" s="29"/>
    </row>
    <row r="339" spans="2:2" ht="15.6" x14ac:dyDescent="0.3">
      <c r="B339" s="29"/>
    </row>
    <row r="340" spans="2:2" ht="15.6" x14ac:dyDescent="0.3">
      <c r="B340" s="29"/>
    </row>
    <row r="341" spans="2:2" ht="15.6" x14ac:dyDescent="0.3">
      <c r="B341" s="29"/>
    </row>
    <row r="342" spans="2:2" ht="15.6" x14ac:dyDescent="0.3">
      <c r="B342" s="29"/>
    </row>
    <row r="343" spans="2:2" ht="15.6" x14ac:dyDescent="0.3">
      <c r="B343" s="29"/>
    </row>
    <row r="344" spans="2:2" ht="15.6" x14ac:dyDescent="0.3">
      <c r="B344" s="29"/>
    </row>
    <row r="345" spans="2:2" ht="15.6" x14ac:dyDescent="0.3">
      <c r="B345" s="29"/>
    </row>
    <row r="346" spans="2:2" ht="15.6" x14ac:dyDescent="0.3">
      <c r="B346" s="29"/>
    </row>
    <row r="347" spans="2:2" ht="15.6" x14ac:dyDescent="0.3">
      <c r="B347" s="29"/>
    </row>
    <row r="348" spans="2:2" ht="15.6" x14ac:dyDescent="0.3">
      <c r="B348" s="29"/>
    </row>
    <row r="349" spans="2:2" ht="15.6" x14ac:dyDescent="0.3">
      <c r="B349" s="29"/>
    </row>
    <row r="350" spans="2:2" ht="15.6" x14ac:dyDescent="0.3">
      <c r="B350" s="29"/>
    </row>
    <row r="351" spans="2:2" ht="15.6" x14ac:dyDescent="0.3">
      <c r="B351" s="29"/>
    </row>
    <row r="352" spans="2:2" ht="15.6" x14ac:dyDescent="0.3">
      <c r="B352" s="29"/>
    </row>
    <row r="353" spans="2:2" ht="15.6" x14ac:dyDescent="0.3">
      <c r="B353" s="29"/>
    </row>
    <row r="354" spans="2:2" ht="15.6" x14ac:dyDescent="0.3">
      <c r="B354" s="29"/>
    </row>
    <row r="355" spans="2:2" ht="15.6" x14ac:dyDescent="0.3">
      <c r="B355" s="29"/>
    </row>
    <row r="356" spans="2:2" ht="15.6" x14ac:dyDescent="0.3">
      <c r="B356" s="29"/>
    </row>
    <row r="357" spans="2:2" ht="15.6" x14ac:dyDescent="0.3">
      <c r="B357" s="29"/>
    </row>
    <row r="358" spans="2:2" ht="15.6" x14ac:dyDescent="0.3">
      <c r="B358" s="29"/>
    </row>
    <row r="359" spans="2:2" ht="15.6" x14ac:dyDescent="0.3">
      <c r="B359" s="29"/>
    </row>
    <row r="360" spans="2:2" ht="15.6" x14ac:dyDescent="0.3">
      <c r="B360" s="29"/>
    </row>
    <row r="361" spans="2:2" ht="15.6" x14ac:dyDescent="0.3">
      <c r="B361" s="29"/>
    </row>
    <row r="362" spans="2:2" ht="15.6" x14ac:dyDescent="0.3">
      <c r="B362" s="29"/>
    </row>
    <row r="363" spans="2:2" ht="15.6" x14ac:dyDescent="0.3">
      <c r="B363" s="29"/>
    </row>
    <row r="364" spans="2:2" ht="15.6" x14ac:dyDescent="0.3">
      <c r="B364" s="29"/>
    </row>
    <row r="365" spans="2:2" ht="15.6" x14ac:dyDescent="0.3">
      <c r="B365" s="29"/>
    </row>
    <row r="366" spans="2:2" ht="15.6" x14ac:dyDescent="0.3">
      <c r="B366" s="29"/>
    </row>
    <row r="367" spans="2:2" ht="15.6" x14ac:dyDescent="0.3">
      <c r="B367" s="29"/>
    </row>
    <row r="368" spans="2:2" ht="15.6" x14ac:dyDescent="0.3">
      <c r="B368" s="29"/>
    </row>
    <row r="369" spans="2:2" ht="15.6" x14ac:dyDescent="0.3">
      <c r="B369" s="29"/>
    </row>
    <row r="370" spans="2:2" ht="15.6" x14ac:dyDescent="0.3">
      <c r="B370" s="29"/>
    </row>
    <row r="371" spans="2:2" ht="15.6" x14ac:dyDescent="0.3">
      <c r="B371" s="29"/>
    </row>
    <row r="372" spans="2:2" ht="15.6" x14ac:dyDescent="0.3">
      <c r="B372" s="29"/>
    </row>
    <row r="373" spans="2:2" ht="15.6" x14ac:dyDescent="0.3">
      <c r="B373" s="29"/>
    </row>
    <row r="374" spans="2:2" ht="15.6" x14ac:dyDescent="0.3">
      <c r="B374" s="29"/>
    </row>
    <row r="375" spans="2:2" ht="15.6" x14ac:dyDescent="0.3">
      <c r="B375" s="29"/>
    </row>
    <row r="376" spans="2:2" ht="15.6" x14ac:dyDescent="0.3">
      <c r="B376" s="29"/>
    </row>
    <row r="377" spans="2:2" ht="15.6" x14ac:dyDescent="0.3">
      <c r="B377" s="29"/>
    </row>
    <row r="378" spans="2:2" ht="15.6" x14ac:dyDescent="0.3">
      <c r="B378" s="29"/>
    </row>
    <row r="379" spans="2:2" ht="15.6" x14ac:dyDescent="0.3">
      <c r="B379" s="29"/>
    </row>
    <row r="380" spans="2:2" ht="15.6" x14ac:dyDescent="0.3">
      <c r="B380" s="29"/>
    </row>
    <row r="381" spans="2:2" ht="15.6" x14ac:dyDescent="0.3">
      <c r="B381" s="29"/>
    </row>
    <row r="382" spans="2:2" ht="15.6" x14ac:dyDescent="0.3">
      <c r="B382" s="29"/>
    </row>
    <row r="383" spans="2:2" ht="15.6" x14ac:dyDescent="0.3">
      <c r="B383" s="29"/>
    </row>
    <row r="384" spans="2:2" ht="15.6" x14ac:dyDescent="0.3">
      <c r="B384" s="29"/>
    </row>
    <row r="385" spans="2:2" ht="15.6" x14ac:dyDescent="0.3">
      <c r="B385" s="29"/>
    </row>
    <row r="386" spans="2:2" ht="15.6" x14ac:dyDescent="0.3">
      <c r="B386" s="29"/>
    </row>
    <row r="387" spans="2:2" ht="15.6" x14ac:dyDescent="0.3">
      <c r="B387" s="29"/>
    </row>
    <row r="388" spans="2:2" ht="15.6" x14ac:dyDescent="0.3">
      <c r="B388" s="29"/>
    </row>
    <row r="389" spans="2:2" ht="15.6" x14ac:dyDescent="0.3">
      <c r="B389" s="29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ProjetClassique">
    <tabColor theme="4" tint="0.39997558519241921"/>
  </sheetPr>
  <dimension ref="B1:BP460"/>
  <sheetViews>
    <sheetView showGridLines="0" tabSelected="1" zoomScaleNormal="100" workbookViewId="0">
      <selection activeCell="B9" sqref="B9"/>
    </sheetView>
  </sheetViews>
  <sheetFormatPr defaultColWidth="8.88671875" defaultRowHeight="14.4" x14ac:dyDescent="0.3"/>
  <cols>
    <col min="1" max="1" width="2.88671875" style="41" customWidth="1"/>
    <col min="2" max="2" width="3.5546875" style="41" bestFit="1" customWidth="1"/>
    <col min="3" max="3" width="8.77734375" style="42" hidden="1" customWidth="1"/>
    <col min="4" max="4" width="6.21875" style="42" hidden="1" customWidth="1"/>
    <col min="5" max="5" width="9.44140625" style="42" hidden="1" customWidth="1"/>
    <col min="6" max="6" width="6.6640625" style="43" hidden="1" customWidth="1"/>
    <col min="7" max="7" width="75.44140625" style="41" customWidth="1"/>
    <col min="8" max="8" width="11.33203125" style="41" customWidth="1"/>
    <col min="9" max="9" width="10.5546875" style="41" bestFit="1" customWidth="1"/>
    <col min="10" max="10" width="17.33203125" style="41" customWidth="1"/>
    <col min="11" max="29" width="3.44140625" style="41" customWidth="1"/>
    <col min="30" max="38" width="3" style="41" customWidth="1"/>
    <col min="39" max="66" width="3.109375" style="41" customWidth="1"/>
    <col min="67" max="67" width="1.44140625" style="41" customWidth="1"/>
    <col min="68" max="16384" width="8.88671875" style="41"/>
  </cols>
  <sheetData>
    <row r="1" spans="2:68" ht="18" customHeight="1" x14ac:dyDescent="0.3">
      <c r="H1" s="95" t="s">
        <v>66</v>
      </c>
      <c r="I1" s="95"/>
      <c r="J1" s="97" t="s">
        <v>151</v>
      </c>
      <c r="K1" s="97"/>
      <c r="L1" s="97"/>
      <c r="N1" s="95" t="s">
        <v>147</v>
      </c>
      <c r="O1" s="95"/>
      <c r="P1" s="95"/>
      <c r="Q1" s="95"/>
      <c r="R1" s="95"/>
      <c r="S1" s="95"/>
      <c r="T1" s="95"/>
      <c r="U1" s="95"/>
      <c r="V1" s="14"/>
      <c r="W1" s="97" t="s">
        <v>150</v>
      </c>
      <c r="X1" s="97"/>
      <c r="Y1" s="97"/>
      <c r="Z1" s="97"/>
      <c r="AA1" s="97"/>
      <c r="AB1" s="97"/>
      <c r="AC1" s="97"/>
      <c r="AD1" s="97"/>
      <c r="AK1" s="91" t="s">
        <v>68</v>
      </c>
      <c r="AL1" s="91"/>
      <c r="AM1" s="91"/>
      <c r="AN1" s="91"/>
      <c r="AO1" s="91"/>
      <c r="AP1" s="91"/>
      <c r="AQ1" s="94">
        <v>44893</v>
      </c>
      <c r="AR1" s="94"/>
      <c r="AS1" s="94"/>
      <c r="AT1" s="94"/>
      <c r="AU1" s="94"/>
    </row>
    <row r="2" spans="2:68" ht="18" customHeight="1" x14ac:dyDescent="0.3">
      <c r="H2" s="96" t="s">
        <v>67</v>
      </c>
      <c r="I2" s="96"/>
      <c r="J2" s="98" t="s">
        <v>152</v>
      </c>
      <c r="K2" s="98"/>
      <c r="L2" s="98"/>
      <c r="N2" s="96" t="s">
        <v>148</v>
      </c>
      <c r="O2" s="96"/>
      <c r="P2" s="96"/>
      <c r="Q2" s="96"/>
      <c r="R2" s="96"/>
      <c r="S2" s="96"/>
      <c r="T2" s="96"/>
      <c r="U2" s="96"/>
      <c r="V2" s="14"/>
      <c r="W2" s="98" t="s">
        <v>149</v>
      </c>
      <c r="X2" s="98"/>
      <c r="Y2" s="98"/>
      <c r="Z2" s="98"/>
      <c r="AA2" s="98"/>
      <c r="AB2" s="98"/>
      <c r="AC2" s="98"/>
      <c r="AD2" s="98"/>
      <c r="AK2" s="91" t="s">
        <v>69</v>
      </c>
      <c r="AL2" s="91"/>
      <c r="AM2" s="91"/>
      <c r="AN2" s="91"/>
      <c r="AO2" s="91"/>
      <c r="AP2" s="91"/>
      <c r="AQ2" s="91"/>
      <c r="AR2" s="91"/>
      <c r="AS2" s="91"/>
      <c r="AT2" s="91"/>
      <c r="AU2" s="91"/>
    </row>
    <row r="3" spans="2:68" ht="18" customHeight="1" thickBot="1" x14ac:dyDescent="0.35">
      <c r="I3" s="10"/>
      <c r="K3" s="44"/>
      <c r="L3" s="44"/>
      <c r="M3" s="44"/>
      <c r="N3" s="44"/>
      <c r="O3" s="44"/>
      <c r="P3" s="44"/>
      <c r="Q3" s="44"/>
      <c r="AK3" s="92" t="s">
        <v>70</v>
      </c>
      <c r="AL3" s="92"/>
      <c r="AM3" s="92"/>
      <c r="AN3" s="92"/>
      <c r="AO3" s="92"/>
      <c r="AP3" s="92"/>
      <c r="AQ3" s="91" t="s">
        <v>71</v>
      </c>
      <c r="AR3" s="91"/>
      <c r="AS3" s="91"/>
      <c r="AT3" s="91"/>
      <c r="AU3" s="91"/>
    </row>
    <row r="4" spans="2:68" ht="28.95" customHeight="1" thickTop="1" thickBot="1" x14ac:dyDescent="0.35">
      <c r="B4" s="45"/>
      <c r="C4" s="46"/>
      <c r="D4" s="46"/>
      <c r="E4" s="46"/>
      <c r="F4" s="47"/>
      <c r="G4" s="45" t="s">
        <v>187</v>
      </c>
      <c r="H4" s="48" t="s">
        <v>160</v>
      </c>
      <c r="I4" s="37">
        <v>2</v>
      </c>
      <c r="J4" s="87">
        <v>2</v>
      </c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93">
        <v>45536</v>
      </c>
      <c r="AD4" s="93"/>
      <c r="AE4" s="93"/>
      <c r="AF4" s="93"/>
      <c r="AG4" s="93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</row>
    <row r="5" spans="2:68" ht="28.8" customHeight="1" thickTop="1" x14ac:dyDescent="0.3">
      <c r="K5" s="50" t="str">
        <f>UPPER(TEXT(DATE(YEAR($K$8), MONTH($K$8), DAY($K$8)-WEEKDAY($K$8, 2) + 1),"mmmm"))</f>
        <v>AOÛT</v>
      </c>
      <c r="L5" s="49" t="str">
        <f>UPPER(TEXT(DATE(YEAR($L$8), MONTH($L$8), DAY($L$8)-WEEKDAY($L$8, 2) + 1),"mmmm"))</f>
        <v>SEPTEMBRE</v>
      </c>
      <c r="M5" s="49"/>
      <c r="N5" s="49"/>
      <c r="O5" s="49"/>
      <c r="P5" s="49"/>
      <c r="Q5" s="50" t="str">
        <f>UPPER(TEXT(DATE(YEAR($Q$8), MONTH($Q$8), DAY($Q$8)-WEEKDAY($Q$8, 2) + 1),"mmmm"))</f>
        <v>OCTOBRE</v>
      </c>
      <c r="R5" s="50"/>
      <c r="S5" s="50"/>
      <c r="T5" s="50"/>
      <c r="U5" s="49" t="str">
        <f>UPPER(TEXT(DATE(YEAR($U$8), MONTH($U$8), DAY($U$8)-WEEKDAY($U$8, 2) + 1),"mmmm"))</f>
        <v>NOVEMBRE</v>
      </c>
      <c r="V5" s="49"/>
      <c r="W5" s="49"/>
      <c r="X5" s="49"/>
      <c r="Y5" s="50" t="str">
        <f>UPPER(TEXT(DATE(YEAR($Y$8), MONTH($Y$8), DAY($Y$8)-WEEKDAY($Y$8, 2) + 1),"mmmm"))</f>
        <v>DÉCEMBRE</v>
      </c>
      <c r="Z5" s="50"/>
      <c r="AA5" s="50"/>
      <c r="AB5" s="50"/>
      <c r="AC5" s="50"/>
      <c r="AD5" s="49" t="str">
        <f>UPPER(TEXT(DATE(YEAR($AD$8), MONTH($AD$8), DAY($AD$8)-WEEKDAY($AD$8, 2) + 1),"mmmm"))</f>
        <v>JANVIER</v>
      </c>
      <c r="AE5" s="49"/>
      <c r="AF5" s="49"/>
      <c r="AG5" s="49"/>
      <c r="AH5" s="50" t="str">
        <f>UPPER(TEXT(DATE(YEAR($AH$8), MONTH($AH$8), DAY($AH$8)-WEEKDAY($AH$8, 2) + 1),"mmmm"))</f>
        <v>FÉVRIER</v>
      </c>
      <c r="AI5" s="50"/>
      <c r="AJ5" s="50"/>
      <c r="AK5" s="50"/>
      <c r="AL5" s="49" t="str">
        <f>UPPER(TEXT(DATE(YEAR($AL$8), MONTH($AL$8), DAY($AL$8)-WEEKDAY($AL$8, 2) + 1),"mmmm"))</f>
        <v>MARS</v>
      </c>
      <c r="AM5" s="49"/>
      <c r="AN5" s="49"/>
      <c r="AO5" s="49"/>
      <c r="AP5" s="49"/>
      <c r="AQ5" s="50" t="str">
        <f>UPPER(TEXT(DATE(YEAR($AQ$8), MONTH($AQ$8), DAY($AQ$8)-WEEKDAY($AQ$8, 2) + 1),"mmmm"))</f>
        <v>AVRIL</v>
      </c>
      <c r="AR5" s="50"/>
      <c r="AS5" s="50"/>
      <c r="AT5" s="50"/>
      <c r="AU5" s="49" t="str">
        <f>UPPER(TEXT(DATE(YEAR($AU$8), MONTH($AU$8), DAY($AU$8)-WEEKDAY($AU$8, 2) + 1),"mmmm"))</f>
        <v>MAI</v>
      </c>
      <c r="AV5" s="49"/>
      <c r="AW5" s="49"/>
      <c r="AX5" s="49"/>
      <c r="AY5" s="50" t="str">
        <f>UPPER(TEXT(DATE(YEAR($AY$8), MONTH($AY$8), DAY($AY$8)-WEEKDAY($AY$8, 2) + 1),"mmmm"))</f>
        <v>JUIN</v>
      </c>
      <c r="AZ5" s="50"/>
      <c r="BA5" s="50"/>
      <c r="BB5" s="50"/>
      <c r="BC5" s="50"/>
      <c r="BD5" s="49" t="str">
        <f>UPPER(TEXT(DATE(YEAR($BD$8), MONTH($BD$8), DAY($BD$8)-WEEKDAY($BD$8, 2) + 1),"mmmm"))</f>
        <v>JUILLET</v>
      </c>
      <c r="BE5" s="49"/>
      <c r="BF5" s="49"/>
      <c r="BG5" s="49"/>
      <c r="BH5" s="50" t="str">
        <f>UPPER(TEXT(DATE(YEAR($BH$8), MONTH($BH$8), DAY($BH$8)-WEEKDAY($BH$8, 2) + 1),"mmmm"))</f>
        <v>AOÛT</v>
      </c>
      <c r="BI5" s="50"/>
      <c r="BJ5" s="50"/>
      <c r="BK5" s="50"/>
      <c r="BL5" s="49" t="str">
        <f>UPPER(TEXT(DATE(YEAR($BL$8), MONTH($BL$8), DAY($BL$8)-WEEKDAY($BL$8, 2) + 1),"mmmm"))</f>
        <v>SEPTEMBRE</v>
      </c>
      <c r="BM5" s="49"/>
      <c r="BN5" s="49"/>
    </row>
    <row r="6" spans="2:68" ht="14.4" customHeight="1" x14ac:dyDescent="0.3">
      <c r="K6" s="52" t="str">
        <f>RIGHT("0000" &amp; YEAR($K$8), 4)</f>
        <v>2024</v>
      </c>
      <c r="L6" s="51" t="str">
        <f>RIGHT("0000" &amp; YEAR($L$8), 4)</f>
        <v>2024</v>
      </c>
      <c r="M6" s="51"/>
      <c r="N6" s="51"/>
      <c r="O6" s="51"/>
      <c r="P6" s="51"/>
      <c r="Q6" s="52" t="str">
        <f>RIGHT("0000" &amp; YEAR($Q$8), 4)</f>
        <v>2024</v>
      </c>
      <c r="R6" s="52"/>
      <c r="S6" s="52"/>
      <c r="T6" s="52"/>
      <c r="U6" s="51" t="str">
        <f>RIGHT("0000" &amp; YEAR($U$8), 4)</f>
        <v>2024</v>
      </c>
      <c r="V6" s="51"/>
      <c r="W6" s="51"/>
      <c r="X6" s="51"/>
      <c r="Y6" s="52" t="str">
        <f>RIGHT("0000" &amp; YEAR($Y$8), 4)</f>
        <v>2024</v>
      </c>
      <c r="Z6" s="52"/>
      <c r="AA6" s="52"/>
      <c r="AB6" s="52"/>
      <c r="AC6" s="52"/>
      <c r="AD6" s="51" t="str">
        <f>RIGHT("0000" &amp; YEAR($AD$8), 4)</f>
        <v>2025</v>
      </c>
      <c r="AE6" s="51"/>
      <c r="AF6" s="51"/>
      <c r="AG6" s="51"/>
      <c r="AH6" s="52" t="str">
        <f>RIGHT("0000" &amp; YEAR($AH$8), 4)</f>
        <v>2025</v>
      </c>
      <c r="AI6" s="52"/>
      <c r="AJ6" s="52"/>
      <c r="AK6" s="52"/>
      <c r="AL6" s="51" t="str">
        <f>RIGHT("0000" &amp; YEAR($AL$8), 4)</f>
        <v>2025</v>
      </c>
      <c r="AM6" s="51"/>
      <c r="AN6" s="51"/>
      <c r="AO6" s="51"/>
      <c r="AP6" s="51"/>
      <c r="AQ6" s="52" t="str">
        <f>RIGHT("0000" &amp; YEAR($AQ$8), 4)</f>
        <v>2025</v>
      </c>
      <c r="AR6" s="52"/>
      <c r="AS6" s="52"/>
      <c r="AT6" s="52"/>
      <c r="AU6" s="51" t="str">
        <f>RIGHT("0000" &amp; YEAR($AU$8), 4)</f>
        <v>2025</v>
      </c>
      <c r="AV6" s="51"/>
      <c r="AW6" s="51"/>
      <c r="AX6" s="51"/>
      <c r="AY6" s="52" t="str">
        <f>RIGHT("0000" &amp; YEAR($AY$8), 4)</f>
        <v>2025</v>
      </c>
      <c r="AZ6" s="52"/>
      <c r="BA6" s="52"/>
      <c r="BB6" s="52"/>
      <c r="BC6" s="52"/>
      <c r="BD6" s="51" t="str">
        <f>RIGHT("0000" &amp; YEAR($BD$8), 4)</f>
        <v>2025</v>
      </c>
      <c r="BE6" s="51"/>
      <c r="BF6" s="51"/>
      <c r="BG6" s="51"/>
      <c r="BH6" s="52" t="str">
        <f>RIGHT("0000" &amp; YEAR($BH$8), 4)</f>
        <v>2025</v>
      </c>
      <c r="BI6" s="52"/>
      <c r="BJ6" s="52"/>
      <c r="BK6" s="52"/>
      <c r="BL6" s="51" t="str">
        <f>RIGHT("0000" &amp; YEAR($BL$8), 4)</f>
        <v>2025</v>
      </c>
      <c r="BM6" s="51"/>
      <c r="BN6" s="51"/>
    </row>
    <row r="7" spans="2:68" hidden="1" x14ac:dyDescent="0.3">
      <c r="I7" s="10"/>
      <c r="K7" s="54">
        <v>8</v>
      </c>
      <c r="L7" s="53">
        <v>9</v>
      </c>
      <c r="M7" s="53">
        <v>9</v>
      </c>
      <c r="N7" s="53">
        <v>9</v>
      </c>
      <c r="O7" s="53">
        <v>9</v>
      </c>
      <c r="P7" s="53">
        <v>9</v>
      </c>
      <c r="Q7" s="54">
        <v>10</v>
      </c>
      <c r="R7" s="54">
        <v>10</v>
      </c>
      <c r="S7" s="54">
        <v>10</v>
      </c>
      <c r="T7" s="54">
        <v>10</v>
      </c>
      <c r="U7" s="53">
        <v>11</v>
      </c>
      <c r="V7" s="53">
        <v>11</v>
      </c>
      <c r="W7" s="53">
        <v>11</v>
      </c>
      <c r="X7" s="53">
        <v>11</v>
      </c>
      <c r="Y7" s="54">
        <v>12</v>
      </c>
      <c r="Z7" s="54">
        <v>12</v>
      </c>
      <c r="AA7" s="54">
        <v>12</v>
      </c>
      <c r="AB7" s="54">
        <v>12</v>
      </c>
      <c r="AC7" s="54">
        <v>12</v>
      </c>
      <c r="AD7" s="53">
        <v>1</v>
      </c>
      <c r="AE7" s="53">
        <v>1</v>
      </c>
      <c r="AF7" s="53">
        <v>1</v>
      </c>
      <c r="AG7" s="53">
        <v>1</v>
      </c>
      <c r="AH7" s="54">
        <v>2</v>
      </c>
      <c r="AI7" s="54">
        <v>2</v>
      </c>
      <c r="AJ7" s="54">
        <v>2</v>
      </c>
      <c r="AK7" s="54">
        <v>2</v>
      </c>
      <c r="AL7" s="53">
        <v>3</v>
      </c>
      <c r="AM7" s="53">
        <v>3</v>
      </c>
      <c r="AN7" s="53">
        <v>3</v>
      </c>
      <c r="AO7" s="53">
        <v>3</v>
      </c>
      <c r="AP7" s="53">
        <v>3</v>
      </c>
      <c r="AQ7" s="54">
        <v>4</v>
      </c>
      <c r="AR7" s="54">
        <v>4</v>
      </c>
      <c r="AS7" s="54">
        <v>4</v>
      </c>
      <c r="AT7" s="54">
        <v>4</v>
      </c>
      <c r="AU7" s="53">
        <v>5</v>
      </c>
      <c r="AV7" s="53">
        <v>5</v>
      </c>
      <c r="AW7" s="53">
        <v>5</v>
      </c>
      <c r="AX7" s="53">
        <v>5</v>
      </c>
      <c r="AY7" s="54">
        <v>6</v>
      </c>
      <c r="AZ7" s="54">
        <v>6</v>
      </c>
      <c r="BA7" s="54">
        <v>6</v>
      </c>
      <c r="BB7" s="54">
        <v>6</v>
      </c>
      <c r="BC7" s="54">
        <v>6</v>
      </c>
      <c r="BD7" s="53">
        <v>7</v>
      </c>
      <c r="BE7" s="53">
        <v>7</v>
      </c>
      <c r="BF7" s="53">
        <v>7</v>
      </c>
      <c r="BG7" s="53">
        <v>7</v>
      </c>
      <c r="BH7" s="54">
        <v>8</v>
      </c>
      <c r="BI7" s="54">
        <v>8</v>
      </c>
      <c r="BJ7" s="54">
        <v>8</v>
      </c>
      <c r="BK7" s="54">
        <v>8</v>
      </c>
      <c r="BL7" s="53">
        <v>9</v>
      </c>
      <c r="BM7" s="53">
        <v>9</v>
      </c>
      <c r="BN7" s="53">
        <v>9</v>
      </c>
    </row>
    <row r="8" spans="2:68" hidden="1" x14ac:dyDescent="0.3">
      <c r="H8" s="55"/>
      <c r="I8" s="55"/>
      <c r="J8" s="56"/>
      <c r="K8" s="58">
        <f t="shared" ref="K8:AP8" si="0">IF(IsDaysGantt,ProjectStart+ COLUMN()- COLUMN($K$8),ProjectStart+7*(COLUMN()-COLUMN($K$8)))</f>
        <v>45536</v>
      </c>
      <c r="L8" s="57">
        <f t="shared" si="0"/>
        <v>45543</v>
      </c>
      <c r="M8" s="57">
        <f t="shared" si="0"/>
        <v>45550</v>
      </c>
      <c r="N8" s="57">
        <f t="shared" si="0"/>
        <v>45557</v>
      </c>
      <c r="O8" s="57">
        <f t="shared" si="0"/>
        <v>45564</v>
      </c>
      <c r="P8" s="57">
        <f t="shared" si="0"/>
        <v>45571</v>
      </c>
      <c r="Q8" s="58">
        <f t="shared" si="0"/>
        <v>45578</v>
      </c>
      <c r="R8" s="58">
        <f t="shared" si="0"/>
        <v>45585</v>
      </c>
      <c r="S8" s="58">
        <f t="shared" si="0"/>
        <v>45592</v>
      </c>
      <c r="T8" s="58">
        <f t="shared" si="0"/>
        <v>45599</v>
      </c>
      <c r="U8" s="57">
        <f t="shared" si="0"/>
        <v>45606</v>
      </c>
      <c r="V8" s="57">
        <f t="shared" si="0"/>
        <v>45613</v>
      </c>
      <c r="W8" s="57">
        <f t="shared" si="0"/>
        <v>45620</v>
      </c>
      <c r="X8" s="57">
        <f t="shared" si="0"/>
        <v>45627</v>
      </c>
      <c r="Y8" s="58">
        <f t="shared" si="0"/>
        <v>45634</v>
      </c>
      <c r="Z8" s="58">
        <f t="shared" si="0"/>
        <v>45641</v>
      </c>
      <c r="AA8" s="58">
        <f t="shared" si="0"/>
        <v>45648</v>
      </c>
      <c r="AB8" s="58">
        <f t="shared" si="0"/>
        <v>45655</v>
      </c>
      <c r="AC8" s="58">
        <f t="shared" si="0"/>
        <v>45662</v>
      </c>
      <c r="AD8" s="57">
        <f t="shared" si="0"/>
        <v>45669</v>
      </c>
      <c r="AE8" s="57">
        <f t="shared" si="0"/>
        <v>45676</v>
      </c>
      <c r="AF8" s="57">
        <f t="shared" si="0"/>
        <v>45683</v>
      </c>
      <c r="AG8" s="57">
        <f t="shared" si="0"/>
        <v>45690</v>
      </c>
      <c r="AH8" s="58">
        <f t="shared" si="0"/>
        <v>45697</v>
      </c>
      <c r="AI8" s="58">
        <f t="shared" si="0"/>
        <v>45704</v>
      </c>
      <c r="AJ8" s="58">
        <f t="shared" si="0"/>
        <v>45711</v>
      </c>
      <c r="AK8" s="58">
        <f t="shared" si="0"/>
        <v>45718</v>
      </c>
      <c r="AL8" s="57">
        <f t="shared" si="0"/>
        <v>45725</v>
      </c>
      <c r="AM8" s="57">
        <f t="shared" si="0"/>
        <v>45732</v>
      </c>
      <c r="AN8" s="57">
        <f t="shared" si="0"/>
        <v>45739</v>
      </c>
      <c r="AO8" s="57">
        <f t="shared" si="0"/>
        <v>45746</v>
      </c>
      <c r="AP8" s="57">
        <f t="shared" si="0"/>
        <v>45753</v>
      </c>
      <c r="AQ8" s="58">
        <f t="shared" ref="AQ8:BN8" si="1">IF(IsDaysGantt,ProjectStart+ COLUMN()- COLUMN($K$8),ProjectStart+7*(COLUMN()-COLUMN($K$8)))</f>
        <v>45760</v>
      </c>
      <c r="AR8" s="58">
        <f t="shared" si="1"/>
        <v>45767</v>
      </c>
      <c r="AS8" s="58">
        <f t="shared" si="1"/>
        <v>45774</v>
      </c>
      <c r="AT8" s="58">
        <f t="shared" si="1"/>
        <v>45781</v>
      </c>
      <c r="AU8" s="57">
        <f t="shared" si="1"/>
        <v>45788</v>
      </c>
      <c r="AV8" s="57">
        <f t="shared" si="1"/>
        <v>45795</v>
      </c>
      <c r="AW8" s="57">
        <f t="shared" si="1"/>
        <v>45802</v>
      </c>
      <c r="AX8" s="57">
        <f t="shared" si="1"/>
        <v>45809</v>
      </c>
      <c r="AY8" s="58">
        <f t="shared" si="1"/>
        <v>45816</v>
      </c>
      <c r="AZ8" s="58">
        <f t="shared" si="1"/>
        <v>45823</v>
      </c>
      <c r="BA8" s="58">
        <f t="shared" si="1"/>
        <v>45830</v>
      </c>
      <c r="BB8" s="58">
        <f t="shared" si="1"/>
        <v>45837</v>
      </c>
      <c r="BC8" s="58">
        <f t="shared" si="1"/>
        <v>45844</v>
      </c>
      <c r="BD8" s="57">
        <f t="shared" si="1"/>
        <v>45851</v>
      </c>
      <c r="BE8" s="57">
        <f t="shared" si="1"/>
        <v>45858</v>
      </c>
      <c r="BF8" s="57">
        <f t="shared" si="1"/>
        <v>45865</v>
      </c>
      <c r="BG8" s="57">
        <f t="shared" si="1"/>
        <v>45872</v>
      </c>
      <c r="BH8" s="58">
        <f t="shared" si="1"/>
        <v>45879</v>
      </c>
      <c r="BI8" s="58">
        <f t="shared" si="1"/>
        <v>45886</v>
      </c>
      <c r="BJ8" s="58">
        <f t="shared" si="1"/>
        <v>45893</v>
      </c>
      <c r="BK8" s="58">
        <f t="shared" si="1"/>
        <v>45900</v>
      </c>
      <c r="BL8" s="57">
        <f t="shared" si="1"/>
        <v>45907</v>
      </c>
      <c r="BM8" s="57">
        <f t="shared" si="1"/>
        <v>45914</v>
      </c>
      <c r="BN8" s="57">
        <f t="shared" si="1"/>
        <v>45921</v>
      </c>
    </row>
    <row r="9" spans="2:68" ht="16.8" customHeight="1" x14ac:dyDescent="0.3">
      <c r="B9" s="105" t="s">
        <v>213</v>
      </c>
      <c r="K9" s="64">
        <f t="shared" ref="K9:AP9" si="2">IF(IsDaysGantt,K8,_xlfn.ISOWEEKNUM(K8))</f>
        <v>35</v>
      </c>
      <c r="L9" s="61">
        <f t="shared" si="2"/>
        <v>36</v>
      </c>
      <c r="M9" s="61">
        <f t="shared" si="2"/>
        <v>37</v>
      </c>
      <c r="N9" s="61">
        <f t="shared" si="2"/>
        <v>38</v>
      </c>
      <c r="O9" s="61">
        <f t="shared" si="2"/>
        <v>39</v>
      </c>
      <c r="P9" s="61">
        <f t="shared" si="2"/>
        <v>40</v>
      </c>
      <c r="Q9" s="63">
        <f t="shared" si="2"/>
        <v>41</v>
      </c>
      <c r="R9" s="64">
        <f t="shared" si="2"/>
        <v>42</v>
      </c>
      <c r="S9" s="60">
        <f t="shared" si="2"/>
        <v>43</v>
      </c>
      <c r="T9" s="60">
        <f t="shared" si="2"/>
        <v>44</v>
      </c>
      <c r="U9" s="61">
        <f t="shared" si="2"/>
        <v>45</v>
      </c>
      <c r="V9" s="61">
        <f t="shared" si="2"/>
        <v>46</v>
      </c>
      <c r="W9" s="61">
        <f t="shared" si="2"/>
        <v>47</v>
      </c>
      <c r="X9" s="62">
        <f t="shared" si="2"/>
        <v>48</v>
      </c>
      <c r="Y9" s="64">
        <f t="shared" si="2"/>
        <v>49</v>
      </c>
      <c r="Z9" s="60">
        <f t="shared" si="2"/>
        <v>50</v>
      </c>
      <c r="AA9" s="60">
        <f t="shared" si="2"/>
        <v>51</v>
      </c>
      <c r="AB9" s="60">
        <f t="shared" si="2"/>
        <v>52</v>
      </c>
      <c r="AC9" s="60">
        <f t="shared" si="2"/>
        <v>1</v>
      </c>
      <c r="AD9" s="61">
        <f t="shared" si="2"/>
        <v>2</v>
      </c>
      <c r="AE9" s="62">
        <f t="shared" si="2"/>
        <v>3</v>
      </c>
      <c r="AF9" s="59">
        <f t="shared" si="2"/>
        <v>4</v>
      </c>
      <c r="AG9" s="61">
        <f t="shared" si="2"/>
        <v>5</v>
      </c>
      <c r="AH9" s="60">
        <f t="shared" si="2"/>
        <v>6</v>
      </c>
      <c r="AI9" s="60">
        <f t="shared" si="2"/>
        <v>7</v>
      </c>
      <c r="AJ9" s="60">
        <f t="shared" si="2"/>
        <v>8</v>
      </c>
      <c r="AK9" s="60">
        <f t="shared" si="2"/>
        <v>9</v>
      </c>
      <c r="AL9" s="62">
        <f t="shared" si="2"/>
        <v>10</v>
      </c>
      <c r="AM9" s="59">
        <f t="shared" si="2"/>
        <v>11</v>
      </c>
      <c r="AN9" s="61">
        <f t="shared" si="2"/>
        <v>12</v>
      </c>
      <c r="AO9" s="61">
        <f t="shared" si="2"/>
        <v>13</v>
      </c>
      <c r="AP9" s="61">
        <f t="shared" si="2"/>
        <v>14</v>
      </c>
      <c r="AQ9" s="60">
        <f t="shared" ref="AQ9:BN9" si="3">IF(IsDaysGantt,AQ8,_xlfn.ISOWEEKNUM(AQ8))</f>
        <v>15</v>
      </c>
      <c r="AR9" s="60">
        <f t="shared" si="3"/>
        <v>16</v>
      </c>
      <c r="AS9" s="63">
        <f t="shared" si="3"/>
        <v>17</v>
      </c>
      <c r="AT9" s="64">
        <f t="shared" si="3"/>
        <v>18</v>
      </c>
      <c r="AU9" s="61">
        <f t="shared" si="3"/>
        <v>19</v>
      </c>
      <c r="AV9" s="61">
        <f t="shared" si="3"/>
        <v>20</v>
      </c>
      <c r="AW9" s="61">
        <f t="shared" si="3"/>
        <v>21</v>
      </c>
      <c r="AX9" s="61">
        <f t="shared" si="3"/>
        <v>22</v>
      </c>
      <c r="AY9" s="60">
        <f t="shared" si="3"/>
        <v>23</v>
      </c>
      <c r="AZ9" s="63">
        <f t="shared" si="3"/>
        <v>24</v>
      </c>
      <c r="BA9" s="64">
        <f t="shared" si="3"/>
        <v>25</v>
      </c>
      <c r="BB9" s="60">
        <f t="shared" si="3"/>
        <v>26</v>
      </c>
      <c r="BC9" s="60">
        <f t="shared" si="3"/>
        <v>27</v>
      </c>
      <c r="BD9" s="61">
        <f t="shared" si="3"/>
        <v>28</v>
      </c>
      <c r="BE9" s="61">
        <f t="shared" si="3"/>
        <v>29</v>
      </c>
      <c r="BF9" s="61">
        <f t="shared" si="3"/>
        <v>30</v>
      </c>
      <c r="BG9" s="62">
        <f t="shared" si="3"/>
        <v>31</v>
      </c>
      <c r="BH9" s="64">
        <f t="shared" si="3"/>
        <v>32</v>
      </c>
      <c r="BI9" s="60">
        <f t="shared" si="3"/>
        <v>33</v>
      </c>
      <c r="BJ9" s="60">
        <f t="shared" si="3"/>
        <v>34</v>
      </c>
      <c r="BK9" s="60">
        <f t="shared" si="3"/>
        <v>35</v>
      </c>
      <c r="BL9" s="61">
        <f t="shared" si="3"/>
        <v>36</v>
      </c>
      <c r="BM9" s="61">
        <f>IF(IsDaysGantt,BM8,_xlfn.ISOWEEKNUM(BM8))</f>
        <v>37</v>
      </c>
      <c r="BN9" s="62">
        <f t="shared" si="3"/>
        <v>38</v>
      </c>
    </row>
    <row r="10" spans="2:68" hidden="1" x14ac:dyDescent="0.3">
      <c r="K10" s="70"/>
      <c r="L10" s="67"/>
      <c r="M10" s="67"/>
      <c r="N10" s="67"/>
      <c r="O10" s="67"/>
      <c r="P10" s="67"/>
      <c r="Q10" s="69"/>
      <c r="R10" s="70"/>
      <c r="S10" s="66"/>
      <c r="T10" s="66"/>
      <c r="U10" s="67"/>
      <c r="V10" s="67"/>
      <c r="W10" s="67"/>
      <c r="X10" s="68"/>
      <c r="Y10" s="70"/>
      <c r="Z10" s="66"/>
      <c r="AA10" s="66"/>
      <c r="AB10" s="66"/>
      <c r="AC10" s="66"/>
      <c r="AD10" s="67"/>
      <c r="AE10" s="68"/>
      <c r="AF10" s="65"/>
      <c r="AG10" s="67"/>
      <c r="AH10" s="66"/>
      <c r="AI10" s="66"/>
      <c r="AJ10" s="66"/>
      <c r="AK10" s="66"/>
      <c r="AL10" s="68"/>
      <c r="AM10" s="67"/>
      <c r="AN10" s="67"/>
      <c r="AO10" s="67"/>
      <c r="AP10" s="67"/>
      <c r="AQ10" s="66"/>
      <c r="AR10" s="66"/>
      <c r="AS10" s="69"/>
      <c r="AT10" s="70"/>
      <c r="AU10" s="67"/>
      <c r="AV10" s="67"/>
      <c r="AW10" s="67"/>
      <c r="AX10" s="67"/>
      <c r="AY10" s="66"/>
      <c r="AZ10" s="69"/>
      <c r="BA10" s="70"/>
      <c r="BB10" s="66"/>
      <c r="BC10" s="66"/>
      <c r="BD10" s="67"/>
      <c r="BE10" s="67"/>
      <c r="BF10" s="67"/>
      <c r="BG10" s="68"/>
      <c r="BH10" s="70"/>
      <c r="BI10" s="66"/>
      <c r="BJ10" s="66"/>
      <c r="BK10" s="66"/>
      <c r="BL10" s="67"/>
      <c r="BM10" s="67"/>
      <c r="BN10" s="68"/>
    </row>
    <row r="11" spans="2:68" ht="15.6" customHeight="1" x14ac:dyDescent="0.3">
      <c r="B11" s="71" t="s">
        <v>0</v>
      </c>
      <c r="C11" s="72" t="s">
        <v>7</v>
      </c>
      <c r="D11" s="72" t="s">
        <v>4</v>
      </c>
      <c r="E11" s="72" t="s">
        <v>5</v>
      </c>
      <c r="F11" s="72" t="s">
        <v>135</v>
      </c>
      <c r="G11" s="71" t="s">
        <v>127</v>
      </c>
      <c r="H11" s="71" t="s">
        <v>2</v>
      </c>
      <c r="I11" s="71" t="s">
        <v>156</v>
      </c>
      <c r="J11" s="71" t="s">
        <v>3</v>
      </c>
      <c r="K11" s="88" t="str">
        <f t="shared" ref="K11:AP11" si="4">IF(IsDaysGantt,UPPER(LEFT(CHOOSE(WEEKDAY(K8),"D","L","M","M","J","V","S"),1)),"")</f>
        <v/>
      </c>
      <c r="L11" s="74" t="str">
        <f t="shared" si="4"/>
        <v/>
      </c>
      <c r="M11" s="74" t="str">
        <f t="shared" si="4"/>
        <v/>
      </c>
      <c r="N11" s="74" t="str">
        <f t="shared" si="4"/>
        <v/>
      </c>
      <c r="O11" s="74" t="str">
        <f t="shared" si="4"/>
        <v/>
      </c>
      <c r="P11" s="74" t="str">
        <f t="shared" si="4"/>
        <v/>
      </c>
      <c r="Q11" s="73" t="str">
        <f t="shared" si="4"/>
        <v/>
      </c>
      <c r="R11" s="73" t="str">
        <f t="shared" si="4"/>
        <v/>
      </c>
      <c r="S11" s="73" t="str">
        <f t="shared" si="4"/>
        <v/>
      </c>
      <c r="T11" s="73" t="str">
        <f t="shared" si="4"/>
        <v/>
      </c>
      <c r="U11" s="74" t="str">
        <f t="shared" si="4"/>
        <v/>
      </c>
      <c r="V11" s="74" t="str">
        <f t="shared" si="4"/>
        <v/>
      </c>
      <c r="W11" s="74" t="str">
        <f t="shared" si="4"/>
        <v/>
      </c>
      <c r="X11" s="74" t="str">
        <f t="shared" si="4"/>
        <v/>
      </c>
      <c r="Y11" s="73" t="str">
        <f t="shared" si="4"/>
        <v/>
      </c>
      <c r="Z11" s="73" t="str">
        <f t="shared" si="4"/>
        <v/>
      </c>
      <c r="AA11" s="73" t="str">
        <f t="shared" si="4"/>
        <v/>
      </c>
      <c r="AB11" s="73" t="str">
        <f t="shared" si="4"/>
        <v/>
      </c>
      <c r="AC11" s="73" t="str">
        <f t="shared" si="4"/>
        <v/>
      </c>
      <c r="AD11" s="74" t="str">
        <f t="shared" si="4"/>
        <v/>
      </c>
      <c r="AE11" s="74" t="str">
        <f t="shared" si="4"/>
        <v/>
      </c>
      <c r="AF11" s="74" t="str">
        <f t="shared" si="4"/>
        <v/>
      </c>
      <c r="AG11" s="74" t="str">
        <f t="shared" si="4"/>
        <v/>
      </c>
      <c r="AH11" s="73" t="str">
        <f t="shared" si="4"/>
        <v/>
      </c>
      <c r="AI11" s="73" t="str">
        <f t="shared" si="4"/>
        <v/>
      </c>
      <c r="AJ11" s="73" t="str">
        <f t="shared" si="4"/>
        <v/>
      </c>
      <c r="AK11" s="73" t="str">
        <f t="shared" si="4"/>
        <v/>
      </c>
      <c r="AL11" s="74" t="str">
        <f t="shared" si="4"/>
        <v/>
      </c>
      <c r="AM11" s="74" t="str">
        <f t="shared" si="4"/>
        <v/>
      </c>
      <c r="AN11" s="74" t="str">
        <f t="shared" si="4"/>
        <v/>
      </c>
      <c r="AO11" s="74" t="str">
        <f t="shared" si="4"/>
        <v/>
      </c>
      <c r="AP11" s="74" t="str">
        <f t="shared" si="4"/>
        <v/>
      </c>
      <c r="AQ11" s="73" t="str">
        <f t="shared" ref="AQ11:BN11" si="5">IF(IsDaysGantt,UPPER(LEFT(CHOOSE(WEEKDAY(AQ8),"D","L","M","M","J","V","S"),1)),"")</f>
        <v/>
      </c>
      <c r="AR11" s="73" t="str">
        <f t="shared" si="5"/>
        <v/>
      </c>
      <c r="AS11" s="73" t="str">
        <f t="shared" si="5"/>
        <v/>
      </c>
      <c r="AT11" s="73" t="str">
        <f t="shared" si="5"/>
        <v/>
      </c>
      <c r="AU11" s="74" t="str">
        <f t="shared" si="5"/>
        <v/>
      </c>
      <c r="AV11" s="74" t="str">
        <f t="shared" si="5"/>
        <v/>
      </c>
      <c r="AW11" s="74" t="str">
        <f t="shared" si="5"/>
        <v/>
      </c>
      <c r="AX11" s="74" t="str">
        <f t="shared" si="5"/>
        <v/>
      </c>
      <c r="AY11" s="73" t="str">
        <f t="shared" si="5"/>
        <v/>
      </c>
      <c r="AZ11" s="73" t="str">
        <f t="shared" si="5"/>
        <v/>
      </c>
      <c r="BA11" s="73" t="str">
        <f t="shared" si="5"/>
        <v/>
      </c>
      <c r="BB11" s="73" t="str">
        <f t="shared" si="5"/>
        <v/>
      </c>
      <c r="BC11" s="73" t="str">
        <f t="shared" si="5"/>
        <v/>
      </c>
      <c r="BD11" s="74" t="str">
        <f t="shared" si="5"/>
        <v/>
      </c>
      <c r="BE11" s="74" t="str">
        <f t="shared" si="5"/>
        <v/>
      </c>
      <c r="BF11" s="74" t="str">
        <f t="shared" si="5"/>
        <v/>
      </c>
      <c r="BG11" s="74" t="str">
        <f t="shared" si="5"/>
        <v/>
      </c>
      <c r="BH11" s="73" t="str">
        <f t="shared" si="5"/>
        <v/>
      </c>
      <c r="BI11" s="73" t="str">
        <f t="shared" si="5"/>
        <v/>
      </c>
      <c r="BJ11" s="73" t="str">
        <f t="shared" si="5"/>
        <v/>
      </c>
      <c r="BK11" s="73" t="str">
        <f t="shared" si="5"/>
        <v/>
      </c>
      <c r="BL11" s="74" t="str">
        <f t="shared" si="5"/>
        <v/>
      </c>
      <c r="BM11" s="74" t="str">
        <f t="shared" si="5"/>
        <v/>
      </c>
      <c r="BN11" s="89" t="str">
        <f t="shared" si="5"/>
        <v/>
      </c>
    </row>
    <row r="12" spans="2:68" ht="15.6" customHeight="1" x14ac:dyDescent="0.3">
      <c r="B12" s="75"/>
      <c r="C12" s="76"/>
      <c r="D12" s="76"/>
      <c r="E12" s="76"/>
      <c r="F12" s="76"/>
      <c r="G12" s="75" t="s">
        <v>157</v>
      </c>
      <c r="H12" s="77">
        <f ca="1">IFERROR(MIN(TabProjet[Début]), "")</f>
        <v>45061</v>
      </c>
      <c r="I12" s="78">
        <f>IFERROR(SUMIFS(TabProjet[Charge en J],TabProjet[Is Project], "X"), "")</f>
        <v>282</v>
      </c>
      <c r="J12" s="77">
        <f ca="1">IFERROR(MAX(TabProjet[Deadline]), "")</f>
        <v>45390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</row>
    <row r="13" spans="2:68" s="10" customFormat="1" hidden="1" x14ac:dyDescent="0.3">
      <c r="B13" s="10" t="s">
        <v>0</v>
      </c>
      <c r="C13" s="79" t="s">
        <v>7</v>
      </c>
      <c r="D13" s="42" t="s">
        <v>4</v>
      </c>
      <c r="E13" s="42" t="s">
        <v>5</v>
      </c>
      <c r="F13" s="42" t="s">
        <v>135</v>
      </c>
      <c r="G13" s="10" t="s">
        <v>1</v>
      </c>
      <c r="H13" s="10" t="s">
        <v>2</v>
      </c>
      <c r="I13" s="10" t="s">
        <v>156</v>
      </c>
      <c r="J13" s="10" t="s">
        <v>3</v>
      </c>
      <c r="K13" s="10" t="s">
        <v>8</v>
      </c>
      <c r="L13" s="10" t="s">
        <v>9</v>
      </c>
      <c r="M13" s="10" t="s">
        <v>10</v>
      </c>
      <c r="N13" s="10" t="s">
        <v>11</v>
      </c>
      <c r="O13" s="10" t="s">
        <v>12</v>
      </c>
      <c r="P13" s="10" t="s">
        <v>13</v>
      </c>
      <c r="Q13" s="10" t="s">
        <v>14</v>
      </c>
      <c r="R13" s="10" t="s">
        <v>15</v>
      </c>
      <c r="S13" s="10" t="s">
        <v>16</v>
      </c>
      <c r="T13" s="10" t="s">
        <v>17</v>
      </c>
      <c r="U13" s="10" t="s">
        <v>18</v>
      </c>
      <c r="V13" s="10" t="s">
        <v>19</v>
      </c>
      <c r="W13" s="10" t="s">
        <v>20</v>
      </c>
      <c r="X13" s="10" t="s">
        <v>21</v>
      </c>
      <c r="Y13" s="10" t="s">
        <v>22</v>
      </c>
      <c r="Z13" s="10" t="s">
        <v>23</v>
      </c>
      <c r="AA13" s="10" t="s">
        <v>24</v>
      </c>
      <c r="AB13" s="10" t="s">
        <v>25</v>
      </c>
      <c r="AC13" s="10" t="s">
        <v>26</v>
      </c>
      <c r="AD13" s="10" t="s">
        <v>27</v>
      </c>
      <c r="AE13" s="10" t="s">
        <v>28</v>
      </c>
      <c r="AF13" s="10" t="s">
        <v>29</v>
      </c>
      <c r="AG13" s="10" t="s">
        <v>30</v>
      </c>
      <c r="AH13" s="10" t="s">
        <v>31</v>
      </c>
      <c r="AI13" s="10" t="s">
        <v>32</v>
      </c>
      <c r="AJ13" s="10" t="s">
        <v>33</v>
      </c>
      <c r="AK13" s="10" t="s">
        <v>34</v>
      </c>
      <c r="AL13" s="10" t="s">
        <v>35</v>
      </c>
      <c r="AM13" s="10" t="s">
        <v>36</v>
      </c>
      <c r="AN13" s="10" t="s">
        <v>37</v>
      </c>
      <c r="AO13" s="10" t="s">
        <v>38</v>
      </c>
      <c r="AP13" s="10" t="s">
        <v>39</v>
      </c>
      <c r="AQ13" s="10" t="s">
        <v>40</v>
      </c>
      <c r="AR13" s="10" t="s">
        <v>41</v>
      </c>
      <c r="AS13" s="10" t="s">
        <v>42</v>
      </c>
      <c r="AT13" s="10" t="s">
        <v>43</v>
      </c>
      <c r="AU13" s="10" t="s">
        <v>44</v>
      </c>
      <c r="AV13" s="10" t="s">
        <v>45</v>
      </c>
      <c r="AW13" s="10" t="s">
        <v>46</v>
      </c>
      <c r="AX13" s="10" t="s">
        <v>47</v>
      </c>
      <c r="AY13" s="10" t="s">
        <v>48</v>
      </c>
      <c r="AZ13" s="10" t="s">
        <v>49</v>
      </c>
      <c r="BA13" s="10" t="s">
        <v>50</v>
      </c>
      <c r="BB13" s="10" t="s">
        <v>51</v>
      </c>
      <c r="BC13" s="10" t="s">
        <v>52</v>
      </c>
      <c r="BD13" s="10" t="s">
        <v>53</v>
      </c>
      <c r="BE13" s="10" t="s">
        <v>54</v>
      </c>
      <c r="BF13" s="10" t="s">
        <v>55</v>
      </c>
      <c r="BG13" s="10" t="s">
        <v>56</v>
      </c>
      <c r="BH13" s="10" t="s">
        <v>57</v>
      </c>
      <c r="BI13" s="10" t="s">
        <v>58</v>
      </c>
      <c r="BJ13" s="10" t="s">
        <v>59</v>
      </c>
      <c r="BK13" s="10" t="s">
        <v>60</v>
      </c>
      <c r="BL13" s="10" t="s">
        <v>61</v>
      </c>
      <c r="BM13" s="10" t="s">
        <v>63</v>
      </c>
      <c r="BN13" s="10" t="s">
        <v>64</v>
      </c>
    </row>
    <row r="14" spans="2:68" x14ac:dyDescent="0.3">
      <c r="B14" s="84" t="str">
        <f>IF(TabProjet[[#This Row],[IsJalon]] = "", (TabProjet[[#This Row],[IDProj]] &amp; "." &amp; TabProjet[[#This Row],[IDSubProj]]), "")</f>
        <v>1.0</v>
      </c>
      <c r="C14" s="85" t="s">
        <v>6</v>
      </c>
      <c r="D14" s="85">
        <f>IF(ISNUMBER($D13),IF(TabProjet[[#This Row],[Is Project]] &lt;&gt;"",$D13+1,$D13),1)</f>
        <v>1</v>
      </c>
      <c r="E14" s="85">
        <f>IFERROR(IF(AND(TabProjet[[#This Row],[Is Project]]= "", TabProjet[[#This Row],[IsJalon]]= ""),$E13+1, IF(TabProjet[[#This Row],[IsJalon]]= "X",$E13, 0)),1)</f>
        <v>0</v>
      </c>
      <c r="F14" s="85"/>
      <c r="G14" s="12" t="s">
        <v>131</v>
      </c>
      <c r="H14" s="13">
        <f ca="1">IF(MinStartDate(TabProjet[[#This Row],[IDProj]]) = 0, "", MinStartDate(TabProjet[[#This Row],[IDProj]]))</f>
        <v>45342</v>
      </c>
      <c r="I14" s="11">
        <f>IFERROR(SUMIFS(TabProjet[Charge en J],TabProjet[Is Project],"",TabProjet[IDProj],TabProjet[[#This Row],[IDProj]]), "")</f>
        <v>20</v>
      </c>
      <c r="J14" s="83">
        <f ca="1">IF(GetDeadline(TabProjet[[#This Row],[IDProj]]) = 0, "", GetDeadline(TabProjet[[#This Row],[IDProj]]))</f>
        <v>45390</v>
      </c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1"/>
      <c r="BP14" s="81"/>
    </row>
    <row r="15" spans="2:68" x14ac:dyDescent="0.3">
      <c r="B15" s="84" t="str">
        <f>IF(TabProjet[[#This Row],[IsJalon]] = "", (TabProjet[[#This Row],[IDProj]] &amp; "." &amp; TabProjet[[#This Row],[IDSubProj]]), "")</f>
        <v>1.1</v>
      </c>
      <c r="C15" s="85"/>
      <c r="D15" s="85">
        <f>IF(ISNUMBER($D14),IF(TabProjet[[#This Row],[Is Project]] &lt;&gt;"",$D14+1,$D14),1)</f>
        <v>1</v>
      </c>
      <c r="E15" s="85">
        <f>IFERROR(IF(AND(TabProjet[[#This Row],[Is Project]]= "", TabProjet[[#This Row],[IsJalon]]= ""),$E14+1, IF(TabProjet[[#This Row],[IsJalon]]= "X",$E14, 0)),1)</f>
        <v>1</v>
      </c>
      <c r="F15" s="85"/>
      <c r="G15" s="12" t="s">
        <v>138</v>
      </c>
      <c r="H15" s="13">
        <v>45342</v>
      </c>
      <c r="I15" s="11">
        <v>15</v>
      </c>
      <c r="J15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45362</v>
      </c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1"/>
      <c r="BP15" s="81"/>
    </row>
    <row r="16" spans="2:68" x14ac:dyDescent="0.3">
      <c r="B16" s="84" t="str">
        <f>IF(TabProjet[[#This Row],[IsJalon]] = "", (TabProjet[[#This Row],[IDProj]] &amp; "." &amp; TabProjet[[#This Row],[IDSubProj]]), "")</f>
        <v>1.2</v>
      </c>
      <c r="C16" s="85"/>
      <c r="D16" s="85">
        <f>IF(ISNUMBER($D15),IF(TabProjet[[#This Row],[Is Project]] &lt;&gt;"",$D15+1,$D15),1)</f>
        <v>1</v>
      </c>
      <c r="E16" s="85">
        <f>IFERROR(IF(AND(TabProjet[[#This Row],[Is Project]]= "", TabProjet[[#This Row],[IsJalon]]= ""),$E15+1, IF(TabProjet[[#This Row],[IsJalon]]= "X",$E15, 0)),1)</f>
        <v>2</v>
      </c>
      <c r="F16" s="85"/>
      <c r="G16" s="12" t="s">
        <v>153</v>
      </c>
      <c r="H16" s="13">
        <v>45384</v>
      </c>
      <c r="I16" s="11">
        <v>5</v>
      </c>
      <c r="J16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45390</v>
      </c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1"/>
      <c r="BP16" s="81"/>
    </row>
    <row r="17" spans="2:68" x14ac:dyDescent="0.3">
      <c r="B17" s="84" t="str">
        <f>IF(TabProjet[[#This Row],[IsJalon]] = "", (TabProjet[[#This Row],[IDProj]] &amp; "." &amp; TabProjet[[#This Row],[IDSubProj]]), "")</f>
        <v/>
      </c>
      <c r="C17" s="85"/>
      <c r="D17" s="85">
        <f>IF(ISNUMBER($D16),IF(TabProjet[[#This Row],[Is Project]] &lt;&gt;"",$D16+1,$D16),1)</f>
        <v>1</v>
      </c>
      <c r="E17" s="85">
        <f>IFERROR(IF(AND(TabProjet[[#This Row],[Is Project]]= "", TabProjet[[#This Row],[IsJalon]]= ""),$E16+1, IF(TabProjet[[#This Row],[IsJalon]]= "X",$E16, 0)),1)</f>
        <v>2</v>
      </c>
      <c r="F17" s="85" t="s">
        <v>6</v>
      </c>
      <c r="G17" s="12"/>
      <c r="H17" s="13"/>
      <c r="I17" s="11"/>
      <c r="J17" s="83" t="str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/>
      </c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1"/>
      <c r="BP17" s="81"/>
    </row>
    <row r="18" spans="2:68" x14ac:dyDescent="0.3">
      <c r="B18" s="84" t="str">
        <f>IF(TabProjet[[#This Row],[IsJalon]] = "", (TabProjet[[#This Row],[IDProj]] &amp; "." &amp; TabProjet[[#This Row],[IDSubProj]]), "")</f>
        <v>2.0</v>
      </c>
      <c r="C18" s="85" t="s">
        <v>6</v>
      </c>
      <c r="D18" s="85">
        <f>IF(ISNUMBER($D17),IF(TabProjet[[#This Row],[Is Project]] &lt;&gt;"",$D17+1,$D17),1)</f>
        <v>2</v>
      </c>
      <c r="E18" s="85">
        <f>IFERROR(IF(AND(TabProjet[[#This Row],[Is Project]]= "", TabProjet[[#This Row],[IsJalon]]= ""),$E17+1, IF(TabProjet[[#This Row],[IsJalon]]= "X",$E17, 0)),1)</f>
        <v>0</v>
      </c>
      <c r="F18" s="85"/>
      <c r="G18" s="12" t="s">
        <v>154</v>
      </c>
      <c r="H18" s="13">
        <f ca="1">IF(MinStartDate(TabProjet[[#This Row],[IDProj]]) = 0, "", MinStartDate(TabProjet[[#This Row],[IDProj]]))</f>
        <v>45095</v>
      </c>
      <c r="I18" s="11">
        <f>IFERROR(SUMIFS(TabProjet[Charge en J],TabProjet[Is Project],"",TabProjet[IDProj],TabProjet[[#This Row],[IDProj]]), "")</f>
        <v>70</v>
      </c>
      <c r="J18" s="83">
        <f ca="1">IF(GetDeadline(TabProjet[[#This Row],[IDProj]]) = 0, "", GetDeadline(TabProjet[[#This Row],[IDProj]]))</f>
        <v>45176</v>
      </c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1"/>
      <c r="BP18" s="81"/>
    </row>
    <row r="19" spans="2:68" x14ac:dyDescent="0.3">
      <c r="B19" s="84" t="str">
        <f>IF(TabProjet[[#This Row],[IsJalon]] = "", (TabProjet[[#This Row],[IDProj]] &amp; "." &amp; TabProjet[[#This Row],[IDSubProj]]), "")</f>
        <v>2.1</v>
      </c>
      <c r="C19" s="85"/>
      <c r="D19" s="85">
        <f>IF(ISNUMBER($D18),IF(TabProjet[[#This Row],[Is Project]] &lt;&gt;"",$D18+1,$D18),1)</f>
        <v>2</v>
      </c>
      <c r="E19" s="85">
        <f>IFERROR(IF(AND(TabProjet[[#This Row],[Is Project]]= "", TabProjet[[#This Row],[IsJalon]]= ""),$E18+1, IF(TabProjet[[#This Row],[IsJalon]]= "X",$E18, 0)),1)</f>
        <v>1</v>
      </c>
      <c r="F19" s="85"/>
      <c r="G19" s="12" t="s">
        <v>75</v>
      </c>
      <c r="H19" s="13">
        <v>45095</v>
      </c>
      <c r="I19" s="11">
        <v>20</v>
      </c>
      <c r="J19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45121</v>
      </c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1"/>
      <c r="BP19" s="81"/>
    </row>
    <row r="20" spans="2:68" x14ac:dyDescent="0.3">
      <c r="B20" s="84" t="str">
        <f>IF(TabProjet[[#This Row],[IsJalon]] = "", (TabProjet[[#This Row],[IDProj]] &amp; "." &amp; TabProjet[[#This Row],[IDSubProj]]), "")</f>
        <v>2.2</v>
      </c>
      <c r="C20" s="85"/>
      <c r="D20" s="85">
        <f>IF(ISNUMBER($D19),IF(TabProjet[[#This Row],[Is Project]] &lt;&gt;"",$D19+1,$D19),1)</f>
        <v>2</v>
      </c>
      <c r="E20" s="85">
        <f>IFERROR(IF(AND(TabProjet[[#This Row],[Is Project]]= "", TabProjet[[#This Row],[IsJalon]]= ""),$E19+1, IF(TabProjet[[#This Row],[IsJalon]]= "X",$E19, 0)),1)</f>
        <v>2</v>
      </c>
      <c r="F20" s="85"/>
      <c r="G20" s="12" t="s">
        <v>139</v>
      </c>
      <c r="H20" s="13">
        <v>45107</v>
      </c>
      <c r="I20" s="11">
        <v>50</v>
      </c>
      <c r="J20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45176</v>
      </c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1"/>
      <c r="BP20" s="81"/>
    </row>
    <row r="21" spans="2:68" x14ac:dyDescent="0.3">
      <c r="B21" s="84" t="str">
        <f>IF(TabProjet[[#This Row],[IsJalon]] = "", (TabProjet[[#This Row],[IDProj]] &amp; "." &amp; TabProjet[[#This Row],[IDSubProj]]), "")</f>
        <v/>
      </c>
      <c r="C21" s="85"/>
      <c r="D21" s="85">
        <f>IF(ISNUMBER($D20),IF(TabProjet[[#This Row],[Is Project]] &lt;&gt;"",$D20+1,$D20),1)</f>
        <v>2</v>
      </c>
      <c r="E21" s="85">
        <f>IFERROR(IF(AND(TabProjet[[#This Row],[Is Project]]= "", TabProjet[[#This Row],[IsJalon]]= ""),$E20+1, IF(TabProjet[[#This Row],[IsJalon]]= "X",$E20, 0)),1)</f>
        <v>2</v>
      </c>
      <c r="F21" s="85" t="s">
        <v>6</v>
      </c>
      <c r="G21" s="12" t="s">
        <v>140</v>
      </c>
      <c r="H21" s="13">
        <v>45061</v>
      </c>
      <c r="I21" s="11"/>
      <c r="J21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45061</v>
      </c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1"/>
      <c r="BP21" s="81"/>
    </row>
    <row r="22" spans="2:68" x14ac:dyDescent="0.3">
      <c r="B22" s="84" t="str">
        <f>IF(TabProjet[[#This Row],[IsJalon]] = "", (TabProjet[[#This Row],[IDProj]] &amp; "." &amp; TabProjet[[#This Row],[IDSubProj]]), "")</f>
        <v>3.0</v>
      </c>
      <c r="C22" s="85" t="s">
        <v>6</v>
      </c>
      <c r="D22" s="85">
        <f>IF(ISNUMBER($D21),IF(TabProjet[[#This Row],[Is Project]] &lt;&gt;"",$D21+1,$D21),1)</f>
        <v>3</v>
      </c>
      <c r="E22" s="85">
        <f>IFERROR(IF(AND(TabProjet[[#This Row],[Is Project]]= "", TabProjet[[#This Row],[IsJalon]]= ""),$E21+1, IF(TabProjet[[#This Row],[IsJalon]]= "X",$E21, 0)),1)</f>
        <v>0</v>
      </c>
      <c r="F22" s="85"/>
      <c r="G22" s="12" t="s">
        <v>132</v>
      </c>
      <c r="H22" s="13">
        <f ca="1">IF(MinStartDate(TabProjet[[#This Row],[IDProj]]) = 0, "", MinStartDate(TabProjet[[#This Row],[IDProj]]))</f>
        <v>45132</v>
      </c>
      <c r="I22" s="11">
        <f>IFERROR(SUMIFS(TabProjet[Charge en J],TabProjet[Is Project],"",TabProjet[IDProj],TabProjet[[#This Row],[IDProj]]), "")</f>
        <v>48</v>
      </c>
      <c r="J22" s="83">
        <f ca="1">IF(GetDeadline(TabProjet[[#This Row],[IDProj]]) = 0, "", GetDeadline(TabProjet[[#This Row],[IDProj]]))</f>
        <v>45191</v>
      </c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1"/>
      <c r="BP22" s="81"/>
    </row>
    <row r="23" spans="2:68" x14ac:dyDescent="0.3">
      <c r="B23" s="84" t="str">
        <f>IF(TabProjet[[#This Row],[IsJalon]] = "", (TabProjet[[#This Row],[IDProj]] &amp; "." &amp; TabProjet[[#This Row],[IDSubProj]]), "")</f>
        <v>3.1</v>
      </c>
      <c r="C23" s="85"/>
      <c r="D23" s="85">
        <f>IF(ISNUMBER($D22),IF(TabProjet[[#This Row],[Is Project]] &lt;&gt;"",$D22+1,$D22),1)</f>
        <v>3</v>
      </c>
      <c r="E23" s="85">
        <f>IFERROR(IF(AND(TabProjet[[#This Row],[Is Project]]= "", TabProjet[[#This Row],[IsJalon]]= ""),$E22+1, IF(TabProjet[[#This Row],[IsJalon]]= "X",$E22, 0)),1)</f>
        <v>1</v>
      </c>
      <c r="F23" s="85"/>
      <c r="G23" s="12" t="s">
        <v>141</v>
      </c>
      <c r="H23" s="13">
        <v>45132</v>
      </c>
      <c r="I23" s="11">
        <v>18</v>
      </c>
      <c r="J23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45155</v>
      </c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1"/>
      <c r="BP23" s="81"/>
    </row>
    <row r="24" spans="2:68" x14ac:dyDescent="0.3">
      <c r="B24" s="84" t="str">
        <f>IF(TabProjet[[#This Row],[IsJalon]] = "", (TabProjet[[#This Row],[IDProj]] &amp; "." &amp; TabProjet[[#This Row],[IDSubProj]]), "")</f>
        <v>3.2</v>
      </c>
      <c r="C24" s="85"/>
      <c r="D24" s="85">
        <f>IF(ISNUMBER($D23),IF(TabProjet[[#This Row],[Is Project]] &lt;&gt;"",$D23+1,$D23),1)</f>
        <v>3</v>
      </c>
      <c r="E24" s="85">
        <f>IFERROR(IF(AND(TabProjet[[#This Row],[Is Project]]= "", TabProjet[[#This Row],[IsJalon]]= ""),$E23+1, IF(TabProjet[[#This Row],[IsJalon]]= "X",$E23, 0)),1)</f>
        <v>2</v>
      </c>
      <c r="F24" s="85"/>
      <c r="G24" s="12" t="s">
        <v>155</v>
      </c>
      <c r="H24" s="13">
        <v>45150</v>
      </c>
      <c r="I24" s="11">
        <v>30</v>
      </c>
      <c r="J24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45191</v>
      </c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1"/>
      <c r="BP24" s="81"/>
    </row>
    <row r="25" spans="2:68" x14ac:dyDescent="0.3">
      <c r="B25" s="84" t="str">
        <f>IF(TabProjet[[#This Row],[IsJalon]] = "", (TabProjet[[#This Row],[IDProj]] &amp; "." &amp; TabProjet[[#This Row],[IDSubProj]]), "")</f>
        <v/>
      </c>
      <c r="C25" s="85"/>
      <c r="D25" s="85">
        <f>IF(ISNUMBER($D24),IF(TabProjet[[#This Row],[Is Project]] &lt;&gt;"",$D24+1,$D24),1)</f>
        <v>3</v>
      </c>
      <c r="E25" s="85">
        <f>IFERROR(IF(AND(TabProjet[[#This Row],[Is Project]]= "", TabProjet[[#This Row],[IsJalon]]= ""),$E24+1, IF(TabProjet[[#This Row],[IsJalon]]= "X",$E24, 0)),1)</f>
        <v>2</v>
      </c>
      <c r="F25" s="85" t="s">
        <v>6</v>
      </c>
      <c r="G25" s="12" t="s">
        <v>142</v>
      </c>
      <c r="H25" s="13">
        <v>45150</v>
      </c>
      <c r="I25" s="11"/>
      <c r="J25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45152</v>
      </c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1"/>
      <c r="BP25" s="81"/>
    </row>
    <row r="26" spans="2:68" x14ac:dyDescent="0.3">
      <c r="B26" s="84" t="str">
        <f>IF(TabProjet[[#This Row],[IsJalon]] = "", (TabProjet[[#This Row],[IDProj]] &amp; "." &amp; TabProjet[[#This Row],[IDSubProj]]), "")</f>
        <v>4.0</v>
      </c>
      <c r="C26" s="85" t="s">
        <v>6</v>
      </c>
      <c r="D26" s="85">
        <f>IF(ISNUMBER($D25),IF(TabProjet[[#This Row],[Is Project]] &lt;&gt;"",$D25+1,$D25),1)</f>
        <v>4</v>
      </c>
      <c r="E26" s="85">
        <f>IFERROR(IF(AND(TabProjet[[#This Row],[Is Project]]= "", TabProjet[[#This Row],[IsJalon]]= ""),$E25+1, IF(TabProjet[[#This Row],[IsJalon]]= "X",$E25, 0)),1)</f>
        <v>0</v>
      </c>
      <c r="F26" s="85"/>
      <c r="G26" s="12" t="s">
        <v>133</v>
      </c>
      <c r="H26" s="13">
        <f ca="1">IF(MinStartDate(TabProjet[[#This Row],[IDProj]]) = 0, "", MinStartDate(TabProjet[[#This Row],[IDProj]]))</f>
        <v>45194</v>
      </c>
      <c r="I26" s="11">
        <f>IFERROR(SUMIFS(TabProjet[Charge en J],TabProjet[Is Project],"",TabProjet[IDProj],TabProjet[[#This Row],[IDProj]]), "")</f>
        <v>59</v>
      </c>
      <c r="J26" s="83">
        <f ca="1">IF(GetDeadline(TabProjet[[#This Row],[IDProj]]) = 0, "", GetDeadline(TabProjet[[#This Row],[IDProj]]))</f>
        <v>45247</v>
      </c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1"/>
      <c r="BP26" s="81"/>
    </row>
    <row r="27" spans="2:68" x14ac:dyDescent="0.3">
      <c r="B27" s="84" t="str">
        <f>IF(TabProjet[[#This Row],[IsJalon]] = "", (TabProjet[[#This Row],[IDProj]] &amp; "." &amp; TabProjet[[#This Row],[IDSubProj]]), "")</f>
        <v>4.1</v>
      </c>
      <c r="C27" s="85"/>
      <c r="D27" s="85">
        <f>IF(ISNUMBER($D26),IF(TabProjet[[#This Row],[Is Project]] &lt;&gt;"",$D26+1,$D26),1)</f>
        <v>4</v>
      </c>
      <c r="E27" s="85">
        <f>IFERROR(IF(AND(TabProjet[[#This Row],[Is Project]]= "", TabProjet[[#This Row],[IsJalon]]= ""),$E26+1, IF(TabProjet[[#This Row],[IsJalon]]= "X",$E26, 0)),1)</f>
        <v>1</v>
      </c>
      <c r="F27" s="85"/>
      <c r="G27" s="12" t="s">
        <v>143</v>
      </c>
      <c r="H27" s="13">
        <v>45194</v>
      </c>
      <c r="I27" s="11">
        <v>14</v>
      </c>
      <c r="J27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45211</v>
      </c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1"/>
      <c r="BP27" s="81"/>
    </row>
    <row r="28" spans="2:68" x14ac:dyDescent="0.3">
      <c r="B28" s="84" t="str">
        <f>IF(TabProjet[[#This Row],[IsJalon]] = "", (TabProjet[[#This Row],[IDProj]] &amp; "." &amp; TabProjet[[#This Row],[IDSubProj]]), "")</f>
        <v>4.2</v>
      </c>
      <c r="C28" s="85"/>
      <c r="D28" s="85">
        <f>IF(ISNUMBER($D27),IF(TabProjet[[#This Row],[Is Project]] &lt;&gt;"",$D27+1,$D27),1)</f>
        <v>4</v>
      </c>
      <c r="E28" s="85">
        <f>IFERROR(IF(AND(TabProjet[[#This Row],[Is Project]]= "", TabProjet[[#This Row],[IsJalon]]= ""),$E27+1, IF(TabProjet[[#This Row],[IsJalon]]= "X",$E27, 0)),1)</f>
        <v>2</v>
      </c>
      <c r="F28" s="85"/>
      <c r="G28" s="12" t="s">
        <v>144</v>
      </c>
      <c r="H28" s="13">
        <v>45204</v>
      </c>
      <c r="I28" s="11">
        <v>20</v>
      </c>
      <c r="J28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45231</v>
      </c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1"/>
      <c r="BP28" s="81"/>
    </row>
    <row r="29" spans="2:68" x14ac:dyDescent="0.3">
      <c r="B29" s="84" t="str">
        <f>IF(TabProjet[[#This Row],[IsJalon]] = "", (TabProjet[[#This Row],[IDProj]] &amp; "." &amp; TabProjet[[#This Row],[IDSubProj]]), "")</f>
        <v>4.3</v>
      </c>
      <c r="C29" s="85"/>
      <c r="D29" s="85">
        <f>IF(ISNUMBER($D28),IF(TabProjet[[#This Row],[Is Project]] &lt;&gt;"",$D28+1,$D28),1)</f>
        <v>4</v>
      </c>
      <c r="E29" s="85">
        <f>IFERROR(IF(AND(TabProjet[[#This Row],[Is Project]]= "", TabProjet[[#This Row],[IsJalon]]= ""),$E28+1, IF(TabProjet[[#This Row],[IsJalon]]= "X",$E28, 0)),1)</f>
        <v>3</v>
      </c>
      <c r="F29" s="85"/>
      <c r="G29" s="12" t="s">
        <v>76</v>
      </c>
      <c r="H29" s="13">
        <v>45219</v>
      </c>
      <c r="I29" s="11">
        <v>10</v>
      </c>
      <c r="J29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45232</v>
      </c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1"/>
      <c r="BP29" s="81"/>
    </row>
    <row r="30" spans="2:68" x14ac:dyDescent="0.3">
      <c r="B30" s="84" t="str">
        <f>IF(TabProjet[[#This Row],[IsJalon]] = "", (TabProjet[[#This Row],[IDProj]] &amp; "." &amp; TabProjet[[#This Row],[IDSubProj]]), "")</f>
        <v>4.4</v>
      </c>
      <c r="C30" s="85"/>
      <c r="D30" s="85">
        <f>IF(ISNUMBER($D29),IF(TabProjet[[#This Row],[Is Project]] &lt;&gt;"",$D29+1,$D29),1)</f>
        <v>4</v>
      </c>
      <c r="E30" s="85">
        <f>IFERROR(IF(AND(TabProjet[[#This Row],[Is Project]]= "", TabProjet[[#This Row],[IsJalon]]= ""),$E29+1, IF(TabProjet[[#This Row],[IsJalon]]= "X",$E29, 0)),1)</f>
        <v>4</v>
      </c>
      <c r="F30" s="85"/>
      <c r="G30" s="12" t="s">
        <v>77</v>
      </c>
      <c r="H30" s="13">
        <v>45229</v>
      </c>
      <c r="I30" s="11">
        <v>15</v>
      </c>
      <c r="J30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45247</v>
      </c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1"/>
      <c r="BP30" s="81"/>
    </row>
    <row r="31" spans="2:68" x14ac:dyDescent="0.3">
      <c r="B31" s="84" t="str">
        <f>IF(TabProjet[[#This Row],[IsJalon]] = "", (TabProjet[[#This Row],[IDProj]] &amp; "." &amp; TabProjet[[#This Row],[IDSubProj]]), "")</f>
        <v/>
      </c>
      <c r="C31" s="85"/>
      <c r="D31" s="85">
        <f>IF(ISNUMBER($D30),IF(TabProjet[[#This Row],[Is Project]] &lt;&gt;"",$D30+1,$D30),1)</f>
        <v>4</v>
      </c>
      <c r="E31" s="85">
        <f>IFERROR(IF(AND(TabProjet[[#This Row],[Is Project]]= "", TabProjet[[#This Row],[IsJalon]]= ""),$E30+1, IF(TabProjet[[#This Row],[IsJalon]]= "X",$E30, 0)),1)</f>
        <v>4</v>
      </c>
      <c r="F31" s="85" t="s">
        <v>6</v>
      </c>
      <c r="G31" s="12" t="s">
        <v>145</v>
      </c>
      <c r="H31" s="13"/>
      <c r="I31" s="11"/>
      <c r="J31" s="83" t="str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/>
      </c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1"/>
      <c r="BP31" s="81"/>
    </row>
    <row r="32" spans="2:68" x14ac:dyDescent="0.3">
      <c r="B32" s="84" t="str">
        <f>IF(TabProjet[[#This Row],[IsJalon]] = "", (TabProjet[[#This Row],[IDProj]] &amp; "." &amp; TabProjet[[#This Row],[IDSubProj]]), "")</f>
        <v>5.0</v>
      </c>
      <c r="C32" s="85" t="s">
        <v>6</v>
      </c>
      <c r="D32" s="85">
        <f>IF(ISNUMBER($D31),IF(TabProjet[[#This Row],[Is Project]] &lt;&gt;"",$D31+1,$D31),1)</f>
        <v>5</v>
      </c>
      <c r="E32" s="85">
        <f>IFERROR(IF(AND(TabProjet[[#This Row],[Is Project]]= "", TabProjet[[#This Row],[IsJalon]]= ""),$E31+1, IF(TabProjet[[#This Row],[IsJalon]]= "X",$E31, 0)),1)</f>
        <v>0</v>
      </c>
      <c r="F32" s="85"/>
      <c r="G32" s="12" t="s">
        <v>134</v>
      </c>
      <c r="H32" s="13">
        <f ca="1">IF(MinStartDate(TabProjet[[#This Row],[IDProj]]) = 0, "", MinStartDate(TabProjet[[#This Row],[IDProj]]))</f>
        <v>45232</v>
      </c>
      <c r="I32" s="11">
        <f>IFERROR(SUMIFS(TabProjet[Charge en J],TabProjet[Is Project],"",TabProjet[IDProj],TabProjet[[#This Row],[IDProj]]), "")</f>
        <v>85</v>
      </c>
      <c r="J32" s="83">
        <f ca="1">IF(GetDeadline(TabProjet[[#This Row],[IDProj]]) = 0, "", GetDeadline(TabProjet[[#This Row],[IDProj]]))</f>
        <v>45317</v>
      </c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1"/>
      <c r="BP32" s="81"/>
    </row>
    <row r="33" spans="2:68" x14ac:dyDescent="0.3">
      <c r="B33" s="84" t="str">
        <f>IF(TabProjet[[#This Row],[IsJalon]] = "", (TabProjet[[#This Row],[IDProj]] &amp; "." &amp; TabProjet[[#This Row],[IDSubProj]]), "")</f>
        <v>5.1</v>
      </c>
      <c r="C33" s="85"/>
      <c r="D33" s="85">
        <f>IF(ISNUMBER($D32),IF(TabProjet[[#This Row],[Is Project]] &lt;&gt;"",$D32+1,$D32),1)</f>
        <v>5</v>
      </c>
      <c r="E33" s="85">
        <f>IFERROR(IF(AND(TabProjet[[#This Row],[Is Project]]= "", TabProjet[[#This Row],[IsJalon]]= ""),$E32+1, IF(TabProjet[[#This Row],[IsJalon]]= "X",$E32, 0)),1)</f>
        <v>1</v>
      </c>
      <c r="F33" s="85"/>
      <c r="G33" s="12" t="s">
        <v>78</v>
      </c>
      <c r="H33" s="13">
        <v>45232</v>
      </c>
      <c r="I33" s="11">
        <v>25</v>
      </c>
      <c r="J33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45266</v>
      </c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1"/>
      <c r="BP33" s="81"/>
    </row>
    <row r="34" spans="2:68" x14ac:dyDescent="0.3">
      <c r="B34" s="84" t="str">
        <f>IF(TabProjet[[#This Row],[IsJalon]] = "", (TabProjet[[#This Row],[IDProj]] &amp; "." &amp; TabProjet[[#This Row],[IDSubProj]]), "")</f>
        <v>5.2</v>
      </c>
      <c r="C34" s="85"/>
      <c r="D34" s="85">
        <f>IF(ISNUMBER($D33),IF(TabProjet[[#This Row],[Is Project]] &lt;&gt;"",$D33+1,$D33),1)</f>
        <v>5</v>
      </c>
      <c r="E34" s="85">
        <f>IFERROR(IF(AND(TabProjet[[#This Row],[Is Project]]= "", TabProjet[[#This Row],[IsJalon]]= ""),$E33+1, IF(TabProjet[[#This Row],[IsJalon]]= "X",$E33, 0)),1)</f>
        <v>2</v>
      </c>
      <c r="F34" s="85"/>
      <c r="G34" s="12" t="s">
        <v>79</v>
      </c>
      <c r="H34" s="13">
        <v>45255</v>
      </c>
      <c r="I34" s="11">
        <v>45</v>
      </c>
      <c r="J34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45317</v>
      </c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1"/>
      <c r="BP34" s="81"/>
    </row>
    <row r="35" spans="2:68" x14ac:dyDescent="0.3">
      <c r="B35" s="84" t="str">
        <f>IF(TabProjet[[#This Row],[IsJalon]] = "", (TabProjet[[#This Row],[IDProj]] &amp; "." &amp; TabProjet[[#This Row],[IDSubProj]]), "")</f>
        <v>5.3</v>
      </c>
      <c r="C35" s="85"/>
      <c r="D35" s="85">
        <f>IF(ISNUMBER($D34),IF(TabProjet[[#This Row],[Is Project]] &lt;&gt;"",$D34+1,$D34),1)</f>
        <v>5</v>
      </c>
      <c r="E35" s="85">
        <f>IFERROR(IF(AND(TabProjet[[#This Row],[Is Project]]= "", TabProjet[[#This Row],[IsJalon]]= ""),$E34+1, IF(TabProjet[[#This Row],[IsJalon]]= "X",$E34, 0)),1)</f>
        <v>3</v>
      </c>
      <c r="F35" s="85"/>
      <c r="G35" s="12" t="s">
        <v>80</v>
      </c>
      <c r="H35" s="13">
        <v>45260</v>
      </c>
      <c r="I35" s="11">
        <v>15</v>
      </c>
      <c r="J35" s="83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>45280</v>
      </c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1"/>
      <c r="BP35" s="81"/>
    </row>
    <row r="36" spans="2:68" x14ac:dyDescent="0.3">
      <c r="B36" s="84" t="str">
        <f>IF(TabProjet[[#This Row],[IsJalon]] = "", (TabProjet[[#This Row],[IDProj]] &amp; "." &amp; TabProjet[[#This Row],[IDSubProj]]), "")</f>
        <v/>
      </c>
      <c r="C36" s="85"/>
      <c r="D36" s="85">
        <f>IF(ISNUMBER($D35),IF(TabProjet[[#This Row],[Is Project]] &lt;&gt;"",$D35+1,$D35),1)</f>
        <v>5</v>
      </c>
      <c r="E36" s="85">
        <f>IFERROR(IF(AND(TabProjet[[#This Row],[Is Project]]= "", TabProjet[[#This Row],[IsJalon]]= ""),$E35+1, IF(TabProjet[[#This Row],[IsJalon]]= "X",$E35, 0)),1)</f>
        <v>3</v>
      </c>
      <c r="F36" s="85" t="s">
        <v>6</v>
      </c>
      <c r="G36" s="12" t="s">
        <v>146</v>
      </c>
      <c r="H36" s="13"/>
      <c r="I36" s="11"/>
      <c r="J36" s="83" t="str">
        <f>IF(TabProjet[[#This Row],[Début]]="","",WORKDAY(IF(WEEKDAY(TabProjet[[#This Row],[Début]],1)=7, TabProjet[[#This Row],[Début]]+2,IF(WEEKDAY(TabProjet[[#This Row],[Début]],1)=1,TabProjet[[#This Row],[Début]]+1,TabProjet[[#This Row],[Début]])),ROUNDUP(TabProjet[[#This Row],[Charge en J]],0)-IF(TabProjet[[#This Row],[Charge en J]] &gt; 0, 1, 0),))</f>
        <v/>
      </c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1"/>
      <c r="BP36" s="81"/>
    </row>
    <row r="37" spans="2:68" x14ac:dyDescent="0.3"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  <c r="AS37" s="82"/>
      <c r="AT37" s="82"/>
      <c r="AU37" s="82"/>
      <c r="AV37" s="82"/>
      <c r="AW37" s="82"/>
      <c r="AX37" s="82"/>
      <c r="AY37" s="82"/>
      <c r="AZ37" s="82"/>
      <c r="BA37" s="82"/>
      <c r="BB37" s="82"/>
      <c r="BC37" s="82"/>
      <c r="BD37" s="82"/>
      <c r="BE37" s="82"/>
      <c r="BF37" s="82"/>
      <c r="BG37" s="82"/>
      <c r="BH37" s="82"/>
      <c r="BI37" s="82"/>
      <c r="BJ37" s="82"/>
      <c r="BK37" s="82"/>
      <c r="BL37" s="82"/>
      <c r="BM37" s="82"/>
      <c r="BN37" s="82"/>
      <c r="BO37" s="81"/>
      <c r="BP37" s="81"/>
    </row>
    <row r="38" spans="2:68" x14ac:dyDescent="0.3"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82"/>
      <c r="AV38" s="82"/>
      <c r="AW38" s="82"/>
      <c r="AX38" s="82"/>
      <c r="AY38" s="82"/>
      <c r="AZ38" s="82"/>
      <c r="BA38" s="82"/>
      <c r="BB38" s="82"/>
      <c r="BC38" s="82"/>
      <c r="BD38" s="82"/>
      <c r="BE38" s="82"/>
      <c r="BF38" s="82"/>
      <c r="BG38" s="82"/>
      <c r="BH38" s="82"/>
      <c r="BI38" s="82"/>
      <c r="BJ38" s="82"/>
      <c r="BK38" s="82"/>
      <c r="BL38" s="82"/>
      <c r="BM38" s="82"/>
      <c r="BN38" s="82"/>
      <c r="BO38" s="81"/>
      <c r="BP38" s="81"/>
    </row>
    <row r="39" spans="2:68" x14ac:dyDescent="0.3"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  <c r="AO39" s="82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2"/>
      <c r="BG39" s="82"/>
      <c r="BH39" s="82"/>
      <c r="BI39" s="82"/>
      <c r="BJ39" s="82"/>
      <c r="BK39" s="82"/>
      <c r="BL39" s="82"/>
      <c r="BM39" s="82"/>
      <c r="BN39" s="82"/>
      <c r="BO39" s="81"/>
      <c r="BP39" s="81"/>
    </row>
    <row r="40" spans="2:68" x14ac:dyDescent="0.3"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  <c r="AS40" s="82"/>
      <c r="AT40" s="82"/>
      <c r="AU40" s="82"/>
      <c r="AV40" s="82"/>
      <c r="AW40" s="82"/>
      <c r="AX40" s="82"/>
      <c r="AY40" s="82"/>
      <c r="AZ40" s="82"/>
      <c r="BA40" s="82"/>
      <c r="BB40" s="82"/>
      <c r="BC40" s="82"/>
      <c r="BD40" s="82"/>
      <c r="BE40" s="82"/>
      <c r="BF40" s="82"/>
      <c r="BG40" s="82"/>
      <c r="BH40" s="82"/>
      <c r="BI40" s="82"/>
      <c r="BJ40" s="82"/>
      <c r="BK40" s="82"/>
      <c r="BL40" s="82"/>
      <c r="BM40" s="82"/>
      <c r="BN40" s="82"/>
      <c r="BO40" s="81"/>
      <c r="BP40" s="81"/>
    </row>
    <row r="41" spans="2:68" x14ac:dyDescent="0.3"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  <c r="AV41" s="82"/>
      <c r="AW41" s="82"/>
      <c r="AX41" s="82"/>
      <c r="AY41" s="82"/>
      <c r="AZ41" s="82"/>
      <c r="BA41" s="82"/>
      <c r="BB41" s="82"/>
      <c r="BC41" s="82"/>
      <c r="BD41" s="82"/>
      <c r="BE41" s="82"/>
      <c r="BF41" s="82"/>
      <c r="BG41" s="82"/>
      <c r="BH41" s="82"/>
      <c r="BI41" s="82"/>
      <c r="BJ41" s="82"/>
      <c r="BK41" s="82"/>
      <c r="BL41" s="82"/>
      <c r="BM41" s="82"/>
      <c r="BN41" s="82"/>
      <c r="BO41" s="81"/>
      <c r="BP41" s="81"/>
    </row>
    <row r="42" spans="2:68" x14ac:dyDescent="0.3"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  <c r="AV42" s="82"/>
      <c r="AW42" s="82"/>
      <c r="AX42" s="82"/>
      <c r="AY42" s="82"/>
      <c r="AZ42" s="82"/>
      <c r="BA42" s="82"/>
      <c r="BB42" s="82"/>
      <c r="BC42" s="82"/>
      <c r="BD42" s="82"/>
      <c r="BE42" s="82"/>
      <c r="BF42" s="82"/>
      <c r="BG42" s="82"/>
      <c r="BH42" s="82"/>
      <c r="BI42" s="82"/>
      <c r="BJ42" s="82"/>
      <c r="BK42" s="82"/>
      <c r="BL42" s="82"/>
      <c r="BM42" s="82"/>
      <c r="BN42" s="82"/>
      <c r="BO42" s="81"/>
      <c r="BP42" s="81"/>
    </row>
    <row r="43" spans="2:68" x14ac:dyDescent="0.3"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  <c r="AL43" s="82"/>
      <c r="AM43" s="82"/>
      <c r="AN43" s="82"/>
      <c r="AO43" s="82"/>
      <c r="AP43" s="82"/>
      <c r="AQ43" s="82"/>
      <c r="AR43" s="82"/>
      <c r="AS43" s="82"/>
      <c r="AT43" s="82"/>
      <c r="AU43" s="82"/>
      <c r="AV43" s="82"/>
      <c r="AW43" s="82"/>
      <c r="AX43" s="82"/>
      <c r="AY43" s="82"/>
      <c r="AZ43" s="82"/>
      <c r="BA43" s="82"/>
      <c r="BB43" s="82"/>
      <c r="BC43" s="82"/>
      <c r="BD43" s="82"/>
      <c r="BE43" s="82"/>
      <c r="BF43" s="82"/>
      <c r="BG43" s="82"/>
      <c r="BH43" s="82"/>
      <c r="BI43" s="82"/>
      <c r="BJ43" s="82"/>
      <c r="BK43" s="82"/>
      <c r="BL43" s="82"/>
      <c r="BM43" s="82"/>
      <c r="BN43" s="82"/>
      <c r="BO43" s="81"/>
      <c r="BP43" s="81"/>
    </row>
    <row r="44" spans="2:68" x14ac:dyDescent="0.3"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82"/>
      <c r="AM44" s="82"/>
      <c r="AN44" s="82"/>
      <c r="AO44" s="82"/>
      <c r="AP44" s="82"/>
      <c r="AQ44" s="82"/>
      <c r="AR44" s="82"/>
      <c r="AS44" s="82"/>
      <c r="AT44" s="82"/>
      <c r="AU44" s="82"/>
      <c r="AV44" s="82"/>
      <c r="AW44" s="82"/>
      <c r="AX44" s="82"/>
      <c r="AY44" s="82"/>
      <c r="AZ44" s="82"/>
      <c r="BA44" s="82"/>
      <c r="BB44" s="82"/>
      <c r="BC44" s="82"/>
      <c r="BD44" s="82"/>
      <c r="BE44" s="82"/>
      <c r="BF44" s="82"/>
      <c r="BG44" s="82"/>
      <c r="BH44" s="82"/>
      <c r="BI44" s="82"/>
      <c r="BJ44" s="82"/>
      <c r="BK44" s="82"/>
      <c r="BL44" s="82"/>
      <c r="BM44" s="82"/>
      <c r="BN44" s="82"/>
      <c r="BO44" s="81"/>
      <c r="BP44" s="81"/>
    </row>
    <row r="45" spans="2:68" x14ac:dyDescent="0.3"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82"/>
      <c r="AQ45" s="82"/>
      <c r="AR45" s="82"/>
      <c r="AS45" s="82"/>
      <c r="AT45" s="82"/>
      <c r="AU45" s="82"/>
      <c r="AV45" s="82"/>
      <c r="AW45" s="82"/>
      <c r="AX45" s="82"/>
      <c r="AY45" s="82"/>
      <c r="AZ45" s="82"/>
      <c r="BA45" s="82"/>
      <c r="BB45" s="82"/>
      <c r="BC45" s="82"/>
      <c r="BD45" s="82"/>
      <c r="BE45" s="82"/>
      <c r="BF45" s="82"/>
      <c r="BG45" s="82"/>
      <c r="BH45" s="82"/>
      <c r="BI45" s="82"/>
      <c r="BJ45" s="82"/>
      <c r="BK45" s="82"/>
      <c r="BL45" s="82"/>
      <c r="BM45" s="82"/>
      <c r="BN45" s="82"/>
      <c r="BO45" s="81"/>
      <c r="BP45" s="81"/>
    </row>
    <row r="46" spans="2:68" x14ac:dyDescent="0.3"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  <c r="AS46" s="82"/>
      <c r="AT46" s="82"/>
      <c r="AU46" s="82"/>
      <c r="AV46" s="82"/>
      <c r="AW46" s="82"/>
      <c r="AX46" s="82"/>
      <c r="AY46" s="82"/>
      <c r="AZ46" s="82"/>
      <c r="BA46" s="82"/>
      <c r="BB46" s="82"/>
      <c r="BC46" s="82"/>
      <c r="BD46" s="82"/>
      <c r="BE46" s="82"/>
      <c r="BF46" s="82"/>
      <c r="BG46" s="82"/>
      <c r="BH46" s="82"/>
      <c r="BI46" s="82"/>
      <c r="BJ46" s="82"/>
      <c r="BK46" s="82"/>
      <c r="BL46" s="82"/>
      <c r="BM46" s="82"/>
      <c r="BN46" s="82"/>
      <c r="BO46" s="81"/>
      <c r="BP46" s="81"/>
    </row>
    <row r="47" spans="2:68" x14ac:dyDescent="0.3"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82"/>
      <c r="AE47" s="82"/>
      <c r="AF47" s="82"/>
      <c r="AG47" s="82"/>
      <c r="AH47" s="82"/>
      <c r="AI47" s="82"/>
      <c r="AJ47" s="82"/>
      <c r="AK47" s="82"/>
      <c r="AL47" s="82"/>
      <c r="AM47" s="82"/>
      <c r="AN47" s="82"/>
      <c r="AO47" s="82"/>
      <c r="AP47" s="82"/>
      <c r="AQ47" s="82"/>
      <c r="AR47" s="82"/>
      <c r="AS47" s="82"/>
      <c r="AT47" s="82"/>
      <c r="AU47" s="82"/>
      <c r="AV47" s="82"/>
      <c r="AW47" s="82"/>
      <c r="AX47" s="82"/>
      <c r="AY47" s="82"/>
      <c r="AZ47" s="82"/>
      <c r="BA47" s="82"/>
      <c r="BB47" s="82"/>
      <c r="BC47" s="82"/>
      <c r="BD47" s="82"/>
      <c r="BE47" s="82"/>
      <c r="BF47" s="82"/>
      <c r="BG47" s="82"/>
      <c r="BH47" s="82"/>
      <c r="BI47" s="82"/>
      <c r="BJ47" s="82"/>
      <c r="BK47" s="82"/>
      <c r="BL47" s="82"/>
      <c r="BM47" s="82"/>
      <c r="BN47" s="82"/>
      <c r="BO47" s="81"/>
      <c r="BP47" s="81"/>
    </row>
    <row r="48" spans="2:68" x14ac:dyDescent="0.3"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  <c r="AO48" s="82"/>
      <c r="AP48" s="82"/>
      <c r="AQ48" s="82"/>
      <c r="AR48" s="82"/>
      <c r="AS48" s="82"/>
      <c r="AT48" s="82"/>
      <c r="AU48" s="82"/>
      <c r="AV48" s="82"/>
      <c r="AW48" s="82"/>
      <c r="AX48" s="82"/>
      <c r="AY48" s="82"/>
      <c r="AZ48" s="82"/>
      <c r="BA48" s="82"/>
      <c r="BB48" s="82"/>
      <c r="BC48" s="82"/>
      <c r="BD48" s="82"/>
      <c r="BE48" s="82"/>
      <c r="BF48" s="82"/>
      <c r="BG48" s="82"/>
      <c r="BH48" s="82"/>
      <c r="BI48" s="82"/>
      <c r="BJ48" s="82"/>
      <c r="BK48" s="82"/>
      <c r="BL48" s="82"/>
      <c r="BM48" s="82"/>
      <c r="BN48" s="82"/>
      <c r="BO48" s="81"/>
      <c r="BP48" s="81"/>
    </row>
    <row r="49" spans="11:68" x14ac:dyDescent="0.3"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  <c r="AS49" s="82"/>
      <c r="AT49" s="82"/>
      <c r="AU49" s="82"/>
      <c r="AV49" s="82"/>
      <c r="AW49" s="82"/>
      <c r="AX49" s="82"/>
      <c r="AY49" s="82"/>
      <c r="AZ49" s="82"/>
      <c r="BA49" s="82"/>
      <c r="BB49" s="82"/>
      <c r="BC49" s="82"/>
      <c r="BD49" s="82"/>
      <c r="BE49" s="82"/>
      <c r="BF49" s="82"/>
      <c r="BG49" s="82"/>
      <c r="BH49" s="82"/>
      <c r="BI49" s="82"/>
      <c r="BJ49" s="82"/>
      <c r="BK49" s="82"/>
      <c r="BL49" s="82"/>
      <c r="BM49" s="82"/>
      <c r="BN49" s="82"/>
      <c r="BO49" s="81"/>
      <c r="BP49" s="81"/>
    </row>
    <row r="50" spans="11:68" x14ac:dyDescent="0.3"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  <c r="AN50" s="82"/>
      <c r="AO50" s="82"/>
      <c r="AP50" s="82"/>
      <c r="AQ50" s="82"/>
      <c r="AR50" s="82"/>
      <c r="AS50" s="82"/>
      <c r="AT50" s="82"/>
      <c r="AU50" s="82"/>
      <c r="AV50" s="82"/>
      <c r="AW50" s="82"/>
      <c r="AX50" s="82"/>
      <c r="AY50" s="82"/>
      <c r="AZ50" s="82"/>
      <c r="BA50" s="82"/>
      <c r="BB50" s="82"/>
      <c r="BC50" s="82"/>
      <c r="BD50" s="82"/>
      <c r="BE50" s="82"/>
      <c r="BF50" s="82"/>
      <c r="BG50" s="82"/>
      <c r="BH50" s="82"/>
      <c r="BI50" s="82"/>
      <c r="BJ50" s="82"/>
      <c r="BK50" s="82"/>
      <c r="BL50" s="82"/>
      <c r="BM50" s="82"/>
      <c r="BN50" s="82"/>
      <c r="BO50" s="81"/>
      <c r="BP50" s="81"/>
    </row>
    <row r="51" spans="11:68" x14ac:dyDescent="0.3"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  <c r="BD51" s="82"/>
      <c r="BE51" s="82"/>
      <c r="BF51" s="82"/>
      <c r="BG51" s="82"/>
      <c r="BH51" s="82"/>
      <c r="BI51" s="82"/>
      <c r="BJ51" s="82"/>
      <c r="BK51" s="82"/>
      <c r="BL51" s="82"/>
      <c r="BM51" s="82"/>
      <c r="BN51" s="82"/>
      <c r="BO51" s="81"/>
      <c r="BP51" s="81"/>
    </row>
    <row r="52" spans="11:68" x14ac:dyDescent="0.3"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  <c r="AS52" s="82"/>
      <c r="AT52" s="82"/>
      <c r="AU52" s="82"/>
      <c r="AV52" s="82"/>
      <c r="AW52" s="82"/>
      <c r="AX52" s="82"/>
      <c r="AY52" s="82"/>
      <c r="AZ52" s="82"/>
      <c r="BA52" s="82"/>
      <c r="BB52" s="82"/>
      <c r="BC52" s="82"/>
      <c r="BD52" s="82"/>
      <c r="BE52" s="82"/>
      <c r="BF52" s="82"/>
      <c r="BG52" s="82"/>
      <c r="BH52" s="82"/>
      <c r="BI52" s="82"/>
      <c r="BJ52" s="82"/>
      <c r="BK52" s="82"/>
      <c r="BL52" s="82"/>
      <c r="BM52" s="82"/>
      <c r="BN52" s="82"/>
      <c r="BO52" s="81"/>
      <c r="BP52" s="81"/>
    </row>
    <row r="53" spans="11:68" x14ac:dyDescent="0.3"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  <c r="AL53" s="82"/>
      <c r="AM53" s="82"/>
      <c r="AN53" s="82"/>
      <c r="AO53" s="82"/>
      <c r="AP53" s="82"/>
      <c r="AQ53" s="82"/>
      <c r="AR53" s="82"/>
      <c r="AS53" s="82"/>
      <c r="AT53" s="82"/>
      <c r="AU53" s="82"/>
      <c r="AV53" s="82"/>
      <c r="AW53" s="82"/>
      <c r="AX53" s="82"/>
      <c r="AY53" s="82"/>
      <c r="AZ53" s="82"/>
      <c r="BA53" s="82"/>
      <c r="BB53" s="82"/>
      <c r="BC53" s="82"/>
      <c r="BD53" s="82"/>
      <c r="BE53" s="82"/>
      <c r="BF53" s="82"/>
      <c r="BG53" s="82"/>
      <c r="BH53" s="82"/>
      <c r="BI53" s="82"/>
      <c r="BJ53" s="82"/>
      <c r="BK53" s="82"/>
      <c r="BL53" s="82"/>
      <c r="BM53" s="82"/>
      <c r="BN53" s="82"/>
      <c r="BO53" s="81"/>
      <c r="BP53" s="81"/>
    </row>
    <row r="54" spans="11:68" x14ac:dyDescent="0.3"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  <c r="AO54" s="82"/>
      <c r="AP54" s="82"/>
      <c r="AQ54" s="82"/>
      <c r="AR54" s="82"/>
      <c r="AS54" s="82"/>
      <c r="AT54" s="82"/>
      <c r="AU54" s="82"/>
      <c r="AV54" s="82"/>
      <c r="AW54" s="82"/>
      <c r="AX54" s="82"/>
      <c r="AY54" s="82"/>
      <c r="AZ54" s="82"/>
      <c r="BA54" s="82"/>
      <c r="BB54" s="82"/>
      <c r="BC54" s="82"/>
      <c r="BD54" s="82"/>
      <c r="BE54" s="82"/>
      <c r="BF54" s="82"/>
      <c r="BG54" s="82"/>
      <c r="BH54" s="82"/>
      <c r="BI54" s="82"/>
      <c r="BJ54" s="82"/>
      <c r="BK54" s="82"/>
      <c r="BL54" s="82"/>
      <c r="BM54" s="82"/>
      <c r="BN54" s="82"/>
      <c r="BO54" s="81"/>
      <c r="BP54" s="81"/>
    </row>
    <row r="55" spans="11:68" x14ac:dyDescent="0.3"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  <c r="AO55" s="82"/>
      <c r="AP55" s="82"/>
      <c r="AQ55" s="82"/>
      <c r="AR55" s="82"/>
      <c r="AS55" s="82"/>
      <c r="AT55" s="82"/>
      <c r="AU55" s="82"/>
      <c r="AV55" s="82"/>
      <c r="AW55" s="82"/>
      <c r="AX55" s="82"/>
      <c r="AY55" s="82"/>
      <c r="AZ55" s="82"/>
      <c r="BA55" s="82"/>
      <c r="BB55" s="82"/>
      <c r="BC55" s="82"/>
      <c r="BD55" s="82"/>
      <c r="BE55" s="82"/>
      <c r="BF55" s="82"/>
      <c r="BG55" s="82"/>
      <c r="BH55" s="82"/>
      <c r="BI55" s="82"/>
      <c r="BJ55" s="82"/>
      <c r="BK55" s="82"/>
      <c r="BL55" s="82"/>
      <c r="BM55" s="82"/>
      <c r="BN55" s="82"/>
      <c r="BO55" s="81"/>
      <c r="BP55" s="81"/>
    </row>
    <row r="56" spans="11:68" x14ac:dyDescent="0.3"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82"/>
      <c r="AM56" s="82"/>
      <c r="AN56" s="82"/>
      <c r="AO56" s="82"/>
      <c r="AP56" s="82"/>
      <c r="AQ56" s="82"/>
      <c r="AR56" s="82"/>
      <c r="AS56" s="82"/>
      <c r="AT56" s="82"/>
      <c r="AU56" s="82"/>
      <c r="AV56" s="82"/>
      <c r="AW56" s="82"/>
      <c r="AX56" s="82"/>
      <c r="AY56" s="82"/>
      <c r="AZ56" s="82"/>
      <c r="BA56" s="82"/>
      <c r="BB56" s="82"/>
      <c r="BC56" s="82"/>
      <c r="BD56" s="82"/>
      <c r="BE56" s="82"/>
      <c r="BF56" s="82"/>
      <c r="BG56" s="82"/>
      <c r="BH56" s="82"/>
      <c r="BI56" s="82"/>
      <c r="BJ56" s="82"/>
      <c r="BK56" s="82"/>
      <c r="BL56" s="82"/>
      <c r="BM56" s="82"/>
      <c r="BN56" s="82"/>
      <c r="BO56" s="81"/>
      <c r="BP56" s="81"/>
    </row>
    <row r="57" spans="11:68" x14ac:dyDescent="0.3"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82"/>
      <c r="AE57" s="82"/>
      <c r="AF57" s="82"/>
      <c r="AG57" s="82"/>
      <c r="AH57" s="82"/>
      <c r="AI57" s="82"/>
      <c r="AJ57" s="82"/>
      <c r="AK57" s="82"/>
      <c r="AL57" s="82"/>
      <c r="AM57" s="82"/>
      <c r="AN57" s="82"/>
      <c r="AO57" s="82"/>
      <c r="AP57" s="82"/>
      <c r="AQ57" s="82"/>
      <c r="AR57" s="82"/>
      <c r="AS57" s="82"/>
      <c r="AT57" s="82"/>
      <c r="AU57" s="82"/>
      <c r="AV57" s="82"/>
      <c r="AW57" s="82"/>
      <c r="AX57" s="82"/>
      <c r="AY57" s="82"/>
      <c r="AZ57" s="82"/>
      <c r="BA57" s="82"/>
      <c r="BB57" s="82"/>
      <c r="BC57" s="82"/>
      <c r="BD57" s="82"/>
      <c r="BE57" s="82"/>
      <c r="BF57" s="82"/>
      <c r="BG57" s="82"/>
      <c r="BH57" s="82"/>
      <c r="BI57" s="82"/>
      <c r="BJ57" s="82"/>
      <c r="BK57" s="82"/>
      <c r="BL57" s="82"/>
      <c r="BM57" s="82"/>
      <c r="BN57" s="82"/>
      <c r="BO57" s="81"/>
      <c r="BP57" s="81"/>
    </row>
    <row r="58" spans="11:68" x14ac:dyDescent="0.3"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1"/>
      <c r="BP58" s="81"/>
    </row>
    <row r="59" spans="11:68" x14ac:dyDescent="0.3"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  <c r="AS59" s="82"/>
      <c r="AT59" s="82"/>
      <c r="AU59" s="82"/>
      <c r="AV59" s="82"/>
      <c r="AW59" s="82"/>
      <c r="AX59" s="82"/>
      <c r="AY59" s="82"/>
      <c r="AZ59" s="82"/>
      <c r="BA59" s="82"/>
      <c r="BB59" s="82"/>
      <c r="BC59" s="82"/>
      <c r="BD59" s="82"/>
      <c r="BE59" s="82"/>
      <c r="BF59" s="82"/>
      <c r="BG59" s="82"/>
      <c r="BH59" s="82"/>
      <c r="BI59" s="82"/>
      <c r="BJ59" s="82"/>
      <c r="BK59" s="82"/>
      <c r="BL59" s="82"/>
      <c r="BM59" s="82"/>
      <c r="BN59" s="82"/>
      <c r="BO59" s="81"/>
      <c r="BP59" s="81"/>
    </row>
    <row r="60" spans="11:68" x14ac:dyDescent="0.3"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1"/>
      <c r="BP60" s="81"/>
    </row>
    <row r="61" spans="11:68" x14ac:dyDescent="0.3"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  <c r="AS61" s="82"/>
      <c r="AT61" s="82"/>
      <c r="AU61" s="82"/>
      <c r="AV61" s="82"/>
      <c r="AW61" s="82"/>
      <c r="AX61" s="82"/>
      <c r="AY61" s="82"/>
      <c r="AZ61" s="82"/>
      <c r="BA61" s="82"/>
      <c r="BB61" s="82"/>
      <c r="BC61" s="82"/>
      <c r="BD61" s="82"/>
      <c r="BE61" s="82"/>
      <c r="BF61" s="82"/>
      <c r="BG61" s="82"/>
      <c r="BH61" s="82"/>
      <c r="BI61" s="82"/>
      <c r="BJ61" s="82"/>
      <c r="BK61" s="82"/>
      <c r="BL61" s="82"/>
      <c r="BM61" s="82"/>
      <c r="BN61" s="82"/>
      <c r="BO61" s="81"/>
      <c r="BP61" s="81"/>
    </row>
    <row r="62" spans="11:68" x14ac:dyDescent="0.3"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  <c r="AS62" s="82"/>
      <c r="AT62" s="82"/>
      <c r="AU62" s="82"/>
      <c r="AV62" s="82"/>
      <c r="AW62" s="82"/>
      <c r="AX62" s="82"/>
      <c r="AY62" s="82"/>
      <c r="AZ62" s="82"/>
      <c r="BA62" s="82"/>
      <c r="BB62" s="82"/>
      <c r="BC62" s="82"/>
      <c r="BD62" s="82"/>
      <c r="BE62" s="82"/>
      <c r="BF62" s="82"/>
      <c r="BG62" s="82"/>
      <c r="BH62" s="82"/>
      <c r="BI62" s="82"/>
      <c r="BJ62" s="82"/>
      <c r="BK62" s="82"/>
      <c r="BL62" s="82"/>
      <c r="BM62" s="82"/>
      <c r="BN62" s="82"/>
      <c r="BO62" s="81"/>
      <c r="BP62" s="81"/>
    </row>
    <row r="63" spans="11:68" x14ac:dyDescent="0.3"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82"/>
      <c r="AE63" s="82"/>
      <c r="AF63" s="82"/>
      <c r="AG63" s="82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  <c r="AS63" s="82"/>
      <c r="AT63" s="82"/>
      <c r="AU63" s="82"/>
      <c r="AV63" s="82"/>
      <c r="AW63" s="82"/>
      <c r="AX63" s="82"/>
      <c r="AY63" s="82"/>
      <c r="AZ63" s="82"/>
      <c r="BA63" s="82"/>
      <c r="BB63" s="82"/>
      <c r="BC63" s="82"/>
      <c r="BD63" s="82"/>
      <c r="BE63" s="82"/>
      <c r="BF63" s="82"/>
      <c r="BG63" s="82"/>
      <c r="BH63" s="82"/>
      <c r="BI63" s="82"/>
      <c r="BJ63" s="82"/>
      <c r="BK63" s="82"/>
      <c r="BL63" s="82"/>
      <c r="BM63" s="82"/>
      <c r="BN63" s="82"/>
      <c r="BO63" s="81"/>
      <c r="BP63" s="81"/>
    </row>
    <row r="64" spans="11:68" x14ac:dyDescent="0.3"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1"/>
      <c r="BP64" s="81"/>
    </row>
    <row r="65" spans="11:68" x14ac:dyDescent="0.3"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  <c r="AS65" s="82"/>
      <c r="AT65" s="82"/>
      <c r="AU65" s="82"/>
      <c r="AV65" s="82"/>
      <c r="AW65" s="82"/>
      <c r="AX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  <c r="BM65" s="82"/>
      <c r="BN65" s="82"/>
      <c r="BO65" s="81"/>
      <c r="BP65" s="81"/>
    </row>
    <row r="66" spans="11:68" x14ac:dyDescent="0.3"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1"/>
      <c r="BP66" s="81"/>
    </row>
    <row r="67" spans="11:68" x14ac:dyDescent="0.3"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X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  <c r="BM67" s="82"/>
      <c r="BN67" s="82"/>
      <c r="BO67" s="81"/>
      <c r="BP67" s="81"/>
    </row>
    <row r="68" spans="11:68" x14ac:dyDescent="0.3"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X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  <c r="BM68" s="82"/>
      <c r="BN68" s="82"/>
      <c r="BO68" s="81"/>
      <c r="BP68" s="81"/>
    </row>
    <row r="69" spans="11:68" ht="16.95" customHeight="1" x14ac:dyDescent="0.3"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X69" s="82"/>
      <c r="AY69" s="82"/>
      <c r="AZ69" s="82"/>
      <c r="BA69" s="82"/>
      <c r="BB69" s="82"/>
      <c r="BC69" s="82"/>
      <c r="BD69" s="82"/>
      <c r="BE69" s="82"/>
      <c r="BF69" s="82"/>
      <c r="BG69" s="82"/>
      <c r="BH69" s="82"/>
      <c r="BI69" s="82"/>
      <c r="BJ69" s="82"/>
      <c r="BK69" s="82"/>
      <c r="BL69" s="82"/>
      <c r="BM69" s="82"/>
      <c r="BN69" s="82"/>
      <c r="BO69" s="81"/>
      <c r="BP69" s="81"/>
    </row>
    <row r="70" spans="11:68" ht="16.95" customHeight="1" x14ac:dyDescent="0.3"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X70" s="82"/>
      <c r="AY70" s="82"/>
      <c r="AZ70" s="82"/>
      <c r="BA70" s="82"/>
      <c r="BB70" s="82"/>
      <c r="BC70" s="82"/>
      <c r="BD70" s="82"/>
      <c r="BE70" s="82"/>
      <c r="BF70" s="82"/>
      <c r="BG70" s="82"/>
      <c r="BH70" s="82"/>
      <c r="BI70" s="82"/>
      <c r="BJ70" s="82"/>
      <c r="BK70" s="82"/>
      <c r="BL70" s="82"/>
      <c r="BM70" s="82"/>
      <c r="BN70" s="82"/>
      <c r="BO70" s="81"/>
      <c r="BP70" s="81"/>
    </row>
    <row r="71" spans="11:68" ht="16.95" customHeight="1" x14ac:dyDescent="0.3"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  <c r="AO71" s="82"/>
      <c r="AP71" s="82"/>
      <c r="AQ71" s="82"/>
      <c r="AR71" s="82"/>
      <c r="AS71" s="82"/>
      <c r="AT71" s="82"/>
      <c r="AU71" s="82"/>
      <c r="AV71" s="82"/>
      <c r="AW71" s="82"/>
      <c r="AX71" s="82"/>
      <c r="AY71" s="82"/>
      <c r="AZ71" s="82"/>
      <c r="BA71" s="82"/>
      <c r="BB71" s="82"/>
      <c r="BC71" s="82"/>
      <c r="BD71" s="82"/>
      <c r="BE71" s="82"/>
      <c r="BF71" s="82"/>
      <c r="BG71" s="82"/>
      <c r="BH71" s="82"/>
      <c r="BI71" s="82"/>
      <c r="BJ71" s="82"/>
      <c r="BK71" s="82"/>
      <c r="BL71" s="82"/>
      <c r="BM71" s="82"/>
      <c r="BN71" s="82"/>
      <c r="BO71" s="81"/>
      <c r="BP71" s="81"/>
    </row>
    <row r="72" spans="11:68" ht="16.95" customHeight="1" x14ac:dyDescent="0.3"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82"/>
      <c r="AE72" s="82"/>
      <c r="AF72" s="82"/>
      <c r="AG72" s="82"/>
      <c r="AH72" s="82"/>
      <c r="AI72" s="82"/>
      <c r="AJ72" s="82"/>
      <c r="AK72" s="82"/>
      <c r="AL72" s="82"/>
      <c r="AM72" s="82"/>
      <c r="AN72" s="82"/>
      <c r="AO72" s="82"/>
      <c r="AP72" s="82"/>
      <c r="AQ72" s="82"/>
      <c r="AR72" s="82"/>
      <c r="AS72" s="82"/>
      <c r="AT72" s="82"/>
      <c r="AU72" s="82"/>
      <c r="AV72" s="82"/>
      <c r="AW72" s="82"/>
      <c r="AX72" s="82"/>
      <c r="AY72" s="82"/>
      <c r="AZ72" s="82"/>
      <c r="BA72" s="82"/>
      <c r="BB72" s="82"/>
      <c r="BC72" s="82"/>
      <c r="BD72" s="82"/>
      <c r="BE72" s="82"/>
      <c r="BF72" s="82"/>
      <c r="BG72" s="82"/>
      <c r="BH72" s="82"/>
      <c r="BI72" s="82"/>
      <c r="BJ72" s="82"/>
      <c r="BK72" s="82"/>
      <c r="BL72" s="82"/>
      <c r="BM72" s="82"/>
      <c r="BN72" s="82"/>
      <c r="BO72" s="81"/>
      <c r="BP72" s="81"/>
    </row>
    <row r="73" spans="11:68" ht="16.95" customHeight="1" x14ac:dyDescent="0.3"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1"/>
      <c r="BP73" s="81"/>
    </row>
    <row r="74" spans="11:68" ht="16.95" customHeight="1" x14ac:dyDescent="0.3"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  <c r="BD74" s="82"/>
      <c r="BE74" s="82"/>
      <c r="BF74" s="82"/>
      <c r="BG74" s="82"/>
      <c r="BH74" s="82"/>
      <c r="BI74" s="82"/>
      <c r="BJ74" s="82"/>
      <c r="BK74" s="82"/>
      <c r="BL74" s="82"/>
      <c r="BM74" s="82"/>
      <c r="BN74" s="82"/>
      <c r="BO74" s="81"/>
      <c r="BP74" s="81"/>
    </row>
    <row r="75" spans="11:68" ht="16.95" customHeight="1" x14ac:dyDescent="0.3"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  <c r="AD75" s="82"/>
      <c r="AE75" s="82"/>
      <c r="AF75" s="82"/>
      <c r="AG75" s="82"/>
      <c r="AH75" s="82"/>
      <c r="AI75" s="82"/>
      <c r="AJ75" s="82"/>
      <c r="AK75" s="82"/>
      <c r="AL75" s="82"/>
      <c r="AM75" s="82"/>
      <c r="AN75" s="82"/>
      <c r="AO75" s="82"/>
      <c r="AP75" s="82"/>
      <c r="AQ75" s="82"/>
      <c r="AR75" s="82"/>
      <c r="AS75" s="82"/>
      <c r="AT75" s="82"/>
      <c r="AU75" s="82"/>
      <c r="AV75" s="82"/>
      <c r="AW75" s="82"/>
      <c r="AX75" s="82"/>
      <c r="AY75" s="82"/>
      <c r="AZ75" s="82"/>
      <c r="BA75" s="82"/>
      <c r="BB75" s="82"/>
      <c r="BC75" s="82"/>
      <c r="BD75" s="82"/>
      <c r="BE75" s="82"/>
      <c r="BF75" s="82"/>
      <c r="BG75" s="82"/>
      <c r="BH75" s="82"/>
      <c r="BI75" s="82"/>
      <c r="BJ75" s="82"/>
      <c r="BK75" s="82"/>
      <c r="BL75" s="82"/>
      <c r="BM75" s="82"/>
      <c r="BN75" s="82"/>
      <c r="BO75" s="81"/>
      <c r="BP75" s="81"/>
    </row>
    <row r="76" spans="11:68" ht="16.95" customHeight="1" x14ac:dyDescent="0.3"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82"/>
      <c r="AM76" s="82"/>
      <c r="AN76" s="82"/>
      <c r="AO76" s="82"/>
      <c r="AP76" s="82"/>
      <c r="AQ76" s="82"/>
      <c r="AR76" s="82"/>
      <c r="AS76" s="82"/>
      <c r="AT76" s="82"/>
      <c r="AU76" s="82"/>
      <c r="AV76" s="82"/>
      <c r="AW76" s="82"/>
      <c r="AX76" s="82"/>
      <c r="AY76" s="82"/>
      <c r="AZ76" s="82"/>
      <c r="BA76" s="82"/>
      <c r="BB76" s="82"/>
      <c r="BC76" s="82"/>
      <c r="BD76" s="82"/>
      <c r="BE76" s="82"/>
      <c r="BF76" s="82"/>
      <c r="BG76" s="82"/>
      <c r="BH76" s="82"/>
      <c r="BI76" s="82"/>
      <c r="BJ76" s="82"/>
      <c r="BK76" s="82"/>
      <c r="BL76" s="82"/>
      <c r="BM76" s="82"/>
      <c r="BN76" s="82"/>
      <c r="BO76" s="81"/>
      <c r="BP76" s="81"/>
    </row>
    <row r="77" spans="11:68" ht="16.95" customHeight="1" x14ac:dyDescent="0.3"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  <c r="AD77" s="82"/>
      <c r="AE77" s="82"/>
      <c r="AF77" s="82"/>
      <c r="AG77" s="82"/>
      <c r="AH77" s="82"/>
      <c r="AI77" s="82"/>
      <c r="AJ77" s="82"/>
      <c r="AK77" s="82"/>
      <c r="AL77" s="82"/>
      <c r="AM77" s="82"/>
      <c r="AN77" s="82"/>
      <c r="AO77" s="82"/>
      <c r="AP77" s="82"/>
      <c r="AQ77" s="82"/>
      <c r="AR77" s="82"/>
      <c r="AS77" s="82"/>
      <c r="AT77" s="82"/>
      <c r="AU77" s="82"/>
      <c r="AV77" s="82"/>
      <c r="AW77" s="82"/>
      <c r="AX77" s="82"/>
      <c r="AY77" s="82"/>
      <c r="AZ77" s="82"/>
      <c r="BA77" s="82"/>
      <c r="BB77" s="82"/>
      <c r="BC77" s="82"/>
      <c r="BD77" s="82"/>
      <c r="BE77" s="82"/>
      <c r="BF77" s="82"/>
      <c r="BG77" s="82"/>
      <c r="BH77" s="82"/>
      <c r="BI77" s="82"/>
      <c r="BJ77" s="82"/>
      <c r="BK77" s="82"/>
      <c r="BL77" s="82"/>
      <c r="BM77" s="82"/>
      <c r="BN77" s="82"/>
      <c r="BO77" s="81"/>
      <c r="BP77" s="81"/>
    </row>
    <row r="78" spans="11:68" ht="16.95" customHeight="1" x14ac:dyDescent="0.3"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  <c r="AN78" s="82"/>
      <c r="AO78" s="82"/>
      <c r="AP78" s="82"/>
      <c r="AQ78" s="82"/>
      <c r="AR78" s="82"/>
      <c r="AS78" s="82"/>
      <c r="AT78" s="82"/>
      <c r="AU78" s="82"/>
      <c r="AV78" s="82"/>
      <c r="AW78" s="82"/>
      <c r="AX78" s="82"/>
      <c r="AY78" s="82"/>
      <c r="AZ78" s="82"/>
      <c r="BA78" s="82"/>
      <c r="BB78" s="82"/>
      <c r="BC78" s="82"/>
      <c r="BD78" s="82"/>
      <c r="BE78" s="82"/>
      <c r="BF78" s="82"/>
      <c r="BG78" s="82"/>
      <c r="BH78" s="82"/>
      <c r="BI78" s="82"/>
      <c r="BJ78" s="82"/>
      <c r="BK78" s="82"/>
      <c r="BL78" s="82"/>
      <c r="BM78" s="82"/>
      <c r="BN78" s="82"/>
      <c r="BO78" s="81"/>
      <c r="BP78" s="81"/>
    </row>
    <row r="79" spans="11:68" ht="16.95" customHeight="1" x14ac:dyDescent="0.3"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  <c r="AD79" s="82"/>
      <c r="AE79" s="82"/>
      <c r="AF79" s="82"/>
      <c r="AG79" s="82"/>
      <c r="AH79" s="82"/>
      <c r="AI79" s="82"/>
      <c r="AJ79" s="82"/>
      <c r="AK79" s="82"/>
      <c r="AL79" s="82"/>
      <c r="AM79" s="82"/>
      <c r="AN79" s="82"/>
      <c r="AO79" s="82"/>
      <c r="AP79" s="82"/>
      <c r="AQ79" s="82"/>
      <c r="AR79" s="82"/>
      <c r="AS79" s="82"/>
      <c r="AT79" s="82"/>
      <c r="AU79" s="82"/>
      <c r="AV79" s="82"/>
      <c r="AW79" s="82"/>
      <c r="AX79" s="82"/>
      <c r="AY79" s="82"/>
      <c r="AZ79" s="82"/>
      <c r="BA79" s="82"/>
      <c r="BB79" s="82"/>
      <c r="BC79" s="82"/>
      <c r="BD79" s="82"/>
      <c r="BE79" s="82"/>
      <c r="BF79" s="82"/>
      <c r="BG79" s="82"/>
      <c r="BH79" s="82"/>
      <c r="BI79" s="82"/>
      <c r="BJ79" s="82"/>
      <c r="BK79" s="82"/>
      <c r="BL79" s="82"/>
      <c r="BM79" s="82"/>
      <c r="BN79" s="82"/>
      <c r="BO79" s="81"/>
      <c r="BP79" s="81"/>
    </row>
    <row r="80" spans="11:68" ht="16.95" customHeight="1" x14ac:dyDescent="0.3"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82"/>
      <c r="AM80" s="82"/>
      <c r="AN80" s="82"/>
      <c r="AO80" s="82"/>
      <c r="AP80" s="82"/>
      <c r="AQ80" s="82"/>
      <c r="AR80" s="82"/>
      <c r="AS80" s="82"/>
      <c r="AT80" s="82"/>
      <c r="AU80" s="82"/>
      <c r="AV80" s="82"/>
      <c r="AW80" s="82"/>
      <c r="AX80" s="82"/>
      <c r="AY80" s="82"/>
      <c r="AZ80" s="82"/>
      <c r="BA80" s="82"/>
      <c r="BB80" s="82"/>
      <c r="BC80" s="82"/>
      <c r="BD80" s="82"/>
      <c r="BE80" s="82"/>
      <c r="BF80" s="82"/>
      <c r="BG80" s="82"/>
      <c r="BH80" s="82"/>
      <c r="BI80" s="82"/>
      <c r="BJ80" s="82"/>
      <c r="BK80" s="82"/>
      <c r="BL80" s="82"/>
      <c r="BM80" s="82"/>
      <c r="BN80" s="82"/>
      <c r="BO80" s="81"/>
      <c r="BP80" s="81"/>
    </row>
    <row r="81" spans="11:68" ht="16.95" customHeight="1" x14ac:dyDescent="0.3"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2"/>
      <c r="AW81" s="82"/>
      <c r="AX81" s="82"/>
      <c r="AY81" s="82"/>
      <c r="AZ81" s="82"/>
      <c r="BA81" s="82"/>
      <c r="BB81" s="82"/>
      <c r="BC81" s="82"/>
      <c r="BD81" s="82"/>
      <c r="BE81" s="82"/>
      <c r="BF81" s="82"/>
      <c r="BG81" s="82"/>
      <c r="BH81" s="82"/>
      <c r="BI81" s="82"/>
      <c r="BJ81" s="82"/>
      <c r="BK81" s="82"/>
      <c r="BL81" s="82"/>
      <c r="BM81" s="82"/>
      <c r="BN81" s="82"/>
      <c r="BO81" s="81"/>
      <c r="BP81" s="81"/>
    </row>
    <row r="82" spans="11:68" ht="16.95" customHeight="1" x14ac:dyDescent="0.3"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82"/>
      <c r="AM82" s="82"/>
      <c r="AN82" s="82"/>
      <c r="AO82" s="82"/>
      <c r="AP82" s="82"/>
      <c r="AQ82" s="82"/>
      <c r="AR82" s="82"/>
      <c r="AS82" s="82"/>
      <c r="AT82" s="82"/>
      <c r="AU82" s="82"/>
      <c r="AV82" s="82"/>
      <c r="AW82" s="82"/>
      <c r="AX82" s="82"/>
      <c r="AY82" s="82"/>
      <c r="AZ82" s="82"/>
      <c r="BA82" s="82"/>
      <c r="BB82" s="82"/>
      <c r="BC82" s="82"/>
      <c r="BD82" s="82"/>
      <c r="BE82" s="82"/>
      <c r="BF82" s="82"/>
      <c r="BG82" s="82"/>
      <c r="BH82" s="82"/>
      <c r="BI82" s="82"/>
      <c r="BJ82" s="82"/>
      <c r="BK82" s="82"/>
      <c r="BL82" s="82"/>
      <c r="BM82" s="82"/>
      <c r="BN82" s="82"/>
      <c r="BO82" s="81"/>
      <c r="BP82" s="81"/>
    </row>
    <row r="83" spans="11:68" ht="16.95" customHeight="1" x14ac:dyDescent="0.3"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82"/>
      <c r="AO83" s="82"/>
      <c r="AP83" s="82"/>
      <c r="AQ83" s="82"/>
      <c r="AR83" s="82"/>
      <c r="AS83" s="82"/>
      <c r="AT83" s="82"/>
      <c r="AU83" s="82"/>
      <c r="AV83" s="82"/>
      <c r="AW83" s="82"/>
      <c r="AX83" s="82"/>
      <c r="AY83" s="82"/>
      <c r="AZ83" s="82"/>
      <c r="BA83" s="82"/>
      <c r="BB83" s="82"/>
      <c r="BC83" s="82"/>
      <c r="BD83" s="82"/>
      <c r="BE83" s="82"/>
      <c r="BF83" s="82"/>
      <c r="BG83" s="82"/>
      <c r="BH83" s="82"/>
      <c r="BI83" s="82"/>
      <c r="BJ83" s="82"/>
      <c r="BK83" s="82"/>
      <c r="BL83" s="82"/>
      <c r="BM83" s="82"/>
      <c r="BN83" s="82"/>
      <c r="BO83" s="81"/>
      <c r="BP83" s="81"/>
    </row>
    <row r="84" spans="11:68" ht="16.95" customHeight="1" x14ac:dyDescent="0.3"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  <c r="AO84" s="82"/>
      <c r="AP84" s="82"/>
      <c r="AQ84" s="82"/>
      <c r="AR84" s="82"/>
      <c r="AS84" s="82"/>
      <c r="AT84" s="82"/>
      <c r="AU84" s="82"/>
      <c r="AV84" s="82"/>
      <c r="AW84" s="82"/>
      <c r="AX84" s="82"/>
      <c r="AY84" s="82"/>
      <c r="AZ84" s="82"/>
      <c r="BA84" s="82"/>
      <c r="BB84" s="82"/>
      <c r="BC84" s="82"/>
      <c r="BD84" s="82"/>
      <c r="BE84" s="82"/>
      <c r="BF84" s="82"/>
      <c r="BG84" s="82"/>
      <c r="BH84" s="82"/>
      <c r="BI84" s="82"/>
      <c r="BJ84" s="82"/>
      <c r="BK84" s="82"/>
      <c r="BL84" s="82"/>
      <c r="BM84" s="82"/>
      <c r="BN84" s="82"/>
      <c r="BO84" s="81"/>
      <c r="BP84" s="81"/>
    </row>
    <row r="85" spans="11:68" ht="16.95" customHeight="1" x14ac:dyDescent="0.3"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82"/>
      <c r="AD85" s="82"/>
      <c r="AE85" s="82"/>
      <c r="AF85" s="82"/>
      <c r="AG85" s="82"/>
      <c r="AH85" s="82"/>
      <c r="AI85" s="82"/>
      <c r="AJ85" s="82"/>
      <c r="AK85" s="82"/>
      <c r="AL85" s="82"/>
      <c r="AM85" s="82"/>
      <c r="AN85" s="82"/>
      <c r="AO85" s="82"/>
      <c r="AP85" s="82"/>
      <c r="AQ85" s="82"/>
      <c r="AR85" s="82"/>
      <c r="AS85" s="82"/>
      <c r="AT85" s="82"/>
      <c r="AU85" s="82"/>
      <c r="AV85" s="82"/>
      <c r="AW85" s="82"/>
      <c r="AX85" s="82"/>
      <c r="AY85" s="82"/>
      <c r="AZ85" s="82"/>
      <c r="BA85" s="82"/>
      <c r="BB85" s="82"/>
      <c r="BC85" s="82"/>
      <c r="BD85" s="82"/>
      <c r="BE85" s="82"/>
      <c r="BF85" s="82"/>
      <c r="BG85" s="82"/>
      <c r="BH85" s="82"/>
      <c r="BI85" s="82"/>
      <c r="BJ85" s="82"/>
      <c r="BK85" s="82"/>
      <c r="BL85" s="82"/>
      <c r="BM85" s="82"/>
      <c r="BN85" s="82"/>
      <c r="BO85" s="81"/>
      <c r="BP85" s="81"/>
    </row>
    <row r="86" spans="11:68" ht="16.95" customHeight="1" x14ac:dyDescent="0.3"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82"/>
      <c r="AD86" s="82"/>
      <c r="AE86" s="82"/>
      <c r="AF86" s="82"/>
      <c r="AG86" s="82"/>
      <c r="AH86" s="82"/>
      <c r="AI86" s="82"/>
      <c r="AJ86" s="82"/>
      <c r="AK86" s="82"/>
      <c r="AL86" s="82"/>
      <c r="AM86" s="82"/>
      <c r="AN86" s="82"/>
      <c r="AO86" s="82"/>
      <c r="AP86" s="82"/>
      <c r="AQ86" s="82"/>
      <c r="AR86" s="82"/>
      <c r="AS86" s="82"/>
      <c r="AT86" s="82"/>
      <c r="AU86" s="82"/>
      <c r="AV86" s="82"/>
      <c r="AW86" s="82"/>
      <c r="AX86" s="82"/>
      <c r="AY86" s="82"/>
      <c r="AZ86" s="82"/>
      <c r="BA86" s="82"/>
      <c r="BB86" s="82"/>
      <c r="BC86" s="82"/>
      <c r="BD86" s="82"/>
      <c r="BE86" s="82"/>
      <c r="BF86" s="82"/>
      <c r="BG86" s="82"/>
      <c r="BH86" s="82"/>
      <c r="BI86" s="82"/>
      <c r="BJ86" s="82"/>
      <c r="BK86" s="82"/>
      <c r="BL86" s="82"/>
      <c r="BM86" s="82"/>
      <c r="BN86" s="82"/>
      <c r="BO86" s="81"/>
      <c r="BP86" s="81"/>
    </row>
    <row r="87" spans="11:68" ht="16.95" customHeight="1" x14ac:dyDescent="0.3"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82"/>
      <c r="AD87" s="82"/>
      <c r="AE87" s="82"/>
      <c r="AF87" s="82"/>
      <c r="AG87" s="82"/>
      <c r="AH87" s="82"/>
      <c r="AI87" s="82"/>
      <c r="AJ87" s="82"/>
      <c r="AK87" s="82"/>
      <c r="AL87" s="82"/>
      <c r="AM87" s="82"/>
      <c r="AN87" s="82"/>
      <c r="AO87" s="82"/>
      <c r="AP87" s="82"/>
      <c r="AQ87" s="82"/>
      <c r="AR87" s="82"/>
      <c r="AS87" s="82"/>
      <c r="AT87" s="82"/>
      <c r="AU87" s="82"/>
      <c r="AV87" s="82"/>
      <c r="AW87" s="82"/>
      <c r="AX87" s="82"/>
      <c r="AY87" s="82"/>
      <c r="AZ87" s="82"/>
      <c r="BA87" s="82"/>
      <c r="BB87" s="82"/>
      <c r="BC87" s="82"/>
      <c r="BD87" s="82"/>
      <c r="BE87" s="82"/>
      <c r="BF87" s="82"/>
      <c r="BG87" s="82"/>
      <c r="BH87" s="82"/>
      <c r="BI87" s="82"/>
      <c r="BJ87" s="82"/>
      <c r="BK87" s="82"/>
      <c r="BL87" s="82"/>
      <c r="BM87" s="82"/>
      <c r="BN87" s="82"/>
      <c r="BO87" s="81"/>
      <c r="BP87" s="81"/>
    </row>
    <row r="88" spans="11:68" ht="16.95" customHeight="1" x14ac:dyDescent="0.3"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82"/>
      <c r="AD88" s="82"/>
      <c r="AE88" s="82"/>
      <c r="AF88" s="82"/>
      <c r="AG88" s="82"/>
      <c r="AH88" s="82"/>
      <c r="AI88" s="82"/>
      <c r="AJ88" s="82"/>
      <c r="AK88" s="82"/>
      <c r="AL88" s="82"/>
      <c r="AM88" s="82"/>
      <c r="AN88" s="82"/>
      <c r="AO88" s="82"/>
      <c r="AP88" s="82"/>
      <c r="AQ88" s="82"/>
      <c r="AR88" s="82"/>
      <c r="AS88" s="82"/>
      <c r="AT88" s="82"/>
      <c r="AU88" s="82"/>
      <c r="AV88" s="82"/>
      <c r="AW88" s="82"/>
      <c r="AX88" s="82"/>
      <c r="AY88" s="82"/>
      <c r="AZ88" s="82"/>
      <c r="BA88" s="82"/>
      <c r="BB88" s="82"/>
      <c r="BC88" s="82"/>
      <c r="BD88" s="82"/>
      <c r="BE88" s="82"/>
      <c r="BF88" s="82"/>
      <c r="BG88" s="82"/>
      <c r="BH88" s="82"/>
      <c r="BI88" s="82"/>
      <c r="BJ88" s="82"/>
      <c r="BK88" s="82"/>
      <c r="BL88" s="82"/>
      <c r="BM88" s="82"/>
      <c r="BN88" s="82"/>
      <c r="BO88" s="81"/>
      <c r="BP88" s="81"/>
    </row>
    <row r="89" spans="11:68" ht="16.95" customHeight="1" x14ac:dyDescent="0.3"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82"/>
      <c r="AE89" s="82"/>
      <c r="AF89" s="82"/>
      <c r="AG89" s="82"/>
      <c r="AH89" s="82"/>
      <c r="AI89" s="82"/>
      <c r="AJ89" s="82"/>
      <c r="AK89" s="82"/>
      <c r="AL89" s="82"/>
      <c r="AM89" s="82"/>
      <c r="AN89" s="82"/>
      <c r="AO89" s="82"/>
      <c r="AP89" s="82"/>
      <c r="AQ89" s="82"/>
      <c r="AR89" s="82"/>
      <c r="AS89" s="82"/>
      <c r="AT89" s="82"/>
      <c r="AU89" s="82"/>
      <c r="AV89" s="82"/>
      <c r="AW89" s="82"/>
      <c r="AX89" s="82"/>
      <c r="AY89" s="82"/>
      <c r="AZ89" s="82"/>
      <c r="BA89" s="82"/>
      <c r="BB89" s="82"/>
      <c r="BC89" s="82"/>
      <c r="BD89" s="82"/>
      <c r="BE89" s="82"/>
      <c r="BF89" s="82"/>
      <c r="BG89" s="82"/>
      <c r="BH89" s="82"/>
      <c r="BI89" s="82"/>
      <c r="BJ89" s="82"/>
      <c r="BK89" s="82"/>
      <c r="BL89" s="82"/>
      <c r="BM89" s="82"/>
      <c r="BN89" s="82"/>
      <c r="BO89" s="81"/>
      <c r="BP89" s="81"/>
    </row>
    <row r="90" spans="11:68" ht="16.95" customHeight="1" x14ac:dyDescent="0.3"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  <c r="BD90" s="82"/>
      <c r="BE90" s="82"/>
      <c r="BF90" s="82"/>
      <c r="BG90" s="82"/>
      <c r="BH90" s="82"/>
      <c r="BI90" s="82"/>
      <c r="BJ90" s="82"/>
      <c r="BK90" s="82"/>
      <c r="BL90" s="82"/>
      <c r="BM90" s="82"/>
      <c r="BN90" s="82"/>
      <c r="BO90" s="81"/>
      <c r="BP90" s="81"/>
    </row>
    <row r="91" spans="11:68" ht="16.95" customHeight="1" x14ac:dyDescent="0.3"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82"/>
      <c r="AE91" s="82"/>
      <c r="AF91" s="82"/>
      <c r="AG91" s="82"/>
      <c r="AH91" s="82"/>
      <c r="AI91" s="82"/>
      <c r="AJ91" s="82"/>
      <c r="AK91" s="82"/>
      <c r="AL91" s="82"/>
      <c r="AM91" s="82"/>
      <c r="AN91" s="82"/>
      <c r="AO91" s="82"/>
      <c r="AP91" s="82"/>
      <c r="AQ91" s="82"/>
      <c r="AR91" s="82"/>
      <c r="AS91" s="82"/>
      <c r="AT91" s="82"/>
      <c r="AU91" s="82"/>
      <c r="AV91" s="82"/>
      <c r="AW91" s="82"/>
      <c r="AX91" s="82"/>
      <c r="AY91" s="82"/>
      <c r="AZ91" s="82"/>
      <c r="BA91" s="82"/>
      <c r="BB91" s="82"/>
      <c r="BC91" s="82"/>
      <c r="BD91" s="82"/>
      <c r="BE91" s="82"/>
      <c r="BF91" s="82"/>
      <c r="BG91" s="82"/>
      <c r="BH91" s="82"/>
      <c r="BI91" s="82"/>
      <c r="BJ91" s="82"/>
      <c r="BK91" s="82"/>
      <c r="BL91" s="82"/>
      <c r="BM91" s="82"/>
      <c r="BN91" s="82"/>
      <c r="BO91" s="81"/>
      <c r="BP91" s="81"/>
    </row>
    <row r="92" spans="11:68" ht="16.95" customHeight="1" x14ac:dyDescent="0.3"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82"/>
      <c r="AE92" s="82"/>
      <c r="AF92" s="82"/>
      <c r="AG92" s="82"/>
      <c r="AH92" s="82"/>
      <c r="AI92" s="82"/>
      <c r="AJ92" s="82"/>
      <c r="AK92" s="82"/>
      <c r="AL92" s="82"/>
      <c r="AM92" s="82"/>
      <c r="AN92" s="82"/>
      <c r="AO92" s="82"/>
      <c r="AP92" s="82"/>
      <c r="AQ92" s="82"/>
      <c r="AR92" s="82"/>
      <c r="AS92" s="82"/>
      <c r="AT92" s="82"/>
      <c r="AU92" s="82"/>
      <c r="AV92" s="82"/>
      <c r="AW92" s="82"/>
      <c r="AX92" s="82"/>
      <c r="AY92" s="82"/>
      <c r="AZ92" s="82"/>
      <c r="BA92" s="82"/>
      <c r="BB92" s="82"/>
      <c r="BC92" s="82"/>
      <c r="BD92" s="82"/>
      <c r="BE92" s="82"/>
      <c r="BF92" s="82"/>
      <c r="BG92" s="82"/>
      <c r="BH92" s="82"/>
      <c r="BI92" s="82"/>
      <c r="BJ92" s="82"/>
      <c r="BK92" s="82"/>
      <c r="BL92" s="82"/>
      <c r="BM92" s="82"/>
      <c r="BN92" s="82"/>
      <c r="BO92" s="81"/>
      <c r="BP92" s="81"/>
    </row>
    <row r="93" spans="11:68" ht="16.95" customHeight="1" x14ac:dyDescent="0.3"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82"/>
      <c r="AE93" s="82"/>
      <c r="AF93" s="82"/>
      <c r="AG93" s="82"/>
      <c r="AH93" s="82"/>
      <c r="AI93" s="82"/>
      <c r="AJ93" s="82"/>
      <c r="AK93" s="82"/>
      <c r="AL93" s="82"/>
      <c r="AM93" s="82"/>
      <c r="AN93" s="82"/>
      <c r="AO93" s="82"/>
      <c r="AP93" s="82"/>
      <c r="AQ93" s="82"/>
      <c r="AR93" s="82"/>
      <c r="AS93" s="82"/>
      <c r="AT93" s="82"/>
      <c r="AU93" s="82"/>
      <c r="AV93" s="82"/>
      <c r="AW93" s="82"/>
      <c r="AX93" s="82"/>
      <c r="AY93" s="82"/>
      <c r="AZ93" s="82"/>
      <c r="BA93" s="82"/>
      <c r="BB93" s="82"/>
      <c r="BC93" s="82"/>
      <c r="BD93" s="82"/>
      <c r="BE93" s="82"/>
      <c r="BF93" s="82"/>
      <c r="BG93" s="82"/>
      <c r="BH93" s="82"/>
      <c r="BI93" s="82"/>
      <c r="BJ93" s="82"/>
      <c r="BK93" s="82"/>
      <c r="BL93" s="82"/>
      <c r="BM93" s="82"/>
      <c r="BN93" s="82"/>
      <c r="BO93" s="81"/>
      <c r="BP93" s="81"/>
    </row>
    <row r="94" spans="11:68" ht="16.95" customHeight="1" x14ac:dyDescent="0.3"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82"/>
      <c r="AE94" s="82"/>
      <c r="AF94" s="82"/>
      <c r="AG94" s="82"/>
      <c r="AH94" s="82"/>
      <c r="AI94" s="82"/>
      <c r="AJ94" s="82"/>
      <c r="AK94" s="82"/>
      <c r="AL94" s="82"/>
      <c r="AM94" s="82"/>
      <c r="AN94" s="82"/>
      <c r="AO94" s="82"/>
      <c r="AP94" s="82"/>
      <c r="AQ94" s="82"/>
      <c r="AR94" s="82"/>
      <c r="AS94" s="82"/>
      <c r="AT94" s="82"/>
      <c r="AU94" s="82"/>
      <c r="AV94" s="82"/>
      <c r="AW94" s="82"/>
      <c r="AX94" s="82"/>
      <c r="AY94" s="82"/>
      <c r="AZ94" s="82"/>
      <c r="BA94" s="82"/>
      <c r="BB94" s="82"/>
      <c r="BC94" s="82"/>
      <c r="BD94" s="82"/>
      <c r="BE94" s="82"/>
      <c r="BF94" s="82"/>
      <c r="BG94" s="82"/>
      <c r="BH94" s="82"/>
      <c r="BI94" s="82"/>
      <c r="BJ94" s="82"/>
      <c r="BK94" s="82"/>
      <c r="BL94" s="82"/>
      <c r="BM94" s="82"/>
      <c r="BN94" s="82"/>
      <c r="BO94" s="81"/>
      <c r="BP94" s="81"/>
    </row>
    <row r="95" spans="11:68" ht="16.95" customHeight="1" x14ac:dyDescent="0.3"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82"/>
      <c r="AD95" s="82"/>
      <c r="AE95" s="82"/>
      <c r="AF95" s="82"/>
      <c r="AG95" s="82"/>
      <c r="AH95" s="82"/>
      <c r="AI95" s="82"/>
      <c r="AJ95" s="82"/>
      <c r="AK95" s="82"/>
      <c r="AL95" s="82"/>
      <c r="AM95" s="82"/>
      <c r="AN95" s="82"/>
      <c r="AO95" s="82"/>
      <c r="AP95" s="82"/>
      <c r="AQ95" s="82"/>
      <c r="AR95" s="82"/>
      <c r="AS95" s="82"/>
      <c r="AT95" s="82"/>
      <c r="AU95" s="82"/>
      <c r="AV95" s="82"/>
      <c r="AW95" s="82"/>
      <c r="AX95" s="82"/>
      <c r="AY95" s="82"/>
      <c r="AZ95" s="82"/>
      <c r="BA95" s="82"/>
      <c r="BB95" s="82"/>
      <c r="BC95" s="82"/>
      <c r="BD95" s="82"/>
      <c r="BE95" s="82"/>
      <c r="BF95" s="82"/>
      <c r="BG95" s="82"/>
      <c r="BH95" s="82"/>
      <c r="BI95" s="82"/>
      <c r="BJ95" s="82"/>
      <c r="BK95" s="82"/>
      <c r="BL95" s="82"/>
      <c r="BM95" s="82"/>
      <c r="BN95" s="82"/>
      <c r="BO95" s="81"/>
      <c r="BP95" s="81"/>
    </row>
    <row r="96" spans="11:68" ht="16.95" customHeight="1" x14ac:dyDescent="0.3"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2"/>
      <c r="AH96" s="82"/>
      <c r="AI96" s="82"/>
      <c r="AJ96" s="82"/>
      <c r="AK96" s="82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2"/>
      <c r="AW96" s="82"/>
      <c r="AX96" s="82"/>
      <c r="AY96" s="82"/>
      <c r="AZ96" s="82"/>
      <c r="BA96" s="82"/>
      <c r="BB96" s="82"/>
      <c r="BC96" s="82"/>
      <c r="BD96" s="82"/>
      <c r="BE96" s="82"/>
      <c r="BF96" s="82"/>
      <c r="BG96" s="82"/>
      <c r="BH96" s="82"/>
      <c r="BI96" s="82"/>
      <c r="BJ96" s="82"/>
      <c r="BK96" s="82"/>
      <c r="BL96" s="82"/>
      <c r="BM96" s="82"/>
      <c r="BN96" s="82"/>
      <c r="BO96" s="81"/>
      <c r="BP96" s="81"/>
    </row>
    <row r="97" spans="11:68" ht="16.95" customHeight="1" x14ac:dyDescent="0.3"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  <c r="AD97" s="82"/>
      <c r="AE97" s="82"/>
      <c r="AF97" s="82"/>
      <c r="AG97" s="82"/>
      <c r="AH97" s="82"/>
      <c r="AI97" s="82"/>
      <c r="AJ97" s="82"/>
      <c r="AK97" s="82"/>
      <c r="AL97" s="82"/>
      <c r="AM97" s="82"/>
      <c r="AN97" s="82"/>
      <c r="AO97" s="82"/>
      <c r="AP97" s="82"/>
      <c r="AQ97" s="82"/>
      <c r="AR97" s="82"/>
      <c r="AS97" s="82"/>
      <c r="AT97" s="82"/>
      <c r="AU97" s="82"/>
      <c r="AV97" s="82"/>
      <c r="AW97" s="82"/>
      <c r="AX97" s="82"/>
      <c r="AY97" s="82"/>
      <c r="AZ97" s="82"/>
      <c r="BA97" s="82"/>
      <c r="BB97" s="82"/>
      <c r="BC97" s="82"/>
      <c r="BD97" s="82"/>
      <c r="BE97" s="82"/>
      <c r="BF97" s="82"/>
      <c r="BG97" s="82"/>
      <c r="BH97" s="82"/>
      <c r="BI97" s="82"/>
      <c r="BJ97" s="82"/>
      <c r="BK97" s="82"/>
      <c r="BL97" s="82"/>
      <c r="BM97" s="82"/>
      <c r="BN97" s="82"/>
      <c r="BO97" s="81"/>
      <c r="BP97" s="81"/>
    </row>
    <row r="98" spans="11:68" ht="16.95" customHeight="1" x14ac:dyDescent="0.3"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2"/>
      <c r="AW98" s="82"/>
      <c r="AX98" s="82"/>
      <c r="AY98" s="82"/>
      <c r="AZ98" s="82"/>
      <c r="BA98" s="82"/>
      <c r="BB98" s="82"/>
      <c r="BC98" s="82"/>
      <c r="BD98" s="82"/>
      <c r="BE98" s="82"/>
      <c r="BF98" s="82"/>
      <c r="BG98" s="82"/>
      <c r="BH98" s="82"/>
      <c r="BI98" s="82"/>
      <c r="BJ98" s="82"/>
      <c r="BK98" s="82"/>
      <c r="BL98" s="82"/>
      <c r="BM98" s="82"/>
      <c r="BN98" s="82"/>
      <c r="BO98" s="81"/>
      <c r="BP98" s="81"/>
    </row>
    <row r="99" spans="11:68" ht="16.95" customHeight="1" x14ac:dyDescent="0.3"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82"/>
      <c r="AD99" s="82"/>
      <c r="AE99" s="82"/>
      <c r="AF99" s="82"/>
      <c r="AG99" s="82"/>
      <c r="AH99" s="82"/>
      <c r="AI99" s="82"/>
      <c r="AJ99" s="82"/>
      <c r="AK99" s="82"/>
      <c r="AL99" s="82"/>
      <c r="AM99" s="82"/>
      <c r="AN99" s="82"/>
      <c r="AO99" s="82"/>
      <c r="AP99" s="82"/>
      <c r="AQ99" s="82"/>
      <c r="AR99" s="82"/>
      <c r="AS99" s="82"/>
      <c r="AT99" s="82"/>
      <c r="AU99" s="82"/>
      <c r="AV99" s="82"/>
      <c r="AW99" s="82"/>
      <c r="AX99" s="82"/>
      <c r="AY99" s="82"/>
      <c r="AZ99" s="82"/>
      <c r="BA99" s="82"/>
      <c r="BB99" s="82"/>
      <c r="BC99" s="82"/>
      <c r="BD99" s="82"/>
      <c r="BE99" s="82"/>
      <c r="BF99" s="82"/>
      <c r="BG99" s="82"/>
      <c r="BH99" s="82"/>
      <c r="BI99" s="82"/>
      <c r="BJ99" s="82"/>
      <c r="BK99" s="82"/>
      <c r="BL99" s="82"/>
      <c r="BM99" s="82"/>
      <c r="BN99" s="82"/>
      <c r="BO99" s="81"/>
      <c r="BP99" s="81"/>
    </row>
    <row r="100" spans="11:68" ht="16.95" customHeight="1" x14ac:dyDescent="0.3"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2"/>
      <c r="AW100" s="82"/>
      <c r="AX100" s="82"/>
      <c r="AY100" s="82"/>
      <c r="AZ100" s="82"/>
      <c r="BA100" s="82"/>
      <c r="BB100" s="82"/>
      <c r="BC100" s="82"/>
      <c r="BD100" s="82"/>
      <c r="BE100" s="82"/>
      <c r="BF100" s="82"/>
      <c r="BG100" s="82"/>
      <c r="BH100" s="82"/>
      <c r="BI100" s="82"/>
      <c r="BJ100" s="82"/>
      <c r="BK100" s="82"/>
      <c r="BL100" s="82"/>
      <c r="BM100" s="82"/>
      <c r="BN100" s="82"/>
      <c r="BO100" s="81"/>
      <c r="BP100" s="81"/>
    </row>
    <row r="101" spans="11:68" ht="16.95" customHeight="1" x14ac:dyDescent="0.3"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  <c r="AD101" s="82"/>
      <c r="AE101" s="82"/>
      <c r="AF101" s="82"/>
      <c r="AG101" s="82"/>
      <c r="AH101" s="82"/>
      <c r="AI101" s="82"/>
      <c r="AJ101" s="82"/>
      <c r="AK101" s="82"/>
      <c r="AL101" s="82"/>
      <c r="AM101" s="82"/>
      <c r="AN101" s="82"/>
      <c r="AO101" s="82"/>
      <c r="AP101" s="82"/>
      <c r="AQ101" s="82"/>
      <c r="AR101" s="82"/>
      <c r="AS101" s="82"/>
      <c r="AT101" s="82"/>
      <c r="AU101" s="82"/>
      <c r="AV101" s="82"/>
      <c r="AW101" s="82"/>
      <c r="AX101" s="82"/>
      <c r="AY101" s="82"/>
      <c r="AZ101" s="82"/>
      <c r="BA101" s="82"/>
      <c r="BB101" s="82"/>
      <c r="BC101" s="82"/>
      <c r="BD101" s="82"/>
      <c r="BE101" s="82"/>
      <c r="BF101" s="82"/>
      <c r="BG101" s="82"/>
      <c r="BH101" s="82"/>
      <c r="BI101" s="82"/>
      <c r="BJ101" s="82"/>
      <c r="BK101" s="82"/>
      <c r="BL101" s="82"/>
      <c r="BM101" s="82"/>
      <c r="BN101" s="82"/>
      <c r="BO101" s="81"/>
      <c r="BP101" s="81"/>
    </row>
    <row r="102" spans="11:68" ht="16.95" customHeight="1" x14ac:dyDescent="0.3"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2"/>
      <c r="AW102" s="82"/>
      <c r="AX102" s="82"/>
      <c r="AY102" s="82"/>
      <c r="AZ102" s="82"/>
      <c r="BA102" s="82"/>
      <c r="BB102" s="82"/>
      <c r="BC102" s="82"/>
      <c r="BD102" s="82"/>
      <c r="BE102" s="82"/>
      <c r="BF102" s="82"/>
      <c r="BG102" s="82"/>
      <c r="BH102" s="82"/>
      <c r="BI102" s="82"/>
      <c r="BJ102" s="82"/>
      <c r="BK102" s="82"/>
      <c r="BL102" s="82"/>
      <c r="BM102" s="82"/>
      <c r="BN102" s="82"/>
      <c r="BO102" s="81"/>
      <c r="BP102" s="81"/>
    </row>
    <row r="103" spans="11:68" ht="16.95" customHeight="1" x14ac:dyDescent="0.3"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82"/>
      <c r="AE103" s="82"/>
      <c r="AF103" s="82"/>
      <c r="AG103" s="82"/>
      <c r="AH103" s="82"/>
      <c r="AI103" s="82"/>
      <c r="AJ103" s="82"/>
      <c r="AK103" s="82"/>
      <c r="AL103" s="82"/>
      <c r="AM103" s="82"/>
      <c r="AN103" s="82"/>
      <c r="AO103" s="82"/>
      <c r="AP103" s="82"/>
      <c r="AQ103" s="82"/>
      <c r="AR103" s="82"/>
      <c r="AS103" s="82"/>
      <c r="AT103" s="82"/>
      <c r="AU103" s="82"/>
      <c r="AV103" s="82"/>
      <c r="AW103" s="82"/>
      <c r="AX103" s="82"/>
      <c r="AY103" s="82"/>
      <c r="AZ103" s="82"/>
      <c r="BA103" s="82"/>
      <c r="BB103" s="82"/>
      <c r="BC103" s="82"/>
      <c r="BD103" s="82"/>
      <c r="BE103" s="82"/>
      <c r="BF103" s="82"/>
      <c r="BG103" s="82"/>
      <c r="BH103" s="82"/>
      <c r="BI103" s="82"/>
      <c r="BJ103" s="82"/>
      <c r="BK103" s="82"/>
      <c r="BL103" s="82"/>
      <c r="BM103" s="82"/>
      <c r="BN103" s="82"/>
      <c r="BO103" s="81"/>
      <c r="BP103" s="81"/>
    </row>
    <row r="104" spans="11:68" ht="16.95" customHeight="1" x14ac:dyDescent="0.3"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  <c r="AD104" s="82"/>
      <c r="AE104" s="82"/>
      <c r="AF104" s="82"/>
      <c r="AG104" s="82"/>
      <c r="AH104" s="82"/>
      <c r="AI104" s="82"/>
      <c r="AJ104" s="82"/>
      <c r="AK104" s="82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2"/>
      <c r="AW104" s="82"/>
      <c r="AX104" s="82"/>
      <c r="AY104" s="82"/>
      <c r="AZ104" s="82"/>
      <c r="BA104" s="82"/>
      <c r="BB104" s="82"/>
      <c r="BC104" s="82"/>
      <c r="BD104" s="82"/>
      <c r="BE104" s="82"/>
      <c r="BF104" s="82"/>
      <c r="BG104" s="82"/>
      <c r="BH104" s="82"/>
      <c r="BI104" s="82"/>
      <c r="BJ104" s="82"/>
      <c r="BK104" s="82"/>
      <c r="BL104" s="82"/>
      <c r="BM104" s="82"/>
      <c r="BN104" s="82"/>
      <c r="BO104" s="81"/>
      <c r="BP104" s="81"/>
    </row>
    <row r="105" spans="11:68" ht="16.95" customHeight="1" x14ac:dyDescent="0.3"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82"/>
      <c r="AD105" s="82"/>
      <c r="AE105" s="82"/>
      <c r="AF105" s="82"/>
      <c r="AG105" s="82"/>
      <c r="AH105" s="82"/>
      <c r="AI105" s="82"/>
      <c r="AJ105" s="82"/>
      <c r="AK105" s="82"/>
      <c r="AL105" s="82"/>
      <c r="AM105" s="82"/>
      <c r="AN105" s="82"/>
      <c r="AO105" s="82"/>
      <c r="AP105" s="82"/>
      <c r="AQ105" s="82"/>
      <c r="AR105" s="82"/>
      <c r="AS105" s="82"/>
      <c r="AT105" s="82"/>
      <c r="AU105" s="82"/>
      <c r="AV105" s="82"/>
      <c r="AW105" s="82"/>
      <c r="AX105" s="82"/>
      <c r="AY105" s="82"/>
      <c r="AZ105" s="82"/>
      <c r="BA105" s="82"/>
      <c r="BB105" s="82"/>
      <c r="BC105" s="82"/>
      <c r="BD105" s="82"/>
      <c r="BE105" s="82"/>
      <c r="BF105" s="82"/>
      <c r="BG105" s="82"/>
      <c r="BH105" s="82"/>
      <c r="BI105" s="82"/>
      <c r="BJ105" s="82"/>
      <c r="BK105" s="82"/>
      <c r="BL105" s="82"/>
      <c r="BM105" s="82"/>
      <c r="BN105" s="82"/>
      <c r="BO105" s="81"/>
      <c r="BP105" s="81"/>
    </row>
    <row r="106" spans="11:68" ht="16.95" customHeight="1" x14ac:dyDescent="0.3"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2"/>
      <c r="AW106" s="82"/>
      <c r="AX106" s="82"/>
      <c r="AY106" s="82"/>
      <c r="AZ106" s="82"/>
      <c r="BA106" s="82"/>
      <c r="BB106" s="82"/>
      <c r="BC106" s="82"/>
      <c r="BD106" s="82"/>
      <c r="BE106" s="82"/>
      <c r="BF106" s="82"/>
      <c r="BG106" s="82"/>
      <c r="BH106" s="82"/>
      <c r="BI106" s="82"/>
      <c r="BJ106" s="82"/>
      <c r="BK106" s="82"/>
      <c r="BL106" s="82"/>
      <c r="BM106" s="82"/>
      <c r="BN106" s="82"/>
      <c r="BO106" s="81"/>
      <c r="BP106" s="81"/>
    </row>
    <row r="107" spans="11:68" ht="16.95" customHeight="1" x14ac:dyDescent="0.3"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82"/>
      <c r="AD107" s="82"/>
      <c r="AE107" s="82"/>
      <c r="AF107" s="82"/>
      <c r="AG107" s="82"/>
      <c r="AH107" s="82"/>
      <c r="AI107" s="82"/>
      <c r="AJ107" s="82"/>
      <c r="AK107" s="82"/>
      <c r="AL107" s="82"/>
      <c r="AM107" s="82"/>
      <c r="AN107" s="82"/>
      <c r="AO107" s="82"/>
      <c r="AP107" s="82"/>
      <c r="AQ107" s="82"/>
      <c r="AR107" s="82"/>
      <c r="AS107" s="82"/>
      <c r="AT107" s="82"/>
      <c r="AU107" s="82"/>
      <c r="AV107" s="82"/>
      <c r="AW107" s="82"/>
      <c r="AX107" s="82"/>
      <c r="AY107" s="82"/>
      <c r="AZ107" s="82"/>
      <c r="BA107" s="82"/>
      <c r="BB107" s="82"/>
      <c r="BC107" s="82"/>
      <c r="BD107" s="82"/>
      <c r="BE107" s="82"/>
      <c r="BF107" s="82"/>
      <c r="BG107" s="82"/>
      <c r="BH107" s="82"/>
      <c r="BI107" s="82"/>
      <c r="BJ107" s="82"/>
      <c r="BK107" s="82"/>
      <c r="BL107" s="82"/>
      <c r="BM107" s="82"/>
      <c r="BN107" s="82"/>
      <c r="BO107" s="81"/>
      <c r="BP107" s="81"/>
    </row>
    <row r="108" spans="11:68" ht="16.95" customHeight="1" x14ac:dyDescent="0.3"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  <c r="AD108" s="82"/>
      <c r="AE108" s="82"/>
      <c r="AF108" s="82"/>
      <c r="AG108" s="82"/>
      <c r="AH108" s="82"/>
      <c r="AI108" s="82"/>
      <c r="AJ108" s="82"/>
      <c r="AK108" s="82"/>
      <c r="AL108" s="82"/>
      <c r="AM108" s="82"/>
      <c r="AN108" s="82"/>
      <c r="AO108" s="82"/>
      <c r="AP108" s="82"/>
      <c r="AQ108" s="82"/>
      <c r="AR108" s="82"/>
      <c r="AS108" s="82"/>
      <c r="AT108" s="82"/>
      <c r="AU108" s="82"/>
      <c r="AV108" s="82"/>
      <c r="AW108" s="82"/>
      <c r="AX108" s="82"/>
      <c r="AY108" s="82"/>
      <c r="AZ108" s="82"/>
      <c r="BA108" s="82"/>
      <c r="BB108" s="82"/>
      <c r="BC108" s="82"/>
      <c r="BD108" s="82"/>
      <c r="BE108" s="82"/>
      <c r="BF108" s="82"/>
      <c r="BG108" s="82"/>
      <c r="BH108" s="82"/>
      <c r="BI108" s="82"/>
      <c r="BJ108" s="82"/>
      <c r="BK108" s="82"/>
      <c r="BL108" s="82"/>
      <c r="BM108" s="82"/>
      <c r="BN108" s="82"/>
      <c r="BO108" s="81"/>
      <c r="BP108" s="81"/>
    </row>
    <row r="109" spans="11:68" ht="16.95" customHeight="1" x14ac:dyDescent="0.3"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  <c r="AC109" s="82"/>
      <c r="AD109" s="82"/>
      <c r="AE109" s="82"/>
      <c r="AF109" s="82"/>
      <c r="AG109" s="82"/>
      <c r="AH109" s="82"/>
      <c r="AI109" s="82"/>
      <c r="AJ109" s="82"/>
      <c r="AK109" s="82"/>
      <c r="AL109" s="82"/>
      <c r="AM109" s="82"/>
      <c r="AN109" s="82"/>
      <c r="AO109" s="82"/>
      <c r="AP109" s="82"/>
      <c r="AQ109" s="82"/>
      <c r="AR109" s="82"/>
      <c r="AS109" s="82"/>
      <c r="AT109" s="82"/>
      <c r="AU109" s="82"/>
      <c r="AV109" s="82"/>
      <c r="AW109" s="82"/>
      <c r="AX109" s="82"/>
      <c r="AY109" s="82"/>
      <c r="AZ109" s="82"/>
      <c r="BA109" s="82"/>
      <c r="BB109" s="82"/>
      <c r="BC109" s="82"/>
      <c r="BD109" s="82"/>
      <c r="BE109" s="82"/>
      <c r="BF109" s="82"/>
      <c r="BG109" s="82"/>
      <c r="BH109" s="82"/>
      <c r="BI109" s="82"/>
      <c r="BJ109" s="82"/>
      <c r="BK109" s="82"/>
      <c r="BL109" s="82"/>
      <c r="BM109" s="82"/>
      <c r="BN109" s="82"/>
      <c r="BO109" s="81"/>
      <c r="BP109" s="81"/>
    </row>
    <row r="110" spans="11:68" ht="16.95" customHeight="1" x14ac:dyDescent="0.3"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2"/>
      <c r="AJ110" s="82"/>
      <c r="AK110" s="82"/>
      <c r="AL110" s="82"/>
      <c r="AM110" s="82"/>
      <c r="AN110" s="82"/>
      <c r="AO110" s="82"/>
      <c r="AP110" s="82"/>
      <c r="AQ110" s="82"/>
      <c r="AR110" s="82"/>
      <c r="AS110" s="82"/>
      <c r="AT110" s="82"/>
      <c r="AU110" s="82"/>
      <c r="AV110" s="82"/>
      <c r="AW110" s="82"/>
      <c r="AX110" s="82"/>
      <c r="AY110" s="82"/>
      <c r="AZ110" s="82"/>
      <c r="BA110" s="82"/>
      <c r="BB110" s="82"/>
      <c r="BC110" s="82"/>
      <c r="BD110" s="82"/>
      <c r="BE110" s="82"/>
      <c r="BF110" s="82"/>
      <c r="BG110" s="82"/>
      <c r="BH110" s="82"/>
      <c r="BI110" s="82"/>
      <c r="BJ110" s="82"/>
      <c r="BK110" s="82"/>
      <c r="BL110" s="82"/>
      <c r="BM110" s="82"/>
      <c r="BN110" s="82"/>
      <c r="BO110" s="81"/>
      <c r="BP110" s="81"/>
    </row>
    <row r="111" spans="11:68" ht="16.95" customHeight="1" x14ac:dyDescent="0.3"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82"/>
      <c r="AD111" s="82"/>
      <c r="AE111" s="82"/>
      <c r="AF111" s="82"/>
      <c r="AG111" s="82"/>
      <c r="AH111" s="82"/>
      <c r="AI111" s="82"/>
      <c r="AJ111" s="82"/>
      <c r="AK111" s="82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2"/>
      <c r="AW111" s="82"/>
      <c r="AX111" s="82"/>
      <c r="AY111" s="82"/>
      <c r="AZ111" s="82"/>
      <c r="BA111" s="82"/>
      <c r="BB111" s="82"/>
      <c r="BC111" s="82"/>
      <c r="BD111" s="82"/>
      <c r="BE111" s="82"/>
      <c r="BF111" s="82"/>
      <c r="BG111" s="82"/>
      <c r="BH111" s="82"/>
      <c r="BI111" s="82"/>
      <c r="BJ111" s="82"/>
      <c r="BK111" s="82"/>
      <c r="BL111" s="82"/>
      <c r="BM111" s="82"/>
      <c r="BN111" s="82"/>
      <c r="BO111" s="81"/>
      <c r="BP111" s="81"/>
    </row>
    <row r="112" spans="11:68" ht="16.95" customHeight="1" x14ac:dyDescent="0.3"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82"/>
      <c r="AD112" s="82"/>
      <c r="AE112" s="82"/>
      <c r="AF112" s="82"/>
      <c r="AG112" s="82"/>
      <c r="AH112" s="82"/>
      <c r="AI112" s="82"/>
      <c r="AJ112" s="82"/>
      <c r="AK112" s="82"/>
      <c r="AL112" s="82"/>
      <c r="AM112" s="82"/>
      <c r="AN112" s="82"/>
      <c r="AO112" s="82"/>
      <c r="AP112" s="82"/>
      <c r="AQ112" s="82"/>
      <c r="AR112" s="82"/>
      <c r="AS112" s="82"/>
      <c r="AT112" s="82"/>
      <c r="AU112" s="82"/>
      <c r="AV112" s="82"/>
      <c r="AW112" s="82"/>
      <c r="AX112" s="82"/>
      <c r="AY112" s="82"/>
      <c r="AZ112" s="82"/>
      <c r="BA112" s="82"/>
      <c r="BB112" s="82"/>
      <c r="BC112" s="82"/>
      <c r="BD112" s="82"/>
      <c r="BE112" s="82"/>
      <c r="BF112" s="82"/>
      <c r="BG112" s="82"/>
      <c r="BH112" s="82"/>
      <c r="BI112" s="82"/>
      <c r="BJ112" s="82"/>
      <c r="BK112" s="82"/>
      <c r="BL112" s="82"/>
      <c r="BM112" s="82"/>
      <c r="BN112" s="82"/>
      <c r="BO112" s="81"/>
      <c r="BP112" s="81"/>
    </row>
    <row r="113" spans="11:68" ht="16.95" customHeight="1" x14ac:dyDescent="0.3"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82"/>
      <c r="AD113" s="82"/>
      <c r="AE113" s="82"/>
      <c r="AF113" s="82"/>
      <c r="AG113" s="82"/>
      <c r="AH113" s="82"/>
      <c r="AI113" s="82"/>
      <c r="AJ113" s="82"/>
      <c r="AK113" s="82"/>
      <c r="AL113" s="82"/>
      <c r="AM113" s="82"/>
      <c r="AN113" s="82"/>
      <c r="AO113" s="82"/>
      <c r="AP113" s="82"/>
      <c r="AQ113" s="82"/>
      <c r="AR113" s="82"/>
      <c r="AS113" s="82"/>
      <c r="AT113" s="82"/>
      <c r="AU113" s="82"/>
      <c r="AV113" s="82"/>
      <c r="AW113" s="82"/>
      <c r="AX113" s="82"/>
      <c r="AY113" s="82"/>
      <c r="AZ113" s="82"/>
      <c r="BA113" s="82"/>
      <c r="BB113" s="82"/>
      <c r="BC113" s="82"/>
      <c r="BD113" s="82"/>
      <c r="BE113" s="82"/>
      <c r="BF113" s="82"/>
      <c r="BG113" s="82"/>
      <c r="BH113" s="82"/>
      <c r="BI113" s="82"/>
      <c r="BJ113" s="82"/>
      <c r="BK113" s="82"/>
      <c r="BL113" s="82"/>
      <c r="BM113" s="82"/>
      <c r="BN113" s="82"/>
      <c r="BO113" s="81"/>
      <c r="BP113" s="81"/>
    </row>
    <row r="114" spans="11:68" ht="16.95" customHeight="1" x14ac:dyDescent="0.3"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82"/>
      <c r="AD114" s="82"/>
      <c r="AE114" s="82"/>
      <c r="AF114" s="82"/>
      <c r="AG114" s="82"/>
      <c r="AH114" s="82"/>
      <c r="AI114" s="82"/>
      <c r="AJ114" s="82"/>
      <c r="AK114" s="82"/>
      <c r="AL114" s="82"/>
      <c r="AM114" s="82"/>
      <c r="AN114" s="82"/>
      <c r="AO114" s="82"/>
      <c r="AP114" s="82"/>
      <c r="AQ114" s="82"/>
      <c r="AR114" s="82"/>
      <c r="AS114" s="82"/>
      <c r="AT114" s="82"/>
      <c r="AU114" s="82"/>
      <c r="AV114" s="82"/>
      <c r="AW114" s="82"/>
      <c r="AX114" s="82"/>
      <c r="AY114" s="82"/>
      <c r="AZ114" s="82"/>
      <c r="BA114" s="82"/>
      <c r="BB114" s="82"/>
      <c r="BC114" s="82"/>
      <c r="BD114" s="82"/>
      <c r="BE114" s="82"/>
      <c r="BF114" s="82"/>
      <c r="BG114" s="82"/>
      <c r="BH114" s="82"/>
      <c r="BI114" s="82"/>
      <c r="BJ114" s="82"/>
      <c r="BK114" s="82"/>
      <c r="BL114" s="82"/>
      <c r="BM114" s="82"/>
      <c r="BN114" s="82"/>
      <c r="BO114" s="81"/>
      <c r="BP114" s="81"/>
    </row>
    <row r="115" spans="11:68" ht="16.95" customHeight="1" x14ac:dyDescent="0.3"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82"/>
      <c r="AD115" s="82"/>
      <c r="AE115" s="82"/>
      <c r="AF115" s="82"/>
      <c r="AG115" s="82"/>
      <c r="AH115" s="82"/>
      <c r="AI115" s="82"/>
      <c r="AJ115" s="82"/>
      <c r="AK115" s="82"/>
      <c r="AL115" s="82"/>
      <c r="AM115" s="82"/>
      <c r="AN115" s="82"/>
      <c r="AO115" s="82"/>
      <c r="AP115" s="82"/>
      <c r="AQ115" s="82"/>
      <c r="AR115" s="82"/>
      <c r="AS115" s="82"/>
      <c r="AT115" s="82"/>
      <c r="AU115" s="82"/>
      <c r="AV115" s="82"/>
      <c r="AW115" s="82"/>
      <c r="AX115" s="82"/>
      <c r="AY115" s="82"/>
      <c r="AZ115" s="82"/>
      <c r="BA115" s="82"/>
      <c r="BB115" s="82"/>
      <c r="BC115" s="82"/>
      <c r="BD115" s="82"/>
      <c r="BE115" s="82"/>
      <c r="BF115" s="82"/>
      <c r="BG115" s="82"/>
      <c r="BH115" s="82"/>
      <c r="BI115" s="82"/>
      <c r="BJ115" s="82"/>
      <c r="BK115" s="82"/>
      <c r="BL115" s="82"/>
      <c r="BM115" s="82"/>
      <c r="BN115" s="82"/>
      <c r="BO115" s="81"/>
      <c r="BP115" s="81"/>
    </row>
    <row r="116" spans="11:68" ht="16.95" customHeight="1" x14ac:dyDescent="0.3"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  <c r="AC116" s="82"/>
      <c r="AD116" s="82"/>
      <c r="AE116" s="82"/>
      <c r="AF116" s="82"/>
      <c r="AG116" s="82"/>
      <c r="AH116" s="82"/>
      <c r="AI116" s="82"/>
      <c r="AJ116" s="82"/>
      <c r="AK116" s="82"/>
      <c r="AL116" s="82"/>
      <c r="AM116" s="82"/>
      <c r="AN116" s="82"/>
      <c r="AO116" s="82"/>
      <c r="AP116" s="82"/>
      <c r="AQ116" s="82"/>
      <c r="AR116" s="82"/>
      <c r="AS116" s="82"/>
      <c r="AT116" s="82"/>
      <c r="AU116" s="82"/>
      <c r="AV116" s="82"/>
      <c r="AW116" s="82"/>
      <c r="AX116" s="82"/>
      <c r="AY116" s="82"/>
      <c r="AZ116" s="82"/>
      <c r="BA116" s="82"/>
      <c r="BB116" s="82"/>
      <c r="BC116" s="82"/>
      <c r="BD116" s="82"/>
      <c r="BE116" s="82"/>
      <c r="BF116" s="82"/>
      <c r="BG116" s="82"/>
      <c r="BH116" s="82"/>
      <c r="BI116" s="82"/>
      <c r="BJ116" s="82"/>
      <c r="BK116" s="82"/>
      <c r="BL116" s="82"/>
      <c r="BM116" s="82"/>
      <c r="BN116" s="82"/>
      <c r="BO116" s="81"/>
      <c r="BP116" s="81"/>
    </row>
    <row r="117" spans="11:68" ht="16.95" customHeight="1" x14ac:dyDescent="0.3"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  <c r="AC117" s="82"/>
      <c r="AD117" s="82"/>
      <c r="AE117" s="82"/>
      <c r="AF117" s="82"/>
      <c r="AG117" s="82"/>
      <c r="AH117" s="82"/>
      <c r="AI117" s="82"/>
      <c r="AJ117" s="82"/>
      <c r="AK117" s="82"/>
      <c r="AL117" s="82"/>
      <c r="AM117" s="82"/>
      <c r="AN117" s="82"/>
      <c r="AO117" s="82"/>
      <c r="AP117" s="82"/>
      <c r="AQ117" s="82"/>
      <c r="AR117" s="82"/>
      <c r="AS117" s="82"/>
      <c r="AT117" s="82"/>
      <c r="AU117" s="82"/>
      <c r="AV117" s="82"/>
      <c r="AW117" s="82"/>
      <c r="AX117" s="82"/>
      <c r="AY117" s="82"/>
      <c r="AZ117" s="82"/>
      <c r="BA117" s="82"/>
      <c r="BB117" s="82"/>
      <c r="BC117" s="82"/>
      <c r="BD117" s="82"/>
      <c r="BE117" s="82"/>
      <c r="BF117" s="82"/>
      <c r="BG117" s="82"/>
      <c r="BH117" s="82"/>
      <c r="BI117" s="82"/>
      <c r="BJ117" s="82"/>
      <c r="BK117" s="82"/>
      <c r="BL117" s="82"/>
      <c r="BM117" s="82"/>
      <c r="BN117" s="82"/>
      <c r="BO117" s="81"/>
      <c r="BP117" s="81"/>
    </row>
    <row r="118" spans="11:68" ht="16.95" customHeight="1" x14ac:dyDescent="0.3"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  <c r="AC118" s="82"/>
      <c r="AD118" s="82"/>
      <c r="AE118" s="82"/>
      <c r="AF118" s="82"/>
      <c r="AG118" s="82"/>
      <c r="AH118" s="82"/>
      <c r="AI118" s="82"/>
      <c r="AJ118" s="82"/>
      <c r="AK118" s="82"/>
      <c r="AL118" s="82"/>
      <c r="AM118" s="82"/>
      <c r="AN118" s="82"/>
      <c r="AO118" s="82"/>
      <c r="AP118" s="82"/>
      <c r="AQ118" s="82"/>
      <c r="AR118" s="82"/>
      <c r="AS118" s="82"/>
      <c r="AT118" s="82"/>
      <c r="AU118" s="82"/>
      <c r="AV118" s="82"/>
      <c r="AW118" s="82"/>
      <c r="AX118" s="82"/>
      <c r="AY118" s="82"/>
      <c r="AZ118" s="82"/>
      <c r="BA118" s="82"/>
      <c r="BB118" s="82"/>
      <c r="BC118" s="82"/>
      <c r="BD118" s="82"/>
      <c r="BE118" s="82"/>
      <c r="BF118" s="82"/>
      <c r="BG118" s="82"/>
      <c r="BH118" s="82"/>
      <c r="BI118" s="82"/>
      <c r="BJ118" s="82"/>
      <c r="BK118" s="82"/>
      <c r="BL118" s="82"/>
      <c r="BM118" s="82"/>
      <c r="BN118" s="82"/>
      <c r="BO118" s="81"/>
      <c r="BP118" s="81"/>
    </row>
    <row r="119" spans="11:68" ht="16.95" customHeight="1" x14ac:dyDescent="0.3"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  <c r="AC119" s="82"/>
      <c r="AD119" s="82"/>
      <c r="AE119" s="82"/>
      <c r="AF119" s="82"/>
      <c r="AG119" s="82"/>
      <c r="AH119" s="82"/>
      <c r="AI119" s="82"/>
      <c r="AJ119" s="82"/>
      <c r="AK119" s="82"/>
      <c r="AL119" s="82"/>
      <c r="AM119" s="82"/>
      <c r="AN119" s="82"/>
      <c r="AO119" s="82"/>
      <c r="AP119" s="82"/>
      <c r="AQ119" s="82"/>
      <c r="AR119" s="82"/>
      <c r="AS119" s="82"/>
      <c r="AT119" s="82"/>
      <c r="AU119" s="82"/>
      <c r="AV119" s="82"/>
      <c r="AW119" s="82"/>
      <c r="AX119" s="82"/>
      <c r="AY119" s="82"/>
      <c r="AZ119" s="82"/>
      <c r="BA119" s="82"/>
      <c r="BB119" s="82"/>
      <c r="BC119" s="82"/>
      <c r="BD119" s="82"/>
      <c r="BE119" s="82"/>
      <c r="BF119" s="82"/>
      <c r="BG119" s="82"/>
      <c r="BH119" s="82"/>
      <c r="BI119" s="82"/>
      <c r="BJ119" s="82"/>
      <c r="BK119" s="82"/>
      <c r="BL119" s="82"/>
      <c r="BM119" s="82"/>
      <c r="BN119" s="82"/>
      <c r="BO119" s="81"/>
      <c r="BP119" s="81"/>
    </row>
    <row r="120" spans="11:68" ht="16.95" customHeight="1" x14ac:dyDescent="0.3"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  <c r="AC120" s="82"/>
      <c r="AD120" s="82"/>
      <c r="AE120" s="82"/>
      <c r="AF120" s="82"/>
      <c r="AG120" s="82"/>
      <c r="AH120" s="82"/>
      <c r="AI120" s="82"/>
      <c r="AJ120" s="82"/>
      <c r="AK120" s="82"/>
      <c r="AL120" s="82"/>
      <c r="AM120" s="82"/>
      <c r="AN120" s="82"/>
      <c r="AO120" s="82"/>
      <c r="AP120" s="82"/>
      <c r="AQ120" s="82"/>
      <c r="AR120" s="82"/>
      <c r="AS120" s="82"/>
      <c r="AT120" s="82"/>
      <c r="AU120" s="82"/>
      <c r="AV120" s="82"/>
      <c r="AW120" s="82"/>
      <c r="AX120" s="82"/>
      <c r="AY120" s="82"/>
      <c r="AZ120" s="82"/>
      <c r="BA120" s="82"/>
      <c r="BB120" s="82"/>
      <c r="BC120" s="82"/>
      <c r="BD120" s="82"/>
      <c r="BE120" s="82"/>
      <c r="BF120" s="82"/>
      <c r="BG120" s="82"/>
      <c r="BH120" s="82"/>
      <c r="BI120" s="82"/>
      <c r="BJ120" s="82"/>
      <c r="BK120" s="82"/>
      <c r="BL120" s="82"/>
      <c r="BM120" s="82"/>
      <c r="BN120" s="82"/>
      <c r="BO120" s="81"/>
      <c r="BP120" s="81"/>
    </row>
    <row r="121" spans="11:68" ht="16.95" customHeight="1" x14ac:dyDescent="0.3"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  <c r="AC121" s="82"/>
      <c r="AD121" s="82"/>
      <c r="AE121" s="82"/>
      <c r="AF121" s="82"/>
      <c r="AG121" s="82"/>
      <c r="AH121" s="82"/>
      <c r="AI121" s="82"/>
      <c r="AJ121" s="82"/>
      <c r="AK121" s="82"/>
      <c r="AL121" s="82"/>
      <c r="AM121" s="82"/>
      <c r="AN121" s="82"/>
      <c r="AO121" s="82"/>
      <c r="AP121" s="82"/>
      <c r="AQ121" s="82"/>
      <c r="AR121" s="82"/>
      <c r="AS121" s="82"/>
      <c r="AT121" s="82"/>
      <c r="AU121" s="82"/>
      <c r="AV121" s="82"/>
      <c r="AW121" s="82"/>
      <c r="AX121" s="82"/>
      <c r="AY121" s="82"/>
      <c r="AZ121" s="82"/>
      <c r="BA121" s="82"/>
      <c r="BB121" s="82"/>
      <c r="BC121" s="82"/>
      <c r="BD121" s="82"/>
      <c r="BE121" s="82"/>
      <c r="BF121" s="82"/>
      <c r="BG121" s="82"/>
      <c r="BH121" s="82"/>
      <c r="BI121" s="82"/>
      <c r="BJ121" s="82"/>
      <c r="BK121" s="82"/>
      <c r="BL121" s="82"/>
      <c r="BM121" s="82"/>
      <c r="BN121" s="82"/>
      <c r="BO121" s="81"/>
      <c r="BP121" s="81"/>
    </row>
    <row r="122" spans="11:68" ht="16.95" customHeight="1" x14ac:dyDescent="0.3"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  <c r="AC122" s="82"/>
      <c r="AD122" s="82"/>
      <c r="AE122" s="82"/>
      <c r="AF122" s="82"/>
      <c r="AG122" s="82"/>
      <c r="AH122" s="82"/>
      <c r="AI122" s="82"/>
      <c r="AJ122" s="82"/>
      <c r="AK122" s="82"/>
      <c r="AL122" s="82"/>
      <c r="AM122" s="82"/>
      <c r="AN122" s="82"/>
      <c r="AO122" s="82"/>
      <c r="AP122" s="82"/>
      <c r="AQ122" s="82"/>
      <c r="AR122" s="82"/>
      <c r="AS122" s="82"/>
      <c r="AT122" s="82"/>
      <c r="AU122" s="82"/>
      <c r="AV122" s="82"/>
      <c r="AW122" s="82"/>
      <c r="AX122" s="82"/>
      <c r="AY122" s="82"/>
      <c r="AZ122" s="82"/>
      <c r="BA122" s="82"/>
      <c r="BB122" s="82"/>
      <c r="BC122" s="82"/>
      <c r="BD122" s="82"/>
      <c r="BE122" s="82"/>
      <c r="BF122" s="82"/>
      <c r="BG122" s="82"/>
      <c r="BH122" s="82"/>
      <c r="BI122" s="82"/>
      <c r="BJ122" s="82"/>
      <c r="BK122" s="82"/>
      <c r="BL122" s="82"/>
      <c r="BM122" s="82"/>
      <c r="BN122" s="82"/>
      <c r="BO122" s="81"/>
      <c r="BP122" s="81"/>
    </row>
    <row r="123" spans="11:68" ht="16.95" customHeight="1" x14ac:dyDescent="0.3"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  <c r="AC123" s="82"/>
      <c r="AD123" s="82"/>
      <c r="AE123" s="82"/>
      <c r="AF123" s="82"/>
      <c r="AG123" s="82"/>
      <c r="AH123" s="82"/>
      <c r="AI123" s="82"/>
      <c r="AJ123" s="82"/>
      <c r="AK123" s="82"/>
      <c r="AL123" s="82"/>
      <c r="AM123" s="82"/>
      <c r="AN123" s="82"/>
      <c r="AO123" s="82"/>
      <c r="AP123" s="82"/>
      <c r="AQ123" s="82"/>
      <c r="AR123" s="82"/>
      <c r="AS123" s="82"/>
      <c r="AT123" s="82"/>
      <c r="AU123" s="82"/>
      <c r="AV123" s="82"/>
      <c r="AW123" s="82"/>
      <c r="AX123" s="82"/>
      <c r="AY123" s="82"/>
      <c r="AZ123" s="82"/>
      <c r="BA123" s="82"/>
      <c r="BB123" s="82"/>
      <c r="BC123" s="82"/>
      <c r="BD123" s="82"/>
      <c r="BE123" s="82"/>
      <c r="BF123" s="82"/>
      <c r="BG123" s="82"/>
      <c r="BH123" s="82"/>
      <c r="BI123" s="82"/>
      <c r="BJ123" s="82"/>
      <c r="BK123" s="82"/>
      <c r="BL123" s="82"/>
      <c r="BM123" s="82"/>
      <c r="BN123" s="82"/>
      <c r="BO123" s="81"/>
      <c r="BP123" s="81"/>
    </row>
    <row r="124" spans="11:68" ht="16.95" customHeight="1" x14ac:dyDescent="0.3"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82"/>
      <c r="AD124" s="82"/>
      <c r="AE124" s="82"/>
      <c r="AF124" s="82"/>
      <c r="AG124" s="82"/>
      <c r="AH124" s="82"/>
      <c r="AI124" s="82"/>
      <c r="AJ124" s="82"/>
      <c r="AK124" s="82"/>
      <c r="AL124" s="82"/>
      <c r="AM124" s="82"/>
      <c r="AN124" s="82"/>
      <c r="AO124" s="82"/>
      <c r="AP124" s="82"/>
      <c r="AQ124" s="82"/>
      <c r="AR124" s="82"/>
      <c r="AS124" s="82"/>
      <c r="AT124" s="82"/>
      <c r="AU124" s="82"/>
      <c r="AV124" s="82"/>
      <c r="AW124" s="82"/>
      <c r="AX124" s="82"/>
      <c r="AY124" s="82"/>
      <c r="AZ124" s="82"/>
      <c r="BA124" s="82"/>
      <c r="BB124" s="82"/>
      <c r="BC124" s="82"/>
      <c r="BD124" s="82"/>
      <c r="BE124" s="82"/>
      <c r="BF124" s="82"/>
      <c r="BG124" s="82"/>
      <c r="BH124" s="82"/>
      <c r="BI124" s="82"/>
      <c r="BJ124" s="82"/>
      <c r="BK124" s="82"/>
      <c r="BL124" s="82"/>
      <c r="BM124" s="82"/>
      <c r="BN124" s="82"/>
      <c r="BO124" s="81"/>
      <c r="BP124" s="81"/>
    </row>
    <row r="125" spans="11:68" ht="16.95" customHeight="1" x14ac:dyDescent="0.3"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  <c r="AC125" s="82"/>
      <c r="AD125" s="82"/>
      <c r="AE125" s="82"/>
      <c r="AF125" s="82"/>
      <c r="AG125" s="82"/>
      <c r="AH125" s="82"/>
      <c r="AI125" s="82"/>
      <c r="AJ125" s="82"/>
      <c r="AK125" s="82"/>
      <c r="AL125" s="82"/>
      <c r="AM125" s="82"/>
      <c r="AN125" s="82"/>
      <c r="AO125" s="82"/>
      <c r="AP125" s="82"/>
      <c r="AQ125" s="82"/>
      <c r="AR125" s="82"/>
      <c r="AS125" s="82"/>
      <c r="AT125" s="82"/>
      <c r="AU125" s="82"/>
      <c r="AV125" s="82"/>
      <c r="AW125" s="82"/>
      <c r="AX125" s="82"/>
      <c r="AY125" s="82"/>
      <c r="AZ125" s="82"/>
      <c r="BA125" s="82"/>
      <c r="BB125" s="82"/>
      <c r="BC125" s="82"/>
      <c r="BD125" s="82"/>
      <c r="BE125" s="82"/>
      <c r="BF125" s="82"/>
      <c r="BG125" s="82"/>
      <c r="BH125" s="82"/>
      <c r="BI125" s="82"/>
      <c r="BJ125" s="82"/>
      <c r="BK125" s="82"/>
      <c r="BL125" s="82"/>
      <c r="BM125" s="82"/>
      <c r="BN125" s="82"/>
      <c r="BO125" s="81"/>
      <c r="BP125" s="81"/>
    </row>
    <row r="126" spans="11:68" ht="16.95" customHeight="1" x14ac:dyDescent="0.3"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  <c r="AC126" s="82"/>
      <c r="AD126" s="82"/>
      <c r="AE126" s="82"/>
      <c r="AF126" s="82"/>
      <c r="AG126" s="82"/>
      <c r="AH126" s="82"/>
      <c r="AI126" s="82"/>
      <c r="AJ126" s="82"/>
      <c r="AK126" s="82"/>
      <c r="AL126" s="82"/>
      <c r="AM126" s="82"/>
      <c r="AN126" s="82"/>
      <c r="AO126" s="82"/>
      <c r="AP126" s="82"/>
      <c r="AQ126" s="82"/>
      <c r="AR126" s="82"/>
      <c r="AS126" s="82"/>
      <c r="AT126" s="82"/>
      <c r="AU126" s="82"/>
      <c r="AV126" s="82"/>
      <c r="AW126" s="82"/>
      <c r="AX126" s="82"/>
      <c r="AY126" s="82"/>
      <c r="AZ126" s="82"/>
      <c r="BA126" s="82"/>
      <c r="BB126" s="82"/>
      <c r="BC126" s="82"/>
      <c r="BD126" s="82"/>
      <c r="BE126" s="82"/>
      <c r="BF126" s="82"/>
      <c r="BG126" s="82"/>
      <c r="BH126" s="82"/>
      <c r="BI126" s="82"/>
      <c r="BJ126" s="82"/>
      <c r="BK126" s="82"/>
      <c r="BL126" s="82"/>
      <c r="BM126" s="82"/>
      <c r="BN126" s="82"/>
      <c r="BO126" s="81"/>
      <c r="BP126" s="81"/>
    </row>
    <row r="127" spans="11:68" ht="16.95" customHeight="1" x14ac:dyDescent="0.3"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  <c r="AC127" s="82"/>
      <c r="AD127" s="82"/>
      <c r="AE127" s="82"/>
      <c r="AF127" s="82"/>
      <c r="AG127" s="82"/>
      <c r="AH127" s="82"/>
      <c r="AI127" s="82"/>
      <c r="AJ127" s="82"/>
      <c r="AK127" s="82"/>
      <c r="AL127" s="82"/>
      <c r="AM127" s="82"/>
      <c r="AN127" s="82"/>
      <c r="AO127" s="82"/>
      <c r="AP127" s="82"/>
      <c r="AQ127" s="82"/>
      <c r="AR127" s="82"/>
      <c r="AS127" s="82"/>
      <c r="AT127" s="82"/>
      <c r="AU127" s="82"/>
      <c r="AV127" s="82"/>
      <c r="AW127" s="82"/>
      <c r="AX127" s="82"/>
      <c r="AY127" s="82"/>
      <c r="AZ127" s="82"/>
      <c r="BA127" s="82"/>
      <c r="BB127" s="82"/>
      <c r="BC127" s="82"/>
      <c r="BD127" s="82"/>
      <c r="BE127" s="82"/>
      <c r="BF127" s="82"/>
      <c r="BG127" s="82"/>
      <c r="BH127" s="82"/>
      <c r="BI127" s="82"/>
      <c r="BJ127" s="82"/>
      <c r="BK127" s="82"/>
      <c r="BL127" s="82"/>
      <c r="BM127" s="82"/>
      <c r="BN127" s="82"/>
      <c r="BO127" s="81"/>
      <c r="BP127" s="81"/>
    </row>
    <row r="128" spans="11:68" ht="16.95" customHeight="1" x14ac:dyDescent="0.3"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82"/>
      <c r="AD128" s="82"/>
      <c r="AE128" s="82"/>
      <c r="AF128" s="82"/>
      <c r="AG128" s="82"/>
      <c r="AH128" s="82"/>
      <c r="AI128" s="82"/>
      <c r="AJ128" s="82"/>
      <c r="AK128" s="82"/>
      <c r="AL128" s="82"/>
      <c r="AM128" s="82"/>
      <c r="AN128" s="82"/>
      <c r="AO128" s="82"/>
      <c r="AP128" s="82"/>
      <c r="AQ128" s="82"/>
      <c r="AR128" s="82"/>
      <c r="AS128" s="82"/>
      <c r="AT128" s="82"/>
      <c r="AU128" s="82"/>
      <c r="AV128" s="82"/>
      <c r="AW128" s="82"/>
      <c r="AX128" s="82"/>
      <c r="AY128" s="82"/>
      <c r="AZ128" s="82"/>
      <c r="BA128" s="82"/>
      <c r="BB128" s="82"/>
      <c r="BC128" s="82"/>
      <c r="BD128" s="82"/>
      <c r="BE128" s="82"/>
      <c r="BF128" s="82"/>
      <c r="BG128" s="82"/>
      <c r="BH128" s="82"/>
      <c r="BI128" s="82"/>
      <c r="BJ128" s="82"/>
      <c r="BK128" s="82"/>
      <c r="BL128" s="82"/>
      <c r="BM128" s="82"/>
      <c r="BN128" s="82"/>
      <c r="BO128" s="81"/>
      <c r="BP128" s="81"/>
    </row>
    <row r="129" spans="11:68" ht="16.95" customHeight="1" x14ac:dyDescent="0.3"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82"/>
      <c r="AD129" s="82"/>
      <c r="AE129" s="82"/>
      <c r="AF129" s="82"/>
      <c r="AG129" s="82"/>
      <c r="AH129" s="82"/>
      <c r="AI129" s="82"/>
      <c r="AJ129" s="82"/>
      <c r="AK129" s="82"/>
      <c r="AL129" s="82"/>
      <c r="AM129" s="82"/>
      <c r="AN129" s="82"/>
      <c r="AO129" s="82"/>
      <c r="AP129" s="82"/>
      <c r="AQ129" s="82"/>
      <c r="AR129" s="82"/>
      <c r="AS129" s="82"/>
      <c r="AT129" s="82"/>
      <c r="AU129" s="82"/>
      <c r="AV129" s="82"/>
      <c r="AW129" s="82"/>
      <c r="AX129" s="82"/>
      <c r="AY129" s="82"/>
      <c r="AZ129" s="82"/>
      <c r="BA129" s="82"/>
      <c r="BB129" s="82"/>
      <c r="BC129" s="82"/>
      <c r="BD129" s="82"/>
      <c r="BE129" s="82"/>
      <c r="BF129" s="82"/>
      <c r="BG129" s="82"/>
      <c r="BH129" s="82"/>
      <c r="BI129" s="82"/>
      <c r="BJ129" s="82"/>
      <c r="BK129" s="82"/>
      <c r="BL129" s="82"/>
      <c r="BM129" s="82"/>
      <c r="BN129" s="82"/>
      <c r="BO129" s="81"/>
      <c r="BP129" s="81"/>
    </row>
    <row r="130" spans="11:68" x14ac:dyDescent="0.3"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82"/>
      <c r="AD130" s="82"/>
      <c r="AE130" s="82"/>
      <c r="AF130" s="82"/>
      <c r="AG130" s="82"/>
      <c r="AH130" s="82"/>
      <c r="AI130" s="82"/>
      <c r="AJ130" s="82"/>
      <c r="AK130" s="82"/>
      <c r="AL130" s="82"/>
      <c r="AM130" s="82"/>
      <c r="AN130" s="82"/>
      <c r="AO130" s="82"/>
      <c r="AP130" s="82"/>
      <c r="AQ130" s="82"/>
      <c r="AR130" s="82"/>
      <c r="AS130" s="82"/>
      <c r="AT130" s="82"/>
      <c r="AU130" s="82"/>
      <c r="AV130" s="82"/>
      <c r="AW130" s="82"/>
      <c r="AX130" s="82"/>
      <c r="AY130" s="82"/>
      <c r="AZ130" s="82"/>
      <c r="BA130" s="82"/>
      <c r="BB130" s="82"/>
      <c r="BC130" s="82"/>
      <c r="BD130" s="82"/>
      <c r="BE130" s="82"/>
      <c r="BF130" s="82"/>
      <c r="BG130" s="82"/>
      <c r="BH130" s="82"/>
      <c r="BI130" s="82"/>
      <c r="BJ130" s="82"/>
      <c r="BK130" s="82"/>
      <c r="BL130" s="82"/>
      <c r="BM130" s="82"/>
      <c r="BN130" s="82"/>
      <c r="BO130" s="81"/>
      <c r="BP130" s="81"/>
    </row>
    <row r="131" spans="11:68" x14ac:dyDescent="0.3"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82"/>
      <c r="AD131" s="82"/>
      <c r="AE131" s="82"/>
      <c r="AF131" s="82"/>
      <c r="AG131" s="82"/>
      <c r="AH131" s="82"/>
      <c r="AI131" s="82"/>
      <c r="AJ131" s="82"/>
      <c r="AK131" s="82"/>
      <c r="AL131" s="82"/>
      <c r="AM131" s="82"/>
      <c r="AN131" s="82"/>
      <c r="AO131" s="82"/>
      <c r="AP131" s="82"/>
      <c r="AQ131" s="82"/>
      <c r="AR131" s="82"/>
      <c r="AS131" s="82"/>
      <c r="AT131" s="82"/>
      <c r="AU131" s="82"/>
      <c r="AV131" s="82"/>
      <c r="AW131" s="82"/>
      <c r="AX131" s="82"/>
      <c r="AY131" s="82"/>
      <c r="AZ131" s="82"/>
      <c r="BA131" s="82"/>
      <c r="BB131" s="82"/>
      <c r="BC131" s="82"/>
      <c r="BD131" s="82"/>
      <c r="BE131" s="82"/>
      <c r="BF131" s="82"/>
      <c r="BG131" s="82"/>
      <c r="BH131" s="82"/>
      <c r="BI131" s="82"/>
      <c r="BJ131" s="82"/>
      <c r="BK131" s="82"/>
      <c r="BL131" s="82"/>
      <c r="BM131" s="82"/>
      <c r="BN131" s="82"/>
      <c r="BO131" s="81"/>
      <c r="BP131" s="81"/>
    </row>
    <row r="132" spans="11:68" x14ac:dyDescent="0.3"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82"/>
      <c r="AD132" s="82"/>
      <c r="AE132" s="82"/>
      <c r="AF132" s="82"/>
      <c r="AG132" s="82"/>
      <c r="AH132" s="82"/>
      <c r="AI132" s="82"/>
      <c r="AJ132" s="82"/>
      <c r="AK132" s="82"/>
      <c r="AL132" s="82"/>
      <c r="AM132" s="82"/>
      <c r="AN132" s="82"/>
      <c r="AO132" s="82"/>
      <c r="AP132" s="82"/>
      <c r="AQ132" s="82"/>
      <c r="AR132" s="82"/>
      <c r="AS132" s="82"/>
      <c r="AT132" s="82"/>
      <c r="AU132" s="82"/>
      <c r="AV132" s="82"/>
      <c r="AW132" s="82"/>
      <c r="AX132" s="82"/>
      <c r="AY132" s="82"/>
      <c r="AZ132" s="82"/>
      <c r="BA132" s="82"/>
      <c r="BB132" s="82"/>
      <c r="BC132" s="82"/>
      <c r="BD132" s="82"/>
      <c r="BE132" s="82"/>
      <c r="BF132" s="82"/>
      <c r="BG132" s="82"/>
      <c r="BH132" s="82"/>
      <c r="BI132" s="82"/>
      <c r="BJ132" s="82"/>
      <c r="BK132" s="82"/>
      <c r="BL132" s="82"/>
      <c r="BM132" s="82"/>
      <c r="BN132" s="82"/>
      <c r="BO132" s="81"/>
      <c r="BP132" s="81"/>
    </row>
    <row r="133" spans="11:68" x14ac:dyDescent="0.3"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82"/>
      <c r="AD133" s="82"/>
      <c r="AE133" s="82"/>
      <c r="AF133" s="82"/>
      <c r="AG133" s="82"/>
      <c r="AH133" s="82"/>
      <c r="AI133" s="82"/>
      <c r="AJ133" s="82"/>
      <c r="AK133" s="82"/>
      <c r="AL133" s="82"/>
      <c r="AM133" s="82"/>
      <c r="AN133" s="82"/>
      <c r="AO133" s="82"/>
      <c r="AP133" s="82"/>
      <c r="AQ133" s="82"/>
      <c r="AR133" s="82"/>
      <c r="AS133" s="82"/>
      <c r="AT133" s="82"/>
      <c r="AU133" s="82"/>
      <c r="AV133" s="82"/>
      <c r="AW133" s="82"/>
      <c r="AX133" s="82"/>
      <c r="AY133" s="82"/>
      <c r="AZ133" s="82"/>
      <c r="BA133" s="82"/>
      <c r="BB133" s="82"/>
      <c r="BC133" s="82"/>
      <c r="BD133" s="82"/>
      <c r="BE133" s="82"/>
      <c r="BF133" s="82"/>
      <c r="BG133" s="82"/>
      <c r="BH133" s="82"/>
      <c r="BI133" s="82"/>
      <c r="BJ133" s="82"/>
      <c r="BK133" s="82"/>
      <c r="BL133" s="82"/>
      <c r="BM133" s="82"/>
      <c r="BN133" s="82"/>
      <c r="BO133" s="81"/>
      <c r="BP133" s="81"/>
    </row>
    <row r="134" spans="11:68" x14ac:dyDescent="0.3"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  <c r="AC134" s="82"/>
      <c r="AD134" s="82"/>
      <c r="AE134" s="82"/>
      <c r="AF134" s="82"/>
      <c r="AG134" s="82"/>
      <c r="AH134" s="82"/>
      <c r="AI134" s="82"/>
      <c r="AJ134" s="82"/>
      <c r="AK134" s="82"/>
      <c r="AL134" s="82"/>
      <c r="AM134" s="82"/>
      <c r="AN134" s="82"/>
      <c r="AO134" s="82"/>
      <c r="AP134" s="82"/>
      <c r="AQ134" s="82"/>
      <c r="AR134" s="82"/>
      <c r="AS134" s="82"/>
      <c r="AT134" s="82"/>
      <c r="AU134" s="82"/>
      <c r="AV134" s="82"/>
      <c r="AW134" s="82"/>
      <c r="AX134" s="82"/>
      <c r="AY134" s="82"/>
      <c r="AZ134" s="82"/>
      <c r="BA134" s="82"/>
      <c r="BB134" s="82"/>
      <c r="BC134" s="82"/>
      <c r="BD134" s="82"/>
      <c r="BE134" s="82"/>
      <c r="BF134" s="82"/>
      <c r="BG134" s="82"/>
      <c r="BH134" s="82"/>
      <c r="BI134" s="82"/>
      <c r="BJ134" s="82"/>
      <c r="BK134" s="82"/>
      <c r="BL134" s="82"/>
      <c r="BM134" s="82"/>
      <c r="BN134" s="82"/>
      <c r="BO134" s="81"/>
      <c r="BP134" s="81"/>
    </row>
    <row r="135" spans="11:68" x14ac:dyDescent="0.3"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  <c r="AC135" s="82"/>
      <c r="AD135" s="82"/>
      <c r="AE135" s="82"/>
      <c r="AF135" s="82"/>
      <c r="AG135" s="82"/>
      <c r="AH135" s="82"/>
      <c r="AI135" s="82"/>
      <c r="AJ135" s="82"/>
      <c r="AK135" s="82"/>
      <c r="AL135" s="82"/>
      <c r="AM135" s="82"/>
      <c r="AN135" s="82"/>
      <c r="AO135" s="82"/>
      <c r="AP135" s="82"/>
      <c r="AQ135" s="82"/>
      <c r="AR135" s="82"/>
      <c r="AS135" s="82"/>
      <c r="AT135" s="82"/>
      <c r="AU135" s="82"/>
      <c r="AV135" s="82"/>
      <c r="AW135" s="82"/>
      <c r="AX135" s="82"/>
      <c r="AY135" s="82"/>
      <c r="AZ135" s="82"/>
      <c r="BA135" s="82"/>
      <c r="BB135" s="82"/>
      <c r="BC135" s="82"/>
      <c r="BD135" s="82"/>
      <c r="BE135" s="82"/>
      <c r="BF135" s="82"/>
      <c r="BG135" s="82"/>
      <c r="BH135" s="82"/>
      <c r="BI135" s="82"/>
      <c r="BJ135" s="82"/>
      <c r="BK135" s="82"/>
      <c r="BL135" s="82"/>
      <c r="BM135" s="82"/>
      <c r="BN135" s="82"/>
      <c r="BO135" s="81"/>
      <c r="BP135" s="81"/>
    </row>
    <row r="136" spans="11:68" x14ac:dyDescent="0.3"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82"/>
      <c r="AD136" s="82"/>
      <c r="AE136" s="82"/>
      <c r="AF136" s="82"/>
      <c r="AG136" s="82"/>
      <c r="AH136" s="82"/>
      <c r="AI136" s="82"/>
      <c r="AJ136" s="82"/>
      <c r="AK136" s="82"/>
      <c r="AL136" s="82"/>
      <c r="AM136" s="82"/>
      <c r="AN136" s="82"/>
      <c r="AO136" s="82"/>
      <c r="AP136" s="82"/>
      <c r="AQ136" s="82"/>
      <c r="AR136" s="82"/>
      <c r="AS136" s="82"/>
      <c r="AT136" s="82"/>
      <c r="AU136" s="82"/>
      <c r="AV136" s="82"/>
      <c r="AW136" s="82"/>
      <c r="AX136" s="82"/>
      <c r="AY136" s="82"/>
      <c r="AZ136" s="82"/>
      <c r="BA136" s="82"/>
      <c r="BB136" s="82"/>
      <c r="BC136" s="82"/>
      <c r="BD136" s="82"/>
      <c r="BE136" s="82"/>
      <c r="BF136" s="82"/>
      <c r="BG136" s="82"/>
      <c r="BH136" s="82"/>
      <c r="BI136" s="82"/>
      <c r="BJ136" s="82"/>
      <c r="BK136" s="82"/>
      <c r="BL136" s="82"/>
      <c r="BM136" s="82"/>
      <c r="BN136" s="82"/>
      <c r="BO136" s="81"/>
      <c r="BP136" s="81"/>
    </row>
    <row r="137" spans="11:68" x14ac:dyDescent="0.3"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82"/>
      <c r="AD137" s="82"/>
      <c r="AE137" s="82"/>
      <c r="AF137" s="82"/>
      <c r="AG137" s="82"/>
      <c r="AH137" s="82"/>
      <c r="AI137" s="82"/>
      <c r="AJ137" s="82"/>
      <c r="AK137" s="82"/>
      <c r="AL137" s="82"/>
      <c r="AM137" s="82"/>
      <c r="AN137" s="82"/>
      <c r="AO137" s="82"/>
      <c r="AP137" s="82"/>
      <c r="AQ137" s="82"/>
      <c r="AR137" s="82"/>
      <c r="AS137" s="82"/>
      <c r="AT137" s="82"/>
      <c r="AU137" s="82"/>
      <c r="AV137" s="82"/>
      <c r="AW137" s="82"/>
      <c r="AX137" s="82"/>
      <c r="AY137" s="82"/>
      <c r="AZ137" s="82"/>
      <c r="BA137" s="82"/>
      <c r="BB137" s="82"/>
      <c r="BC137" s="82"/>
      <c r="BD137" s="82"/>
      <c r="BE137" s="82"/>
      <c r="BF137" s="82"/>
      <c r="BG137" s="82"/>
      <c r="BH137" s="82"/>
      <c r="BI137" s="82"/>
      <c r="BJ137" s="82"/>
      <c r="BK137" s="82"/>
      <c r="BL137" s="82"/>
      <c r="BM137" s="82"/>
      <c r="BN137" s="82"/>
      <c r="BO137" s="81"/>
      <c r="BP137" s="81"/>
    </row>
    <row r="138" spans="11:68" x14ac:dyDescent="0.3"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  <c r="AC138" s="82"/>
      <c r="AD138" s="82"/>
      <c r="AE138" s="82"/>
      <c r="AF138" s="82"/>
      <c r="AG138" s="82"/>
      <c r="AH138" s="82"/>
      <c r="AI138" s="82"/>
      <c r="AJ138" s="82"/>
      <c r="AK138" s="82"/>
      <c r="AL138" s="82"/>
      <c r="AM138" s="82"/>
      <c r="AN138" s="82"/>
      <c r="AO138" s="82"/>
      <c r="AP138" s="82"/>
      <c r="AQ138" s="82"/>
      <c r="AR138" s="82"/>
      <c r="AS138" s="82"/>
      <c r="AT138" s="82"/>
      <c r="AU138" s="82"/>
      <c r="AV138" s="82"/>
      <c r="AW138" s="82"/>
      <c r="AX138" s="82"/>
      <c r="AY138" s="82"/>
      <c r="AZ138" s="82"/>
      <c r="BA138" s="82"/>
      <c r="BB138" s="82"/>
      <c r="BC138" s="82"/>
      <c r="BD138" s="82"/>
      <c r="BE138" s="82"/>
      <c r="BF138" s="82"/>
      <c r="BG138" s="82"/>
      <c r="BH138" s="82"/>
      <c r="BI138" s="82"/>
      <c r="BJ138" s="82"/>
      <c r="BK138" s="82"/>
      <c r="BL138" s="82"/>
      <c r="BM138" s="82"/>
      <c r="BN138" s="82"/>
      <c r="BO138" s="81"/>
      <c r="BP138" s="81"/>
    </row>
    <row r="139" spans="11:68" x14ac:dyDescent="0.3"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  <c r="AC139" s="82"/>
      <c r="AD139" s="82"/>
      <c r="AE139" s="82"/>
      <c r="AF139" s="82"/>
      <c r="AG139" s="82"/>
      <c r="AH139" s="82"/>
      <c r="AI139" s="82"/>
      <c r="AJ139" s="82"/>
      <c r="AK139" s="82"/>
      <c r="AL139" s="82"/>
      <c r="AM139" s="82"/>
      <c r="AN139" s="82"/>
      <c r="AO139" s="82"/>
      <c r="AP139" s="82"/>
      <c r="AQ139" s="82"/>
      <c r="AR139" s="82"/>
      <c r="AS139" s="82"/>
      <c r="AT139" s="82"/>
      <c r="AU139" s="82"/>
      <c r="AV139" s="82"/>
      <c r="AW139" s="82"/>
      <c r="AX139" s="82"/>
      <c r="AY139" s="82"/>
      <c r="AZ139" s="82"/>
      <c r="BA139" s="82"/>
      <c r="BB139" s="82"/>
      <c r="BC139" s="82"/>
      <c r="BD139" s="82"/>
      <c r="BE139" s="82"/>
      <c r="BF139" s="82"/>
      <c r="BG139" s="82"/>
      <c r="BH139" s="82"/>
      <c r="BI139" s="82"/>
      <c r="BJ139" s="82"/>
      <c r="BK139" s="82"/>
      <c r="BL139" s="82"/>
      <c r="BM139" s="82"/>
      <c r="BN139" s="82"/>
      <c r="BO139" s="81"/>
      <c r="BP139" s="81"/>
    </row>
    <row r="140" spans="11:68" x14ac:dyDescent="0.3"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  <c r="AC140" s="82"/>
      <c r="AD140" s="82"/>
      <c r="AE140" s="82"/>
      <c r="AF140" s="82"/>
      <c r="AG140" s="82"/>
      <c r="AH140" s="82"/>
      <c r="AI140" s="82"/>
      <c r="AJ140" s="82"/>
      <c r="AK140" s="82"/>
      <c r="AL140" s="82"/>
      <c r="AM140" s="82"/>
      <c r="AN140" s="82"/>
      <c r="AO140" s="82"/>
      <c r="AP140" s="82"/>
      <c r="AQ140" s="82"/>
      <c r="AR140" s="82"/>
      <c r="AS140" s="82"/>
      <c r="AT140" s="82"/>
      <c r="AU140" s="82"/>
      <c r="AV140" s="82"/>
      <c r="AW140" s="82"/>
      <c r="AX140" s="82"/>
      <c r="AY140" s="82"/>
      <c r="AZ140" s="82"/>
      <c r="BA140" s="82"/>
      <c r="BB140" s="82"/>
      <c r="BC140" s="82"/>
      <c r="BD140" s="82"/>
      <c r="BE140" s="82"/>
      <c r="BF140" s="82"/>
      <c r="BG140" s="82"/>
      <c r="BH140" s="82"/>
      <c r="BI140" s="82"/>
      <c r="BJ140" s="82"/>
      <c r="BK140" s="82"/>
      <c r="BL140" s="82"/>
      <c r="BM140" s="82"/>
      <c r="BN140" s="82"/>
      <c r="BO140" s="81"/>
      <c r="BP140" s="81"/>
    </row>
    <row r="141" spans="11:68" x14ac:dyDescent="0.3"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82"/>
      <c r="AD141" s="82"/>
      <c r="AE141" s="82"/>
      <c r="AF141" s="82"/>
      <c r="AG141" s="82"/>
      <c r="AH141" s="82"/>
      <c r="AI141" s="82"/>
      <c r="AJ141" s="82"/>
      <c r="AK141" s="82"/>
      <c r="AL141" s="82"/>
      <c r="AM141" s="82"/>
      <c r="AN141" s="82"/>
      <c r="AO141" s="82"/>
      <c r="AP141" s="82"/>
      <c r="AQ141" s="82"/>
      <c r="AR141" s="82"/>
      <c r="AS141" s="82"/>
      <c r="AT141" s="82"/>
      <c r="AU141" s="82"/>
      <c r="AV141" s="82"/>
      <c r="AW141" s="82"/>
      <c r="AX141" s="82"/>
      <c r="AY141" s="82"/>
      <c r="AZ141" s="82"/>
      <c r="BA141" s="82"/>
      <c r="BB141" s="82"/>
      <c r="BC141" s="82"/>
      <c r="BD141" s="82"/>
      <c r="BE141" s="82"/>
      <c r="BF141" s="82"/>
      <c r="BG141" s="82"/>
      <c r="BH141" s="82"/>
      <c r="BI141" s="82"/>
      <c r="BJ141" s="82"/>
      <c r="BK141" s="82"/>
      <c r="BL141" s="82"/>
      <c r="BM141" s="82"/>
      <c r="BN141" s="82"/>
      <c r="BO141" s="81"/>
      <c r="BP141" s="81"/>
    </row>
    <row r="142" spans="11:68" x14ac:dyDescent="0.3"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  <c r="AC142" s="82"/>
      <c r="AD142" s="82"/>
      <c r="AE142" s="82"/>
      <c r="AF142" s="82"/>
      <c r="AG142" s="82"/>
      <c r="AH142" s="82"/>
      <c r="AI142" s="82"/>
      <c r="AJ142" s="82"/>
      <c r="AK142" s="82"/>
      <c r="AL142" s="82"/>
      <c r="AM142" s="82"/>
      <c r="AN142" s="82"/>
      <c r="AO142" s="82"/>
      <c r="AP142" s="82"/>
      <c r="AQ142" s="82"/>
      <c r="AR142" s="82"/>
      <c r="AS142" s="82"/>
      <c r="AT142" s="82"/>
      <c r="AU142" s="82"/>
      <c r="AV142" s="82"/>
      <c r="AW142" s="82"/>
      <c r="AX142" s="82"/>
      <c r="AY142" s="82"/>
      <c r="AZ142" s="82"/>
      <c r="BA142" s="82"/>
      <c r="BB142" s="82"/>
      <c r="BC142" s="82"/>
      <c r="BD142" s="82"/>
      <c r="BE142" s="82"/>
      <c r="BF142" s="82"/>
      <c r="BG142" s="82"/>
      <c r="BH142" s="82"/>
      <c r="BI142" s="82"/>
      <c r="BJ142" s="82"/>
      <c r="BK142" s="82"/>
      <c r="BL142" s="82"/>
      <c r="BM142" s="82"/>
      <c r="BN142" s="82"/>
      <c r="BO142" s="81"/>
      <c r="BP142" s="81"/>
    </row>
    <row r="143" spans="11:68" x14ac:dyDescent="0.3"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  <c r="AC143" s="82"/>
      <c r="AD143" s="82"/>
      <c r="AE143" s="82"/>
      <c r="AF143" s="82"/>
      <c r="AG143" s="82"/>
      <c r="AH143" s="82"/>
      <c r="AI143" s="82"/>
      <c r="AJ143" s="82"/>
      <c r="AK143" s="82"/>
      <c r="AL143" s="82"/>
      <c r="AM143" s="82"/>
      <c r="AN143" s="82"/>
      <c r="AO143" s="82"/>
      <c r="AP143" s="82"/>
      <c r="AQ143" s="82"/>
      <c r="AR143" s="82"/>
      <c r="AS143" s="82"/>
      <c r="AT143" s="82"/>
      <c r="AU143" s="82"/>
      <c r="AV143" s="82"/>
      <c r="AW143" s="82"/>
      <c r="AX143" s="82"/>
      <c r="AY143" s="82"/>
      <c r="AZ143" s="82"/>
      <c r="BA143" s="82"/>
      <c r="BB143" s="82"/>
      <c r="BC143" s="82"/>
      <c r="BD143" s="82"/>
      <c r="BE143" s="82"/>
      <c r="BF143" s="82"/>
      <c r="BG143" s="82"/>
      <c r="BH143" s="82"/>
      <c r="BI143" s="82"/>
      <c r="BJ143" s="82"/>
      <c r="BK143" s="82"/>
      <c r="BL143" s="82"/>
      <c r="BM143" s="82"/>
      <c r="BN143" s="82"/>
      <c r="BO143" s="81"/>
      <c r="BP143" s="81"/>
    </row>
    <row r="144" spans="11:68" x14ac:dyDescent="0.3"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82"/>
      <c r="AD144" s="82"/>
      <c r="AE144" s="82"/>
      <c r="AF144" s="82"/>
      <c r="AG144" s="82"/>
      <c r="AH144" s="82"/>
      <c r="AI144" s="82"/>
      <c r="AJ144" s="82"/>
      <c r="AK144" s="82"/>
      <c r="AL144" s="82"/>
      <c r="AM144" s="82"/>
      <c r="AN144" s="82"/>
      <c r="AO144" s="82"/>
      <c r="AP144" s="82"/>
      <c r="AQ144" s="82"/>
      <c r="AR144" s="82"/>
      <c r="AS144" s="82"/>
      <c r="AT144" s="82"/>
      <c r="AU144" s="82"/>
      <c r="AV144" s="82"/>
      <c r="AW144" s="82"/>
      <c r="AX144" s="82"/>
      <c r="AY144" s="82"/>
      <c r="AZ144" s="82"/>
      <c r="BA144" s="82"/>
      <c r="BB144" s="82"/>
      <c r="BC144" s="82"/>
      <c r="BD144" s="82"/>
      <c r="BE144" s="82"/>
      <c r="BF144" s="82"/>
      <c r="BG144" s="82"/>
      <c r="BH144" s="82"/>
      <c r="BI144" s="82"/>
      <c r="BJ144" s="82"/>
      <c r="BK144" s="82"/>
      <c r="BL144" s="82"/>
      <c r="BM144" s="82"/>
      <c r="BN144" s="82"/>
      <c r="BO144" s="81"/>
      <c r="BP144" s="81"/>
    </row>
    <row r="145" spans="11:68" x14ac:dyDescent="0.3"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82"/>
      <c r="AD145" s="82"/>
      <c r="AE145" s="82"/>
      <c r="AF145" s="82"/>
      <c r="AG145" s="82"/>
      <c r="AH145" s="82"/>
      <c r="AI145" s="82"/>
      <c r="AJ145" s="82"/>
      <c r="AK145" s="82"/>
      <c r="AL145" s="82"/>
      <c r="AM145" s="82"/>
      <c r="AN145" s="82"/>
      <c r="AO145" s="82"/>
      <c r="AP145" s="82"/>
      <c r="AQ145" s="82"/>
      <c r="AR145" s="82"/>
      <c r="AS145" s="82"/>
      <c r="AT145" s="82"/>
      <c r="AU145" s="82"/>
      <c r="AV145" s="82"/>
      <c r="AW145" s="82"/>
      <c r="AX145" s="82"/>
      <c r="AY145" s="82"/>
      <c r="AZ145" s="82"/>
      <c r="BA145" s="82"/>
      <c r="BB145" s="82"/>
      <c r="BC145" s="82"/>
      <c r="BD145" s="82"/>
      <c r="BE145" s="82"/>
      <c r="BF145" s="82"/>
      <c r="BG145" s="82"/>
      <c r="BH145" s="82"/>
      <c r="BI145" s="82"/>
      <c r="BJ145" s="82"/>
      <c r="BK145" s="82"/>
      <c r="BL145" s="82"/>
      <c r="BM145" s="82"/>
      <c r="BN145" s="82"/>
      <c r="BO145" s="81"/>
      <c r="BP145" s="81"/>
    </row>
    <row r="146" spans="11:68" x14ac:dyDescent="0.3"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82"/>
      <c r="AI146" s="82"/>
      <c r="AJ146" s="82"/>
      <c r="AK146" s="82"/>
      <c r="AL146" s="82"/>
      <c r="AM146" s="82"/>
      <c r="AN146" s="82"/>
      <c r="AO146" s="82"/>
      <c r="AP146" s="82"/>
      <c r="AQ146" s="82"/>
      <c r="AR146" s="82"/>
      <c r="AS146" s="82"/>
      <c r="AT146" s="82"/>
      <c r="AU146" s="82"/>
      <c r="AV146" s="82"/>
      <c r="AW146" s="82"/>
      <c r="AX146" s="82"/>
      <c r="AY146" s="82"/>
      <c r="AZ146" s="82"/>
      <c r="BA146" s="82"/>
      <c r="BB146" s="82"/>
      <c r="BC146" s="82"/>
      <c r="BD146" s="82"/>
      <c r="BE146" s="82"/>
      <c r="BF146" s="82"/>
      <c r="BG146" s="82"/>
      <c r="BH146" s="82"/>
      <c r="BI146" s="82"/>
      <c r="BJ146" s="82"/>
      <c r="BK146" s="82"/>
      <c r="BL146" s="82"/>
      <c r="BM146" s="82"/>
      <c r="BN146" s="82"/>
      <c r="BO146" s="81"/>
      <c r="BP146" s="81"/>
    </row>
    <row r="147" spans="11:68" x14ac:dyDescent="0.3"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  <c r="AC147" s="82"/>
      <c r="AD147" s="82"/>
      <c r="AE147" s="82"/>
      <c r="AF147" s="82"/>
      <c r="AG147" s="82"/>
      <c r="AH147" s="82"/>
      <c r="AI147" s="82"/>
      <c r="AJ147" s="82"/>
      <c r="AK147" s="82"/>
      <c r="AL147" s="82"/>
      <c r="AM147" s="82"/>
      <c r="AN147" s="82"/>
      <c r="AO147" s="82"/>
      <c r="AP147" s="82"/>
      <c r="AQ147" s="82"/>
      <c r="AR147" s="82"/>
      <c r="AS147" s="82"/>
      <c r="AT147" s="82"/>
      <c r="AU147" s="82"/>
      <c r="AV147" s="82"/>
      <c r="AW147" s="82"/>
      <c r="AX147" s="82"/>
      <c r="AY147" s="82"/>
      <c r="AZ147" s="82"/>
      <c r="BA147" s="82"/>
      <c r="BB147" s="82"/>
      <c r="BC147" s="82"/>
      <c r="BD147" s="82"/>
      <c r="BE147" s="82"/>
      <c r="BF147" s="82"/>
      <c r="BG147" s="82"/>
      <c r="BH147" s="82"/>
      <c r="BI147" s="82"/>
      <c r="BJ147" s="82"/>
      <c r="BK147" s="82"/>
      <c r="BL147" s="82"/>
      <c r="BM147" s="82"/>
      <c r="BN147" s="82"/>
      <c r="BO147" s="81"/>
      <c r="BP147" s="81"/>
    </row>
    <row r="148" spans="11:68" x14ac:dyDescent="0.3"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82"/>
      <c r="AD148" s="82"/>
      <c r="AE148" s="82"/>
      <c r="AF148" s="82"/>
      <c r="AG148" s="82"/>
      <c r="AH148" s="82"/>
      <c r="AI148" s="82"/>
      <c r="AJ148" s="82"/>
      <c r="AK148" s="82"/>
      <c r="AL148" s="82"/>
      <c r="AM148" s="82"/>
      <c r="AN148" s="82"/>
      <c r="AO148" s="82"/>
      <c r="AP148" s="82"/>
      <c r="AQ148" s="82"/>
      <c r="AR148" s="82"/>
      <c r="AS148" s="82"/>
      <c r="AT148" s="82"/>
      <c r="AU148" s="82"/>
      <c r="AV148" s="82"/>
      <c r="AW148" s="82"/>
      <c r="AX148" s="82"/>
      <c r="AY148" s="82"/>
      <c r="AZ148" s="82"/>
      <c r="BA148" s="82"/>
      <c r="BB148" s="82"/>
      <c r="BC148" s="82"/>
      <c r="BD148" s="82"/>
      <c r="BE148" s="82"/>
      <c r="BF148" s="82"/>
      <c r="BG148" s="82"/>
      <c r="BH148" s="82"/>
      <c r="BI148" s="82"/>
      <c r="BJ148" s="82"/>
      <c r="BK148" s="82"/>
      <c r="BL148" s="82"/>
      <c r="BM148" s="82"/>
      <c r="BN148" s="82"/>
      <c r="BO148" s="81"/>
      <c r="BP148" s="81"/>
    </row>
    <row r="149" spans="11:68" x14ac:dyDescent="0.3"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  <c r="AC149" s="82"/>
      <c r="AD149" s="82"/>
      <c r="AE149" s="82"/>
      <c r="AF149" s="82"/>
      <c r="AG149" s="82"/>
      <c r="AH149" s="82"/>
      <c r="AI149" s="82"/>
      <c r="AJ149" s="82"/>
      <c r="AK149" s="82"/>
      <c r="AL149" s="82"/>
      <c r="AM149" s="82"/>
      <c r="AN149" s="82"/>
      <c r="AO149" s="82"/>
      <c r="AP149" s="82"/>
      <c r="AQ149" s="82"/>
      <c r="AR149" s="82"/>
      <c r="AS149" s="82"/>
      <c r="AT149" s="82"/>
      <c r="AU149" s="82"/>
      <c r="AV149" s="82"/>
      <c r="AW149" s="82"/>
      <c r="AX149" s="82"/>
      <c r="AY149" s="82"/>
      <c r="AZ149" s="82"/>
      <c r="BA149" s="82"/>
      <c r="BB149" s="82"/>
      <c r="BC149" s="82"/>
      <c r="BD149" s="82"/>
      <c r="BE149" s="82"/>
      <c r="BF149" s="82"/>
      <c r="BG149" s="82"/>
      <c r="BH149" s="82"/>
      <c r="BI149" s="82"/>
      <c r="BJ149" s="82"/>
      <c r="BK149" s="82"/>
      <c r="BL149" s="82"/>
      <c r="BM149" s="82"/>
      <c r="BN149" s="82"/>
      <c r="BO149" s="81"/>
      <c r="BP149" s="81"/>
    </row>
    <row r="150" spans="11:68" x14ac:dyDescent="0.3"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  <c r="AC150" s="82"/>
      <c r="AD150" s="82"/>
      <c r="AE150" s="82"/>
      <c r="AF150" s="82"/>
      <c r="AG150" s="82"/>
      <c r="AH150" s="82"/>
      <c r="AI150" s="82"/>
      <c r="AJ150" s="82"/>
      <c r="AK150" s="82"/>
      <c r="AL150" s="82"/>
      <c r="AM150" s="82"/>
      <c r="AN150" s="82"/>
      <c r="AO150" s="82"/>
      <c r="AP150" s="82"/>
      <c r="AQ150" s="82"/>
      <c r="AR150" s="82"/>
      <c r="AS150" s="82"/>
      <c r="AT150" s="82"/>
      <c r="AU150" s="82"/>
      <c r="AV150" s="82"/>
      <c r="AW150" s="82"/>
      <c r="AX150" s="82"/>
      <c r="AY150" s="82"/>
      <c r="AZ150" s="82"/>
      <c r="BA150" s="82"/>
      <c r="BB150" s="82"/>
      <c r="BC150" s="82"/>
      <c r="BD150" s="82"/>
      <c r="BE150" s="82"/>
      <c r="BF150" s="82"/>
      <c r="BG150" s="82"/>
      <c r="BH150" s="82"/>
      <c r="BI150" s="82"/>
      <c r="BJ150" s="82"/>
      <c r="BK150" s="82"/>
      <c r="BL150" s="82"/>
      <c r="BM150" s="82"/>
      <c r="BN150" s="82"/>
      <c r="BO150" s="81"/>
      <c r="BP150" s="81"/>
    </row>
    <row r="151" spans="11:68" x14ac:dyDescent="0.3"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  <c r="AC151" s="82"/>
      <c r="AD151" s="82"/>
      <c r="AE151" s="82"/>
      <c r="AF151" s="82"/>
      <c r="AG151" s="82"/>
      <c r="AH151" s="82"/>
      <c r="AI151" s="82"/>
      <c r="AJ151" s="82"/>
      <c r="AK151" s="82"/>
      <c r="AL151" s="82"/>
      <c r="AM151" s="82"/>
      <c r="AN151" s="82"/>
      <c r="AO151" s="82"/>
      <c r="AP151" s="82"/>
      <c r="AQ151" s="82"/>
      <c r="AR151" s="82"/>
      <c r="AS151" s="82"/>
      <c r="AT151" s="82"/>
      <c r="AU151" s="82"/>
      <c r="AV151" s="82"/>
      <c r="AW151" s="82"/>
      <c r="AX151" s="82"/>
      <c r="AY151" s="82"/>
      <c r="AZ151" s="82"/>
      <c r="BA151" s="82"/>
      <c r="BB151" s="82"/>
      <c r="BC151" s="82"/>
      <c r="BD151" s="82"/>
      <c r="BE151" s="82"/>
      <c r="BF151" s="82"/>
      <c r="BG151" s="82"/>
      <c r="BH151" s="82"/>
      <c r="BI151" s="82"/>
      <c r="BJ151" s="82"/>
      <c r="BK151" s="82"/>
      <c r="BL151" s="82"/>
      <c r="BM151" s="82"/>
      <c r="BN151" s="82"/>
      <c r="BO151" s="81"/>
      <c r="BP151" s="81"/>
    </row>
    <row r="152" spans="11:68" x14ac:dyDescent="0.3"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82"/>
      <c r="AD152" s="82"/>
      <c r="AE152" s="82"/>
      <c r="AF152" s="82"/>
      <c r="AG152" s="82"/>
      <c r="AH152" s="82"/>
      <c r="AI152" s="82"/>
      <c r="AJ152" s="82"/>
      <c r="AK152" s="82"/>
      <c r="AL152" s="82"/>
      <c r="AM152" s="82"/>
      <c r="AN152" s="82"/>
      <c r="AO152" s="82"/>
      <c r="AP152" s="82"/>
      <c r="AQ152" s="82"/>
      <c r="AR152" s="82"/>
      <c r="AS152" s="82"/>
      <c r="AT152" s="82"/>
      <c r="AU152" s="82"/>
      <c r="AV152" s="82"/>
      <c r="AW152" s="82"/>
      <c r="AX152" s="82"/>
      <c r="AY152" s="82"/>
      <c r="AZ152" s="82"/>
      <c r="BA152" s="82"/>
      <c r="BB152" s="82"/>
      <c r="BC152" s="82"/>
      <c r="BD152" s="82"/>
      <c r="BE152" s="82"/>
      <c r="BF152" s="82"/>
      <c r="BG152" s="82"/>
      <c r="BH152" s="82"/>
      <c r="BI152" s="82"/>
      <c r="BJ152" s="82"/>
      <c r="BK152" s="82"/>
      <c r="BL152" s="82"/>
      <c r="BM152" s="82"/>
      <c r="BN152" s="82"/>
      <c r="BO152" s="81"/>
      <c r="BP152" s="81"/>
    </row>
    <row r="153" spans="11:68" x14ac:dyDescent="0.3"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82"/>
      <c r="AD153" s="82"/>
      <c r="AE153" s="82"/>
      <c r="AF153" s="82"/>
      <c r="AG153" s="82"/>
      <c r="AH153" s="82"/>
      <c r="AI153" s="82"/>
      <c r="AJ153" s="82"/>
      <c r="AK153" s="82"/>
      <c r="AL153" s="82"/>
      <c r="AM153" s="82"/>
      <c r="AN153" s="82"/>
      <c r="AO153" s="82"/>
      <c r="AP153" s="82"/>
      <c r="AQ153" s="82"/>
      <c r="AR153" s="82"/>
      <c r="AS153" s="82"/>
      <c r="AT153" s="82"/>
      <c r="AU153" s="82"/>
      <c r="AV153" s="82"/>
      <c r="AW153" s="82"/>
      <c r="AX153" s="82"/>
      <c r="AY153" s="82"/>
      <c r="AZ153" s="82"/>
      <c r="BA153" s="82"/>
      <c r="BB153" s="82"/>
      <c r="BC153" s="82"/>
      <c r="BD153" s="82"/>
      <c r="BE153" s="82"/>
      <c r="BF153" s="82"/>
      <c r="BG153" s="82"/>
      <c r="BH153" s="82"/>
      <c r="BI153" s="82"/>
      <c r="BJ153" s="82"/>
      <c r="BK153" s="82"/>
      <c r="BL153" s="82"/>
      <c r="BM153" s="82"/>
      <c r="BN153" s="82"/>
      <c r="BO153" s="81"/>
      <c r="BP153" s="81"/>
    </row>
    <row r="154" spans="11:68" x14ac:dyDescent="0.3"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  <c r="AC154" s="82"/>
      <c r="AD154" s="82"/>
      <c r="AE154" s="82"/>
      <c r="AF154" s="82"/>
      <c r="AG154" s="82"/>
      <c r="AH154" s="82"/>
      <c r="AI154" s="82"/>
      <c r="AJ154" s="82"/>
      <c r="AK154" s="82"/>
      <c r="AL154" s="82"/>
      <c r="AM154" s="82"/>
      <c r="AN154" s="82"/>
      <c r="AO154" s="82"/>
      <c r="AP154" s="82"/>
      <c r="AQ154" s="82"/>
      <c r="AR154" s="82"/>
      <c r="AS154" s="82"/>
      <c r="AT154" s="82"/>
      <c r="AU154" s="82"/>
      <c r="AV154" s="82"/>
      <c r="AW154" s="82"/>
      <c r="AX154" s="82"/>
      <c r="AY154" s="82"/>
      <c r="AZ154" s="82"/>
      <c r="BA154" s="82"/>
      <c r="BB154" s="82"/>
      <c r="BC154" s="82"/>
      <c r="BD154" s="82"/>
      <c r="BE154" s="82"/>
      <c r="BF154" s="82"/>
      <c r="BG154" s="82"/>
      <c r="BH154" s="82"/>
      <c r="BI154" s="82"/>
      <c r="BJ154" s="82"/>
      <c r="BK154" s="82"/>
      <c r="BL154" s="82"/>
      <c r="BM154" s="82"/>
      <c r="BN154" s="82"/>
      <c r="BO154" s="81"/>
      <c r="BP154" s="81"/>
    </row>
    <row r="155" spans="11:68" x14ac:dyDescent="0.3"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  <c r="AC155" s="82"/>
      <c r="AD155" s="82"/>
      <c r="AE155" s="82"/>
      <c r="AF155" s="82"/>
      <c r="AG155" s="82"/>
      <c r="AH155" s="82"/>
      <c r="AI155" s="82"/>
      <c r="AJ155" s="82"/>
      <c r="AK155" s="82"/>
      <c r="AL155" s="82"/>
      <c r="AM155" s="82"/>
      <c r="AN155" s="82"/>
      <c r="AO155" s="82"/>
      <c r="AP155" s="82"/>
      <c r="AQ155" s="82"/>
      <c r="AR155" s="82"/>
      <c r="AS155" s="82"/>
      <c r="AT155" s="82"/>
      <c r="AU155" s="82"/>
      <c r="AV155" s="82"/>
      <c r="AW155" s="82"/>
      <c r="AX155" s="82"/>
      <c r="AY155" s="82"/>
      <c r="AZ155" s="82"/>
      <c r="BA155" s="82"/>
      <c r="BB155" s="82"/>
      <c r="BC155" s="82"/>
      <c r="BD155" s="82"/>
      <c r="BE155" s="82"/>
      <c r="BF155" s="82"/>
      <c r="BG155" s="82"/>
      <c r="BH155" s="82"/>
      <c r="BI155" s="82"/>
      <c r="BJ155" s="82"/>
      <c r="BK155" s="82"/>
      <c r="BL155" s="82"/>
      <c r="BM155" s="82"/>
      <c r="BN155" s="82"/>
      <c r="BO155" s="81"/>
      <c r="BP155" s="81"/>
    </row>
    <row r="156" spans="11:68" x14ac:dyDescent="0.3"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82"/>
      <c r="AD156" s="82"/>
      <c r="AE156" s="82"/>
      <c r="AF156" s="82"/>
      <c r="AG156" s="82"/>
      <c r="AH156" s="82"/>
      <c r="AI156" s="82"/>
      <c r="AJ156" s="82"/>
      <c r="AK156" s="82"/>
      <c r="AL156" s="82"/>
      <c r="AM156" s="82"/>
      <c r="AN156" s="82"/>
      <c r="AO156" s="82"/>
      <c r="AP156" s="82"/>
      <c r="AQ156" s="82"/>
      <c r="AR156" s="82"/>
      <c r="AS156" s="82"/>
      <c r="AT156" s="82"/>
      <c r="AU156" s="82"/>
      <c r="AV156" s="82"/>
      <c r="AW156" s="82"/>
      <c r="AX156" s="82"/>
      <c r="AY156" s="82"/>
      <c r="AZ156" s="82"/>
      <c r="BA156" s="82"/>
      <c r="BB156" s="82"/>
      <c r="BC156" s="82"/>
      <c r="BD156" s="82"/>
      <c r="BE156" s="82"/>
      <c r="BF156" s="82"/>
      <c r="BG156" s="82"/>
      <c r="BH156" s="82"/>
      <c r="BI156" s="82"/>
      <c r="BJ156" s="82"/>
      <c r="BK156" s="82"/>
      <c r="BL156" s="82"/>
      <c r="BM156" s="82"/>
      <c r="BN156" s="82"/>
      <c r="BO156" s="81"/>
      <c r="BP156" s="81"/>
    </row>
    <row r="157" spans="11:68" x14ac:dyDescent="0.3"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  <c r="AA157" s="82"/>
      <c r="AB157" s="82"/>
      <c r="AC157" s="82"/>
      <c r="AD157" s="82"/>
      <c r="AE157" s="82"/>
      <c r="AF157" s="82"/>
      <c r="AG157" s="82"/>
      <c r="AH157" s="82"/>
      <c r="AI157" s="82"/>
      <c r="AJ157" s="82"/>
      <c r="AK157" s="82"/>
      <c r="AL157" s="82"/>
      <c r="AM157" s="82"/>
      <c r="AN157" s="82"/>
      <c r="AO157" s="82"/>
      <c r="AP157" s="82"/>
      <c r="AQ157" s="82"/>
      <c r="AR157" s="82"/>
      <c r="AS157" s="82"/>
      <c r="AT157" s="82"/>
      <c r="AU157" s="82"/>
      <c r="AV157" s="82"/>
      <c r="AW157" s="82"/>
      <c r="AX157" s="82"/>
      <c r="AY157" s="82"/>
      <c r="AZ157" s="82"/>
      <c r="BA157" s="82"/>
      <c r="BB157" s="82"/>
      <c r="BC157" s="82"/>
      <c r="BD157" s="82"/>
      <c r="BE157" s="82"/>
      <c r="BF157" s="82"/>
      <c r="BG157" s="82"/>
      <c r="BH157" s="82"/>
      <c r="BI157" s="82"/>
      <c r="BJ157" s="82"/>
      <c r="BK157" s="82"/>
      <c r="BL157" s="82"/>
      <c r="BM157" s="82"/>
      <c r="BN157" s="82"/>
      <c r="BO157" s="81"/>
      <c r="BP157" s="81"/>
    </row>
    <row r="158" spans="11:68" x14ac:dyDescent="0.3"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  <c r="AC158" s="82"/>
      <c r="AD158" s="82"/>
      <c r="AE158" s="82"/>
      <c r="AF158" s="82"/>
      <c r="AG158" s="82"/>
      <c r="AH158" s="82"/>
      <c r="AI158" s="82"/>
      <c r="AJ158" s="82"/>
      <c r="AK158" s="82"/>
      <c r="AL158" s="82"/>
      <c r="AM158" s="82"/>
      <c r="AN158" s="82"/>
      <c r="AO158" s="82"/>
      <c r="AP158" s="82"/>
      <c r="AQ158" s="82"/>
      <c r="AR158" s="82"/>
      <c r="AS158" s="82"/>
      <c r="AT158" s="82"/>
      <c r="AU158" s="82"/>
      <c r="AV158" s="82"/>
      <c r="AW158" s="82"/>
      <c r="AX158" s="82"/>
      <c r="AY158" s="82"/>
      <c r="AZ158" s="82"/>
      <c r="BA158" s="82"/>
      <c r="BB158" s="82"/>
      <c r="BC158" s="82"/>
      <c r="BD158" s="82"/>
      <c r="BE158" s="82"/>
      <c r="BF158" s="82"/>
      <c r="BG158" s="82"/>
      <c r="BH158" s="82"/>
      <c r="BI158" s="82"/>
      <c r="BJ158" s="82"/>
      <c r="BK158" s="82"/>
      <c r="BL158" s="82"/>
      <c r="BM158" s="82"/>
      <c r="BN158" s="82"/>
      <c r="BO158" s="81"/>
      <c r="BP158" s="81"/>
    </row>
    <row r="159" spans="11:68" x14ac:dyDescent="0.3"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82"/>
      <c r="AD159" s="82"/>
      <c r="AE159" s="82"/>
      <c r="AF159" s="82"/>
      <c r="AG159" s="82"/>
      <c r="AH159" s="82"/>
      <c r="AI159" s="82"/>
      <c r="AJ159" s="82"/>
      <c r="AK159" s="82"/>
      <c r="AL159" s="82"/>
      <c r="AM159" s="82"/>
      <c r="AN159" s="82"/>
      <c r="AO159" s="82"/>
      <c r="AP159" s="82"/>
      <c r="AQ159" s="82"/>
      <c r="AR159" s="82"/>
      <c r="AS159" s="82"/>
      <c r="AT159" s="82"/>
      <c r="AU159" s="82"/>
      <c r="AV159" s="82"/>
      <c r="AW159" s="82"/>
      <c r="AX159" s="82"/>
      <c r="AY159" s="82"/>
      <c r="AZ159" s="82"/>
      <c r="BA159" s="82"/>
      <c r="BB159" s="82"/>
      <c r="BC159" s="82"/>
      <c r="BD159" s="82"/>
      <c r="BE159" s="82"/>
      <c r="BF159" s="82"/>
      <c r="BG159" s="82"/>
      <c r="BH159" s="82"/>
      <c r="BI159" s="82"/>
      <c r="BJ159" s="82"/>
      <c r="BK159" s="82"/>
      <c r="BL159" s="82"/>
      <c r="BM159" s="82"/>
      <c r="BN159" s="82"/>
      <c r="BO159" s="81"/>
      <c r="BP159" s="81"/>
    </row>
    <row r="160" spans="11:68" x14ac:dyDescent="0.3"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  <c r="AA160" s="82"/>
      <c r="AB160" s="82"/>
      <c r="AC160" s="82"/>
      <c r="AD160" s="82"/>
      <c r="AE160" s="82"/>
      <c r="AF160" s="82"/>
      <c r="AG160" s="82"/>
      <c r="AH160" s="82"/>
      <c r="AI160" s="82"/>
      <c r="AJ160" s="82"/>
      <c r="AK160" s="82"/>
      <c r="AL160" s="82"/>
      <c r="AM160" s="82"/>
      <c r="AN160" s="82"/>
      <c r="AO160" s="82"/>
      <c r="AP160" s="82"/>
      <c r="AQ160" s="82"/>
      <c r="AR160" s="82"/>
      <c r="AS160" s="82"/>
      <c r="AT160" s="82"/>
      <c r="AU160" s="82"/>
      <c r="AV160" s="82"/>
      <c r="AW160" s="82"/>
      <c r="AX160" s="82"/>
      <c r="AY160" s="82"/>
      <c r="AZ160" s="82"/>
      <c r="BA160" s="82"/>
      <c r="BB160" s="82"/>
      <c r="BC160" s="82"/>
      <c r="BD160" s="82"/>
      <c r="BE160" s="82"/>
      <c r="BF160" s="82"/>
      <c r="BG160" s="82"/>
      <c r="BH160" s="82"/>
      <c r="BI160" s="82"/>
      <c r="BJ160" s="82"/>
      <c r="BK160" s="82"/>
      <c r="BL160" s="82"/>
      <c r="BM160" s="82"/>
      <c r="BN160" s="82"/>
      <c r="BO160" s="81"/>
      <c r="BP160" s="81"/>
    </row>
    <row r="161" spans="11:68" x14ac:dyDescent="0.3"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  <c r="AA161" s="82"/>
      <c r="AB161" s="82"/>
      <c r="AC161" s="82"/>
      <c r="AD161" s="82"/>
      <c r="AE161" s="82"/>
      <c r="AF161" s="82"/>
      <c r="AG161" s="82"/>
      <c r="AH161" s="82"/>
      <c r="AI161" s="82"/>
      <c r="AJ161" s="82"/>
      <c r="AK161" s="82"/>
      <c r="AL161" s="82"/>
      <c r="AM161" s="82"/>
      <c r="AN161" s="82"/>
      <c r="AO161" s="82"/>
      <c r="AP161" s="82"/>
      <c r="AQ161" s="82"/>
      <c r="AR161" s="82"/>
      <c r="AS161" s="82"/>
      <c r="AT161" s="82"/>
      <c r="AU161" s="82"/>
      <c r="AV161" s="82"/>
      <c r="AW161" s="82"/>
      <c r="AX161" s="82"/>
      <c r="AY161" s="82"/>
      <c r="AZ161" s="82"/>
      <c r="BA161" s="82"/>
      <c r="BB161" s="82"/>
      <c r="BC161" s="82"/>
      <c r="BD161" s="82"/>
      <c r="BE161" s="82"/>
      <c r="BF161" s="82"/>
      <c r="BG161" s="82"/>
      <c r="BH161" s="82"/>
      <c r="BI161" s="82"/>
      <c r="BJ161" s="82"/>
      <c r="BK161" s="82"/>
      <c r="BL161" s="82"/>
      <c r="BM161" s="82"/>
      <c r="BN161" s="82"/>
      <c r="BO161" s="81"/>
      <c r="BP161" s="81"/>
    </row>
    <row r="162" spans="11:68" x14ac:dyDescent="0.3"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  <c r="AA162" s="82"/>
      <c r="AB162" s="82"/>
      <c r="AC162" s="82"/>
      <c r="AD162" s="82"/>
      <c r="AE162" s="82"/>
      <c r="AF162" s="82"/>
      <c r="AG162" s="82"/>
      <c r="AH162" s="82"/>
      <c r="AI162" s="82"/>
      <c r="AJ162" s="82"/>
      <c r="AK162" s="82"/>
      <c r="AL162" s="82"/>
      <c r="AM162" s="82"/>
      <c r="AN162" s="82"/>
      <c r="AO162" s="82"/>
      <c r="AP162" s="82"/>
      <c r="AQ162" s="82"/>
      <c r="AR162" s="82"/>
      <c r="AS162" s="82"/>
      <c r="AT162" s="82"/>
      <c r="AU162" s="82"/>
      <c r="AV162" s="82"/>
      <c r="AW162" s="82"/>
      <c r="AX162" s="82"/>
      <c r="AY162" s="82"/>
      <c r="AZ162" s="82"/>
      <c r="BA162" s="82"/>
      <c r="BB162" s="82"/>
      <c r="BC162" s="82"/>
      <c r="BD162" s="82"/>
      <c r="BE162" s="82"/>
      <c r="BF162" s="82"/>
      <c r="BG162" s="82"/>
      <c r="BH162" s="82"/>
      <c r="BI162" s="82"/>
      <c r="BJ162" s="82"/>
      <c r="BK162" s="82"/>
      <c r="BL162" s="82"/>
      <c r="BM162" s="82"/>
      <c r="BN162" s="82"/>
      <c r="BO162" s="81"/>
      <c r="BP162" s="81"/>
    </row>
    <row r="163" spans="11:68" x14ac:dyDescent="0.3"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  <c r="AB163" s="82"/>
      <c r="AC163" s="82"/>
      <c r="AD163" s="82"/>
      <c r="AE163" s="82"/>
      <c r="AF163" s="82"/>
      <c r="AG163" s="82"/>
      <c r="AH163" s="82"/>
      <c r="AI163" s="82"/>
      <c r="AJ163" s="82"/>
      <c r="AK163" s="82"/>
      <c r="AL163" s="82"/>
      <c r="AM163" s="82"/>
      <c r="AN163" s="82"/>
      <c r="AO163" s="82"/>
      <c r="AP163" s="82"/>
      <c r="AQ163" s="82"/>
      <c r="AR163" s="82"/>
      <c r="AS163" s="82"/>
      <c r="AT163" s="82"/>
      <c r="AU163" s="82"/>
      <c r="AV163" s="82"/>
      <c r="AW163" s="82"/>
      <c r="AX163" s="82"/>
      <c r="AY163" s="82"/>
      <c r="AZ163" s="82"/>
      <c r="BA163" s="82"/>
      <c r="BB163" s="82"/>
      <c r="BC163" s="82"/>
      <c r="BD163" s="82"/>
      <c r="BE163" s="82"/>
      <c r="BF163" s="82"/>
      <c r="BG163" s="82"/>
      <c r="BH163" s="82"/>
      <c r="BI163" s="82"/>
      <c r="BJ163" s="82"/>
      <c r="BK163" s="82"/>
      <c r="BL163" s="82"/>
      <c r="BM163" s="82"/>
      <c r="BN163" s="82"/>
      <c r="BO163" s="81"/>
      <c r="BP163" s="81"/>
    </row>
    <row r="164" spans="11:68" x14ac:dyDescent="0.3"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  <c r="AA164" s="82"/>
      <c r="AB164" s="82"/>
      <c r="AC164" s="82"/>
      <c r="AD164" s="82"/>
      <c r="AE164" s="82"/>
      <c r="AF164" s="82"/>
      <c r="AG164" s="82"/>
      <c r="AH164" s="82"/>
      <c r="AI164" s="82"/>
      <c r="AJ164" s="82"/>
      <c r="AK164" s="82"/>
      <c r="AL164" s="82"/>
      <c r="AM164" s="82"/>
      <c r="AN164" s="82"/>
      <c r="AO164" s="82"/>
      <c r="AP164" s="82"/>
      <c r="AQ164" s="82"/>
      <c r="AR164" s="82"/>
      <c r="AS164" s="82"/>
      <c r="AT164" s="82"/>
      <c r="AU164" s="82"/>
      <c r="AV164" s="82"/>
      <c r="AW164" s="82"/>
      <c r="AX164" s="82"/>
      <c r="AY164" s="82"/>
      <c r="AZ164" s="82"/>
      <c r="BA164" s="82"/>
      <c r="BB164" s="82"/>
      <c r="BC164" s="82"/>
      <c r="BD164" s="82"/>
      <c r="BE164" s="82"/>
      <c r="BF164" s="82"/>
      <c r="BG164" s="82"/>
      <c r="BH164" s="82"/>
      <c r="BI164" s="82"/>
      <c r="BJ164" s="82"/>
      <c r="BK164" s="82"/>
      <c r="BL164" s="82"/>
      <c r="BM164" s="82"/>
      <c r="BN164" s="82"/>
      <c r="BO164" s="81"/>
      <c r="BP164" s="81"/>
    </row>
    <row r="165" spans="11:68" x14ac:dyDescent="0.3"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  <c r="AA165" s="82"/>
      <c r="AB165" s="82"/>
      <c r="AC165" s="82"/>
      <c r="AD165" s="82"/>
      <c r="AE165" s="82"/>
      <c r="AF165" s="82"/>
      <c r="AG165" s="82"/>
      <c r="AH165" s="82"/>
      <c r="AI165" s="82"/>
      <c r="AJ165" s="82"/>
      <c r="AK165" s="82"/>
      <c r="AL165" s="82"/>
      <c r="AM165" s="82"/>
      <c r="AN165" s="82"/>
      <c r="AO165" s="82"/>
      <c r="AP165" s="82"/>
      <c r="AQ165" s="82"/>
      <c r="AR165" s="82"/>
      <c r="AS165" s="82"/>
      <c r="AT165" s="82"/>
      <c r="AU165" s="82"/>
      <c r="AV165" s="82"/>
      <c r="AW165" s="82"/>
      <c r="AX165" s="82"/>
      <c r="AY165" s="82"/>
      <c r="AZ165" s="82"/>
      <c r="BA165" s="82"/>
      <c r="BB165" s="82"/>
      <c r="BC165" s="82"/>
      <c r="BD165" s="82"/>
      <c r="BE165" s="82"/>
      <c r="BF165" s="82"/>
      <c r="BG165" s="82"/>
      <c r="BH165" s="82"/>
      <c r="BI165" s="82"/>
      <c r="BJ165" s="82"/>
      <c r="BK165" s="82"/>
      <c r="BL165" s="82"/>
      <c r="BM165" s="82"/>
      <c r="BN165" s="82"/>
      <c r="BO165" s="81"/>
      <c r="BP165" s="81"/>
    </row>
    <row r="166" spans="11:68" x14ac:dyDescent="0.3"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  <c r="AA166" s="82"/>
      <c r="AB166" s="82"/>
      <c r="AC166" s="82"/>
      <c r="AD166" s="82"/>
      <c r="AE166" s="82"/>
      <c r="AF166" s="82"/>
      <c r="AG166" s="82"/>
      <c r="AH166" s="82"/>
      <c r="AI166" s="82"/>
      <c r="AJ166" s="82"/>
      <c r="AK166" s="82"/>
      <c r="AL166" s="82"/>
      <c r="AM166" s="82"/>
      <c r="AN166" s="82"/>
      <c r="AO166" s="82"/>
      <c r="AP166" s="82"/>
      <c r="AQ166" s="82"/>
      <c r="AR166" s="82"/>
      <c r="AS166" s="82"/>
      <c r="AT166" s="82"/>
      <c r="AU166" s="82"/>
      <c r="AV166" s="82"/>
      <c r="AW166" s="82"/>
      <c r="AX166" s="82"/>
      <c r="AY166" s="82"/>
      <c r="AZ166" s="82"/>
      <c r="BA166" s="82"/>
      <c r="BB166" s="82"/>
      <c r="BC166" s="82"/>
      <c r="BD166" s="82"/>
      <c r="BE166" s="82"/>
      <c r="BF166" s="82"/>
      <c r="BG166" s="82"/>
      <c r="BH166" s="82"/>
      <c r="BI166" s="82"/>
      <c r="BJ166" s="82"/>
      <c r="BK166" s="82"/>
      <c r="BL166" s="82"/>
      <c r="BM166" s="82"/>
      <c r="BN166" s="82"/>
      <c r="BO166" s="81"/>
      <c r="BP166" s="81"/>
    </row>
    <row r="167" spans="11:68" x14ac:dyDescent="0.3"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  <c r="AB167" s="82"/>
      <c r="AC167" s="82"/>
      <c r="AD167" s="82"/>
      <c r="AE167" s="82"/>
      <c r="AF167" s="82"/>
      <c r="AG167" s="82"/>
      <c r="AH167" s="82"/>
      <c r="AI167" s="82"/>
      <c r="AJ167" s="82"/>
      <c r="AK167" s="82"/>
      <c r="AL167" s="82"/>
      <c r="AM167" s="82"/>
      <c r="AN167" s="82"/>
      <c r="AO167" s="82"/>
      <c r="AP167" s="82"/>
      <c r="AQ167" s="82"/>
      <c r="AR167" s="82"/>
      <c r="AS167" s="82"/>
      <c r="AT167" s="82"/>
      <c r="AU167" s="82"/>
      <c r="AV167" s="82"/>
      <c r="AW167" s="82"/>
      <c r="AX167" s="82"/>
      <c r="AY167" s="82"/>
      <c r="AZ167" s="82"/>
      <c r="BA167" s="82"/>
      <c r="BB167" s="82"/>
      <c r="BC167" s="82"/>
      <c r="BD167" s="82"/>
      <c r="BE167" s="82"/>
      <c r="BF167" s="82"/>
      <c r="BG167" s="82"/>
      <c r="BH167" s="82"/>
      <c r="BI167" s="82"/>
      <c r="BJ167" s="82"/>
      <c r="BK167" s="82"/>
      <c r="BL167" s="82"/>
      <c r="BM167" s="82"/>
      <c r="BN167" s="82"/>
      <c r="BO167" s="81"/>
      <c r="BP167" s="81"/>
    </row>
    <row r="168" spans="11:68" x14ac:dyDescent="0.3"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  <c r="AA168" s="82"/>
      <c r="AB168" s="82"/>
      <c r="AC168" s="82"/>
      <c r="AD168" s="82"/>
      <c r="AE168" s="82"/>
      <c r="AF168" s="82"/>
      <c r="AG168" s="82"/>
      <c r="AH168" s="82"/>
      <c r="AI168" s="82"/>
      <c r="AJ168" s="82"/>
      <c r="AK168" s="82"/>
      <c r="AL168" s="82"/>
      <c r="AM168" s="82"/>
      <c r="AN168" s="82"/>
      <c r="AO168" s="82"/>
      <c r="AP168" s="82"/>
      <c r="AQ168" s="82"/>
      <c r="AR168" s="82"/>
      <c r="AS168" s="82"/>
      <c r="AT168" s="82"/>
      <c r="AU168" s="82"/>
      <c r="AV168" s="82"/>
      <c r="AW168" s="82"/>
      <c r="AX168" s="82"/>
      <c r="AY168" s="82"/>
      <c r="AZ168" s="82"/>
      <c r="BA168" s="82"/>
      <c r="BB168" s="82"/>
      <c r="BC168" s="82"/>
      <c r="BD168" s="82"/>
      <c r="BE168" s="82"/>
      <c r="BF168" s="82"/>
      <c r="BG168" s="82"/>
      <c r="BH168" s="82"/>
      <c r="BI168" s="82"/>
      <c r="BJ168" s="82"/>
      <c r="BK168" s="82"/>
      <c r="BL168" s="82"/>
      <c r="BM168" s="82"/>
      <c r="BN168" s="82"/>
      <c r="BO168" s="81"/>
      <c r="BP168" s="81"/>
    </row>
    <row r="169" spans="11:68" x14ac:dyDescent="0.3"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  <c r="AA169" s="82"/>
      <c r="AB169" s="82"/>
      <c r="AC169" s="82"/>
      <c r="AD169" s="82"/>
      <c r="AE169" s="82"/>
      <c r="AF169" s="82"/>
      <c r="AG169" s="82"/>
      <c r="AH169" s="82"/>
      <c r="AI169" s="82"/>
      <c r="AJ169" s="82"/>
      <c r="AK169" s="82"/>
      <c r="AL169" s="82"/>
      <c r="AM169" s="82"/>
      <c r="AN169" s="82"/>
      <c r="AO169" s="82"/>
      <c r="AP169" s="82"/>
      <c r="AQ169" s="82"/>
      <c r="AR169" s="82"/>
      <c r="AS169" s="82"/>
      <c r="AT169" s="82"/>
      <c r="AU169" s="82"/>
      <c r="AV169" s="82"/>
      <c r="AW169" s="82"/>
      <c r="AX169" s="82"/>
      <c r="AY169" s="82"/>
      <c r="AZ169" s="82"/>
      <c r="BA169" s="82"/>
      <c r="BB169" s="82"/>
      <c r="BC169" s="82"/>
      <c r="BD169" s="82"/>
      <c r="BE169" s="82"/>
      <c r="BF169" s="82"/>
      <c r="BG169" s="82"/>
      <c r="BH169" s="82"/>
      <c r="BI169" s="82"/>
      <c r="BJ169" s="82"/>
      <c r="BK169" s="82"/>
      <c r="BL169" s="82"/>
      <c r="BM169" s="82"/>
      <c r="BN169" s="82"/>
      <c r="BO169" s="81"/>
      <c r="BP169" s="81"/>
    </row>
    <row r="170" spans="11:68" x14ac:dyDescent="0.3"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  <c r="AA170" s="82"/>
      <c r="AB170" s="82"/>
      <c r="AC170" s="82"/>
      <c r="AD170" s="82"/>
      <c r="AE170" s="82"/>
      <c r="AF170" s="82"/>
      <c r="AG170" s="82"/>
      <c r="AH170" s="82"/>
      <c r="AI170" s="82"/>
      <c r="AJ170" s="82"/>
      <c r="AK170" s="82"/>
      <c r="AL170" s="82"/>
      <c r="AM170" s="82"/>
      <c r="AN170" s="82"/>
      <c r="AO170" s="82"/>
      <c r="AP170" s="82"/>
      <c r="AQ170" s="82"/>
      <c r="AR170" s="82"/>
      <c r="AS170" s="82"/>
      <c r="AT170" s="82"/>
      <c r="AU170" s="82"/>
      <c r="AV170" s="82"/>
      <c r="AW170" s="82"/>
      <c r="AX170" s="82"/>
      <c r="AY170" s="82"/>
      <c r="AZ170" s="82"/>
      <c r="BA170" s="82"/>
      <c r="BB170" s="82"/>
      <c r="BC170" s="82"/>
      <c r="BD170" s="82"/>
      <c r="BE170" s="82"/>
      <c r="BF170" s="82"/>
      <c r="BG170" s="82"/>
      <c r="BH170" s="82"/>
      <c r="BI170" s="82"/>
      <c r="BJ170" s="82"/>
      <c r="BK170" s="82"/>
      <c r="BL170" s="82"/>
      <c r="BM170" s="82"/>
      <c r="BN170" s="82"/>
      <c r="BO170" s="81"/>
      <c r="BP170" s="81"/>
    </row>
    <row r="171" spans="11:68" x14ac:dyDescent="0.3"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  <c r="AA171" s="82"/>
      <c r="AB171" s="82"/>
      <c r="AC171" s="82"/>
      <c r="AD171" s="82"/>
      <c r="AE171" s="82"/>
      <c r="AF171" s="82"/>
      <c r="AG171" s="82"/>
      <c r="AH171" s="82"/>
      <c r="AI171" s="82"/>
      <c r="AJ171" s="82"/>
      <c r="AK171" s="82"/>
      <c r="AL171" s="82"/>
      <c r="AM171" s="82"/>
      <c r="AN171" s="82"/>
      <c r="AO171" s="82"/>
      <c r="AP171" s="82"/>
      <c r="AQ171" s="82"/>
      <c r="AR171" s="82"/>
      <c r="AS171" s="82"/>
      <c r="AT171" s="82"/>
      <c r="AU171" s="82"/>
      <c r="AV171" s="82"/>
      <c r="AW171" s="82"/>
      <c r="AX171" s="82"/>
      <c r="AY171" s="82"/>
      <c r="AZ171" s="82"/>
      <c r="BA171" s="82"/>
      <c r="BB171" s="82"/>
      <c r="BC171" s="82"/>
      <c r="BD171" s="82"/>
      <c r="BE171" s="82"/>
      <c r="BF171" s="82"/>
      <c r="BG171" s="82"/>
      <c r="BH171" s="82"/>
      <c r="BI171" s="82"/>
      <c r="BJ171" s="82"/>
      <c r="BK171" s="82"/>
      <c r="BL171" s="82"/>
      <c r="BM171" s="82"/>
      <c r="BN171" s="82"/>
      <c r="BO171" s="81"/>
      <c r="BP171" s="81"/>
    </row>
    <row r="172" spans="11:68" x14ac:dyDescent="0.3"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  <c r="AA172" s="82"/>
      <c r="AB172" s="82"/>
      <c r="AC172" s="82"/>
      <c r="AD172" s="82"/>
      <c r="AE172" s="82"/>
      <c r="AF172" s="82"/>
      <c r="AG172" s="82"/>
      <c r="AH172" s="82"/>
      <c r="AI172" s="82"/>
      <c r="AJ172" s="82"/>
      <c r="AK172" s="82"/>
      <c r="AL172" s="82"/>
      <c r="AM172" s="82"/>
      <c r="AN172" s="82"/>
      <c r="AO172" s="82"/>
      <c r="AP172" s="82"/>
      <c r="AQ172" s="82"/>
      <c r="AR172" s="82"/>
      <c r="AS172" s="82"/>
      <c r="AT172" s="82"/>
      <c r="AU172" s="82"/>
      <c r="AV172" s="82"/>
      <c r="AW172" s="82"/>
      <c r="AX172" s="82"/>
      <c r="AY172" s="82"/>
      <c r="AZ172" s="82"/>
      <c r="BA172" s="82"/>
      <c r="BB172" s="82"/>
      <c r="BC172" s="82"/>
      <c r="BD172" s="82"/>
      <c r="BE172" s="82"/>
      <c r="BF172" s="82"/>
      <c r="BG172" s="82"/>
      <c r="BH172" s="82"/>
      <c r="BI172" s="82"/>
      <c r="BJ172" s="82"/>
      <c r="BK172" s="82"/>
      <c r="BL172" s="82"/>
      <c r="BM172" s="82"/>
      <c r="BN172" s="82"/>
      <c r="BO172" s="81"/>
      <c r="BP172" s="81"/>
    </row>
    <row r="173" spans="11:68" x14ac:dyDescent="0.3"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  <c r="AA173" s="82"/>
      <c r="AB173" s="82"/>
      <c r="AC173" s="82"/>
      <c r="AD173" s="82"/>
      <c r="AE173" s="82"/>
      <c r="AF173" s="82"/>
      <c r="AG173" s="82"/>
      <c r="AH173" s="82"/>
      <c r="AI173" s="82"/>
      <c r="AJ173" s="82"/>
      <c r="AK173" s="82"/>
      <c r="AL173" s="82"/>
      <c r="AM173" s="82"/>
      <c r="AN173" s="82"/>
      <c r="AO173" s="82"/>
      <c r="AP173" s="82"/>
      <c r="AQ173" s="82"/>
      <c r="AR173" s="82"/>
      <c r="AS173" s="82"/>
      <c r="AT173" s="82"/>
      <c r="AU173" s="82"/>
      <c r="AV173" s="82"/>
      <c r="AW173" s="82"/>
      <c r="AX173" s="82"/>
      <c r="AY173" s="82"/>
      <c r="AZ173" s="82"/>
      <c r="BA173" s="82"/>
      <c r="BB173" s="82"/>
      <c r="BC173" s="82"/>
      <c r="BD173" s="82"/>
      <c r="BE173" s="82"/>
      <c r="BF173" s="82"/>
      <c r="BG173" s="82"/>
      <c r="BH173" s="82"/>
      <c r="BI173" s="82"/>
      <c r="BJ173" s="82"/>
      <c r="BK173" s="82"/>
      <c r="BL173" s="82"/>
      <c r="BM173" s="82"/>
      <c r="BN173" s="82"/>
      <c r="BO173" s="81"/>
      <c r="BP173" s="81"/>
    </row>
    <row r="174" spans="11:68" x14ac:dyDescent="0.3"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  <c r="AA174" s="82"/>
      <c r="AB174" s="82"/>
      <c r="AC174" s="82"/>
      <c r="AD174" s="82"/>
      <c r="AE174" s="82"/>
      <c r="AF174" s="82"/>
      <c r="AG174" s="82"/>
      <c r="AH174" s="82"/>
      <c r="AI174" s="82"/>
      <c r="AJ174" s="82"/>
      <c r="AK174" s="82"/>
      <c r="AL174" s="82"/>
      <c r="AM174" s="82"/>
      <c r="AN174" s="82"/>
      <c r="AO174" s="82"/>
      <c r="AP174" s="82"/>
      <c r="AQ174" s="82"/>
      <c r="AR174" s="82"/>
      <c r="AS174" s="82"/>
      <c r="AT174" s="82"/>
      <c r="AU174" s="82"/>
      <c r="AV174" s="82"/>
      <c r="AW174" s="82"/>
      <c r="AX174" s="82"/>
      <c r="AY174" s="82"/>
      <c r="AZ174" s="82"/>
      <c r="BA174" s="82"/>
      <c r="BB174" s="82"/>
      <c r="BC174" s="82"/>
      <c r="BD174" s="82"/>
      <c r="BE174" s="82"/>
      <c r="BF174" s="82"/>
      <c r="BG174" s="82"/>
      <c r="BH174" s="82"/>
      <c r="BI174" s="82"/>
      <c r="BJ174" s="82"/>
      <c r="BK174" s="82"/>
      <c r="BL174" s="82"/>
      <c r="BM174" s="82"/>
      <c r="BN174" s="82"/>
      <c r="BO174" s="81"/>
      <c r="BP174" s="81"/>
    </row>
    <row r="175" spans="11:68" x14ac:dyDescent="0.3"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  <c r="AA175" s="82"/>
      <c r="AB175" s="82"/>
      <c r="AC175" s="82"/>
      <c r="AD175" s="82"/>
      <c r="AE175" s="82"/>
      <c r="AF175" s="82"/>
      <c r="AG175" s="82"/>
      <c r="AH175" s="82"/>
      <c r="AI175" s="82"/>
      <c r="AJ175" s="82"/>
      <c r="AK175" s="82"/>
      <c r="AL175" s="82"/>
      <c r="AM175" s="82"/>
      <c r="AN175" s="82"/>
      <c r="AO175" s="82"/>
      <c r="AP175" s="82"/>
      <c r="AQ175" s="82"/>
      <c r="AR175" s="82"/>
      <c r="AS175" s="82"/>
      <c r="AT175" s="82"/>
      <c r="AU175" s="82"/>
      <c r="AV175" s="82"/>
      <c r="AW175" s="82"/>
      <c r="AX175" s="82"/>
      <c r="AY175" s="82"/>
      <c r="AZ175" s="82"/>
      <c r="BA175" s="82"/>
      <c r="BB175" s="82"/>
      <c r="BC175" s="82"/>
      <c r="BD175" s="82"/>
      <c r="BE175" s="82"/>
      <c r="BF175" s="82"/>
      <c r="BG175" s="82"/>
      <c r="BH175" s="82"/>
      <c r="BI175" s="82"/>
      <c r="BJ175" s="82"/>
      <c r="BK175" s="82"/>
      <c r="BL175" s="82"/>
      <c r="BM175" s="82"/>
      <c r="BN175" s="82"/>
      <c r="BO175" s="81"/>
      <c r="BP175" s="81"/>
    </row>
    <row r="176" spans="11:68" x14ac:dyDescent="0.3"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82"/>
      <c r="AD176" s="82"/>
      <c r="AE176" s="82"/>
      <c r="AF176" s="82"/>
      <c r="AG176" s="82"/>
      <c r="AH176" s="82"/>
      <c r="AI176" s="82"/>
      <c r="AJ176" s="82"/>
      <c r="AK176" s="82"/>
      <c r="AL176" s="82"/>
      <c r="AM176" s="82"/>
      <c r="AN176" s="82"/>
      <c r="AO176" s="82"/>
      <c r="AP176" s="82"/>
      <c r="AQ176" s="82"/>
      <c r="AR176" s="82"/>
      <c r="AS176" s="82"/>
      <c r="AT176" s="82"/>
      <c r="AU176" s="82"/>
      <c r="AV176" s="82"/>
      <c r="AW176" s="82"/>
      <c r="AX176" s="82"/>
      <c r="AY176" s="82"/>
      <c r="AZ176" s="82"/>
      <c r="BA176" s="82"/>
      <c r="BB176" s="82"/>
      <c r="BC176" s="82"/>
      <c r="BD176" s="82"/>
      <c r="BE176" s="82"/>
      <c r="BF176" s="82"/>
      <c r="BG176" s="82"/>
      <c r="BH176" s="82"/>
      <c r="BI176" s="82"/>
      <c r="BJ176" s="82"/>
      <c r="BK176" s="82"/>
      <c r="BL176" s="82"/>
      <c r="BM176" s="82"/>
      <c r="BN176" s="82"/>
      <c r="BO176" s="81"/>
      <c r="BP176" s="81"/>
    </row>
    <row r="177" spans="11:68" x14ac:dyDescent="0.3"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  <c r="AC177" s="82"/>
      <c r="AD177" s="82"/>
      <c r="AE177" s="82"/>
      <c r="AF177" s="82"/>
      <c r="AG177" s="82"/>
      <c r="AH177" s="82"/>
      <c r="AI177" s="82"/>
      <c r="AJ177" s="82"/>
      <c r="AK177" s="82"/>
      <c r="AL177" s="82"/>
      <c r="AM177" s="82"/>
      <c r="AN177" s="82"/>
      <c r="AO177" s="82"/>
      <c r="AP177" s="82"/>
      <c r="AQ177" s="82"/>
      <c r="AR177" s="82"/>
      <c r="AS177" s="82"/>
      <c r="AT177" s="82"/>
      <c r="AU177" s="82"/>
      <c r="AV177" s="82"/>
      <c r="AW177" s="82"/>
      <c r="AX177" s="82"/>
      <c r="AY177" s="82"/>
      <c r="AZ177" s="82"/>
      <c r="BA177" s="82"/>
      <c r="BB177" s="82"/>
      <c r="BC177" s="82"/>
      <c r="BD177" s="82"/>
      <c r="BE177" s="82"/>
      <c r="BF177" s="82"/>
      <c r="BG177" s="82"/>
      <c r="BH177" s="82"/>
      <c r="BI177" s="82"/>
      <c r="BJ177" s="82"/>
      <c r="BK177" s="82"/>
      <c r="BL177" s="82"/>
      <c r="BM177" s="82"/>
      <c r="BN177" s="82"/>
      <c r="BO177" s="81"/>
      <c r="BP177" s="81"/>
    </row>
    <row r="178" spans="11:68" x14ac:dyDescent="0.3"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  <c r="AC178" s="82"/>
      <c r="AD178" s="82"/>
      <c r="AE178" s="82"/>
      <c r="AF178" s="82"/>
      <c r="AG178" s="82"/>
      <c r="AH178" s="82"/>
      <c r="AI178" s="82"/>
      <c r="AJ178" s="82"/>
      <c r="AK178" s="82"/>
      <c r="AL178" s="82"/>
      <c r="AM178" s="82"/>
      <c r="AN178" s="82"/>
      <c r="AO178" s="82"/>
      <c r="AP178" s="82"/>
      <c r="AQ178" s="82"/>
      <c r="AR178" s="82"/>
      <c r="AS178" s="82"/>
      <c r="AT178" s="82"/>
      <c r="AU178" s="82"/>
      <c r="AV178" s="82"/>
      <c r="AW178" s="82"/>
      <c r="AX178" s="82"/>
      <c r="AY178" s="82"/>
      <c r="AZ178" s="82"/>
      <c r="BA178" s="82"/>
      <c r="BB178" s="82"/>
      <c r="BC178" s="82"/>
      <c r="BD178" s="82"/>
      <c r="BE178" s="82"/>
      <c r="BF178" s="82"/>
      <c r="BG178" s="82"/>
      <c r="BH178" s="82"/>
      <c r="BI178" s="82"/>
      <c r="BJ178" s="82"/>
      <c r="BK178" s="82"/>
      <c r="BL178" s="82"/>
      <c r="BM178" s="82"/>
      <c r="BN178" s="82"/>
      <c r="BO178" s="81"/>
      <c r="BP178" s="81"/>
    </row>
    <row r="179" spans="11:68" x14ac:dyDescent="0.3"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  <c r="AC179" s="82"/>
      <c r="AD179" s="82"/>
      <c r="AE179" s="82"/>
      <c r="AF179" s="82"/>
      <c r="AG179" s="82"/>
      <c r="AH179" s="82"/>
      <c r="AI179" s="82"/>
      <c r="AJ179" s="82"/>
      <c r="AK179" s="82"/>
      <c r="AL179" s="82"/>
      <c r="AM179" s="82"/>
      <c r="AN179" s="82"/>
      <c r="AO179" s="82"/>
      <c r="AP179" s="82"/>
      <c r="AQ179" s="82"/>
      <c r="AR179" s="82"/>
      <c r="AS179" s="82"/>
      <c r="AT179" s="82"/>
      <c r="AU179" s="82"/>
      <c r="AV179" s="82"/>
      <c r="AW179" s="82"/>
      <c r="AX179" s="82"/>
      <c r="AY179" s="82"/>
      <c r="AZ179" s="82"/>
      <c r="BA179" s="82"/>
      <c r="BB179" s="82"/>
      <c r="BC179" s="82"/>
      <c r="BD179" s="82"/>
      <c r="BE179" s="82"/>
      <c r="BF179" s="82"/>
      <c r="BG179" s="82"/>
      <c r="BH179" s="82"/>
      <c r="BI179" s="82"/>
      <c r="BJ179" s="82"/>
      <c r="BK179" s="82"/>
      <c r="BL179" s="82"/>
      <c r="BM179" s="82"/>
      <c r="BN179" s="82"/>
      <c r="BO179" s="81"/>
      <c r="BP179" s="81"/>
    </row>
    <row r="180" spans="11:68" x14ac:dyDescent="0.3"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82"/>
      <c r="AD180" s="82"/>
      <c r="AE180" s="82"/>
      <c r="AF180" s="82"/>
      <c r="AG180" s="82"/>
      <c r="AH180" s="82"/>
      <c r="AI180" s="82"/>
      <c r="AJ180" s="82"/>
      <c r="AK180" s="82"/>
      <c r="AL180" s="82"/>
      <c r="AM180" s="82"/>
      <c r="AN180" s="82"/>
      <c r="AO180" s="82"/>
      <c r="AP180" s="82"/>
      <c r="AQ180" s="82"/>
      <c r="AR180" s="82"/>
      <c r="AS180" s="82"/>
      <c r="AT180" s="82"/>
      <c r="AU180" s="82"/>
      <c r="AV180" s="82"/>
      <c r="AW180" s="82"/>
      <c r="AX180" s="82"/>
      <c r="AY180" s="82"/>
      <c r="AZ180" s="82"/>
      <c r="BA180" s="82"/>
      <c r="BB180" s="82"/>
      <c r="BC180" s="82"/>
      <c r="BD180" s="82"/>
      <c r="BE180" s="82"/>
      <c r="BF180" s="82"/>
      <c r="BG180" s="82"/>
      <c r="BH180" s="82"/>
      <c r="BI180" s="82"/>
      <c r="BJ180" s="82"/>
      <c r="BK180" s="82"/>
      <c r="BL180" s="82"/>
      <c r="BM180" s="82"/>
      <c r="BN180" s="82"/>
      <c r="BO180" s="81"/>
      <c r="BP180" s="81"/>
    </row>
    <row r="181" spans="11:68" x14ac:dyDescent="0.3"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  <c r="AA181" s="82"/>
      <c r="AB181" s="82"/>
      <c r="AC181" s="82"/>
      <c r="AD181" s="82"/>
      <c r="AE181" s="82"/>
      <c r="AF181" s="82"/>
      <c r="AG181" s="82"/>
      <c r="AH181" s="82"/>
      <c r="AI181" s="82"/>
      <c r="AJ181" s="82"/>
      <c r="AK181" s="82"/>
      <c r="AL181" s="82"/>
      <c r="AM181" s="82"/>
      <c r="AN181" s="82"/>
      <c r="AO181" s="82"/>
      <c r="AP181" s="82"/>
      <c r="AQ181" s="82"/>
      <c r="AR181" s="82"/>
      <c r="AS181" s="82"/>
      <c r="AT181" s="82"/>
      <c r="AU181" s="82"/>
      <c r="AV181" s="82"/>
      <c r="AW181" s="82"/>
      <c r="AX181" s="82"/>
      <c r="AY181" s="82"/>
      <c r="AZ181" s="82"/>
      <c r="BA181" s="82"/>
      <c r="BB181" s="82"/>
      <c r="BC181" s="82"/>
      <c r="BD181" s="82"/>
      <c r="BE181" s="82"/>
      <c r="BF181" s="82"/>
      <c r="BG181" s="82"/>
      <c r="BH181" s="82"/>
      <c r="BI181" s="82"/>
      <c r="BJ181" s="82"/>
      <c r="BK181" s="82"/>
      <c r="BL181" s="82"/>
      <c r="BM181" s="82"/>
      <c r="BN181" s="82"/>
      <c r="BO181" s="81"/>
      <c r="BP181" s="81"/>
    </row>
    <row r="182" spans="11:68" x14ac:dyDescent="0.3"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  <c r="AC182" s="82"/>
      <c r="AD182" s="82"/>
      <c r="AE182" s="82"/>
      <c r="AF182" s="82"/>
      <c r="AG182" s="82"/>
      <c r="AH182" s="82"/>
      <c r="AI182" s="82"/>
      <c r="AJ182" s="82"/>
      <c r="AK182" s="82"/>
      <c r="AL182" s="82"/>
      <c r="AM182" s="82"/>
      <c r="AN182" s="82"/>
      <c r="AO182" s="82"/>
      <c r="AP182" s="82"/>
      <c r="AQ182" s="82"/>
      <c r="AR182" s="82"/>
      <c r="AS182" s="82"/>
      <c r="AT182" s="82"/>
      <c r="AU182" s="82"/>
      <c r="AV182" s="82"/>
      <c r="AW182" s="82"/>
      <c r="AX182" s="82"/>
      <c r="AY182" s="82"/>
      <c r="AZ182" s="82"/>
      <c r="BA182" s="82"/>
      <c r="BB182" s="82"/>
      <c r="BC182" s="82"/>
      <c r="BD182" s="82"/>
      <c r="BE182" s="82"/>
      <c r="BF182" s="82"/>
      <c r="BG182" s="82"/>
      <c r="BH182" s="82"/>
      <c r="BI182" s="82"/>
      <c r="BJ182" s="82"/>
      <c r="BK182" s="82"/>
      <c r="BL182" s="82"/>
      <c r="BM182" s="82"/>
      <c r="BN182" s="82"/>
      <c r="BO182" s="81"/>
      <c r="BP182" s="81"/>
    </row>
    <row r="183" spans="11:68" x14ac:dyDescent="0.3"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  <c r="AC183" s="82"/>
      <c r="AD183" s="82"/>
      <c r="AE183" s="82"/>
      <c r="AF183" s="82"/>
      <c r="AG183" s="82"/>
      <c r="AH183" s="82"/>
      <c r="AI183" s="82"/>
      <c r="AJ183" s="82"/>
      <c r="AK183" s="82"/>
      <c r="AL183" s="82"/>
      <c r="AM183" s="82"/>
      <c r="AN183" s="82"/>
      <c r="AO183" s="82"/>
      <c r="AP183" s="82"/>
      <c r="AQ183" s="82"/>
      <c r="AR183" s="82"/>
      <c r="AS183" s="82"/>
      <c r="AT183" s="82"/>
      <c r="AU183" s="82"/>
      <c r="AV183" s="82"/>
      <c r="AW183" s="82"/>
      <c r="AX183" s="82"/>
      <c r="AY183" s="82"/>
      <c r="AZ183" s="82"/>
      <c r="BA183" s="82"/>
      <c r="BB183" s="82"/>
      <c r="BC183" s="82"/>
      <c r="BD183" s="82"/>
      <c r="BE183" s="82"/>
      <c r="BF183" s="82"/>
      <c r="BG183" s="82"/>
      <c r="BH183" s="82"/>
      <c r="BI183" s="82"/>
      <c r="BJ183" s="82"/>
      <c r="BK183" s="82"/>
      <c r="BL183" s="82"/>
      <c r="BM183" s="82"/>
      <c r="BN183" s="82"/>
      <c r="BO183" s="81"/>
      <c r="BP183" s="81"/>
    </row>
    <row r="184" spans="11:68" x14ac:dyDescent="0.3"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  <c r="AC184" s="82"/>
      <c r="AD184" s="82"/>
      <c r="AE184" s="82"/>
      <c r="AF184" s="82"/>
      <c r="AG184" s="82"/>
      <c r="AH184" s="82"/>
      <c r="AI184" s="82"/>
      <c r="AJ184" s="82"/>
      <c r="AK184" s="82"/>
      <c r="AL184" s="82"/>
      <c r="AM184" s="82"/>
      <c r="AN184" s="82"/>
      <c r="AO184" s="82"/>
      <c r="AP184" s="82"/>
      <c r="AQ184" s="82"/>
      <c r="AR184" s="82"/>
      <c r="AS184" s="82"/>
      <c r="AT184" s="82"/>
      <c r="AU184" s="82"/>
      <c r="AV184" s="82"/>
      <c r="AW184" s="82"/>
      <c r="AX184" s="82"/>
      <c r="AY184" s="82"/>
      <c r="AZ184" s="82"/>
      <c r="BA184" s="82"/>
      <c r="BB184" s="82"/>
      <c r="BC184" s="82"/>
      <c r="BD184" s="82"/>
      <c r="BE184" s="82"/>
      <c r="BF184" s="82"/>
      <c r="BG184" s="82"/>
      <c r="BH184" s="82"/>
      <c r="BI184" s="82"/>
      <c r="BJ184" s="82"/>
      <c r="BK184" s="82"/>
      <c r="BL184" s="82"/>
      <c r="BM184" s="82"/>
      <c r="BN184" s="82"/>
      <c r="BO184" s="81"/>
      <c r="BP184" s="81"/>
    </row>
    <row r="185" spans="11:68" x14ac:dyDescent="0.3"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  <c r="AA185" s="82"/>
      <c r="AB185" s="82"/>
      <c r="AC185" s="82"/>
      <c r="AD185" s="82"/>
      <c r="AE185" s="82"/>
      <c r="AF185" s="82"/>
      <c r="AG185" s="82"/>
      <c r="AH185" s="82"/>
      <c r="AI185" s="82"/>
      <c r="AJ185" s="82"/>
      <c r="AK185" s="82"/>
      <c r="AL185" s="82"/>
      <c r="AM185" s="82"/>
      <c r="AN185" s="82"/>
      <c r="AO185" s="82"/>
      <c r="AP185" s="82"/>
      <c r="AQ185" s="82"/>
      <c r="AR185" s="82"/>
      <c r="AS185" s="82"/>
      <c r="AT185" s="82"/>
      <c r="AU185" s="82"/>
      <c r="AV185" s="82"/>
      <c r="AW185" s="82"/>
      <c r="AX185" s="82"/>
      <c r="AY185" s="82"/>
      <c r="AZ185" s="82"/>
      <c r="BA185" s="82"/>
      <c r="BB185" s="82"/>
      <c r="BC185" s="82"/>
      <c r="BD185" s="82"/>
      <c r="BE185" s="82"/>
      <c r="BF185" s="82"/>
      <c r="BG185" s="82"/>
      <c r="BH185" s="82"/>
      <c r="BI185" s="82"/>
      <c r="BJ185" s="82"/>
      <c r="BK185" s="82"/>
      <c r="BL185" s="82"/>
      <c r="BM185" s="82"/>
      <c r="BN185" s="82"/>
      <c r="BO185" s="81"/>
      <c r="BP185" s="81"/>
    </row>
    <row r="186" spans="11:68" x14ac:dyDescent="0.3"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82"/>
      <c r="AD186" s="82"/>
      <c r="AE186" s="82"/>
      <c r="AF186" s="82"/>
      <c r="AG186" s="82"/>
      <c r="AH186" s="82"/>
      <c r="AI186" s="82"/>
      <c r="AJ186" s="82"/>
      <c r="AK186" s="82"/>
      <c r="AL186" s="82"/>
      <c r="AM186" s="82"/>
      <c r="AN186" s="82"/>
      <c r="AO186" s="82"/>
      <c r="AP186" s="82"/>
      <c r="AQ186" s="82"/>
      <c r="AR186" s="82"/>
      <c r="AS186" s="82"/>
      <c r="AT186" s="82"/>
      <c r="AU186" s="82"/>
      <c r="AV186" s="82"/>
      <c r="AW186" s="82"/>
      <c r="AX186" s="82"/>
      <c r="AY186" s="82"/>
      <c r="AZ186" s="82"/>
      <c r="BA186" s="82"/>
      <c r="BB186" s="82"/>
      <c r="BC186" s="82"/>
      <c r="BD186" s="82"/>
      <c r="BE186" s="82"/>
      <c r="BF186" s="82"/>
      <c r="BG186" s="82"/>
      <c r="BH186" s="82"/>
      <c r="BI186" s="82"/>
      <c r="BJ186" s="82"/>
      <c r="BK186" s="82"/>
      <c r="BL186" s="82"/>
      <c r="BM186" s="82"/>
      <c r="BN186" s="82"/>
      <c r="BO186" s="81"/>
      <c r="BP186" s="81"/>
    </row>
    <row r="187" spans="11:68" x14ac:dyDescent="0.3"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  <c r="AC187" s="82"/>
      <c r="AD187" s="82"/>
      <c r="AE187" s="82"/>
      <c r="AF187" s="82"/>
      <c r="AG187" s="82"/>
      <c r="AH187" s="82"/>
      <c r="AI187" s="82"/>
      <c r="AJ187" s="82"/>
      <c r="AK187" s="82"/>
      <c r="AL187" s="82"/>
      <c r="AM187" s="82"/>
      <c r="AN187" s="82"/>
      <c r="AO187" s="82"/>
      <c r="AP187" s="82"/>
      <c r="AQ187" s="82"/>
      <c r="AR187" s="82"/>
      <c r="AS187" s="82"/>
      <c r="AT187" s="82"/>
      <c r="AU187" s="82"/>
      <c r="AV187" s="82"/>
      <c r="AW187" s="82"/>
      <c r="AX187" s="82"/>
      <c r="AY187" s="82"/>
      <c r="AZ187" s="82"/>
      <c r="BA187" s="82"/>
      <c r="BB187" s="82"/>
      <c r="BC187" s="82"/>
      <c r="BD187" s="82"/>
      <c r="BE187" s="82"/>
      <c r="BF187" s="82"/>
      <c r="BG187" s="82"/>
      <c r="BH187" s="82"/>
      <c r="BI187" s="82"/>
      <c r="BJ187" s="82"/>
      <c r="BK187" s="82"/>
      <c r="BL187" s="82"/>
      <c r="BM187" s="82"/>
      <c r="BN187" s="82"/>
      <c r="BO187" s="81"/>
      <c r="BP187" s="81"/>
    </row>
    <row r="188" spans="11:68" x14ac:dyDescent="0.3"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  <c r="AA188" s="82"/>
      <c r="AB188" s="82"/>
      <c r="AC188" s="82"/>
      <c r="AD188" s="82"/>
      <c r="AE188" s="82"/>
      <c r="AF188" s="82"/>
      <c r="AG188" s="82"/>
      <c r="AH188" s="82"/>
      <c r="AI188" s="82"/>
      <c r="AJ188" s="82"/>
      <c r="AK188" s="82"/>
      <c r="AL188" s="82"/>
      <c r="AM188" s="82"/>
      <c r="AN188" s="82"/>
      <c r="AO188" s="82"/>
      <c r="AP188" s="82"/>
      <c r="AQ188" s="82"/>
      <c r="AR188" s="82"/>
      <c r="AS188" s="82"/>
      <c r="AT188" s="82"/>
      <c r="AU188" s="82"/>
      <c r="AV188" s="82"/>
      <c r="AW188" s="82"/>
      <c r="AX188" s="82"/>
      <c r="AY188" s="82"/>
      <c r="AZ188" s="82"/>
      <c r="BA188" s="82"/>
      <c r="BB188" s="82"/>
      <c r="BC188" s="82"/>
      <c r="BD188" s="82"/>
      <c r="BE188" s="82"/>
      <c r="BF188" s="82"/>
      <c r="BG188" s="82"/>
      <c r="BH188" s="82"/>
      <c r="BI188" s="82"/>
      <c r="BJ188" s="82"/>
      <c r="BK188" s="82"/>
      <c r="BL188" s="82"/>
      <c r="BM188" s="82"/>
      <c r="BN188" s="82"/>
      <c r="BO188" s="81"/>
      <c r="BP188" s="81"/>
    </row>
    <row r="189" spans="11:68" x14ac:dyDescent="0.3"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  <c r="AC189" s="82"/>
      <c r="AD189" s="82"/>
      <c r="AE189" s="82"/>
      <c r="AF189" s="82"/>
      <c r="AG189" s="82"/>
      <c r="AH189" s="82"/>
      <c r="AI189" s="82"/>
      <c r="AJ189" s="82"/>
      <c r="AK189" s="82"/>
      <c r="AL189" s="82"/>
      <c r="AM189" s="82"/>
      <c r="AN189" s="82"/>
      <c r="AO189" s="82"/>
      <c r="AP189" s="82"/>
      <c r="AQ189" s="82"/>
      <c r="AR189" s="82"/>
      <c r="AS189" s="82"/>
      <c r="AT189" s="82"/>
      <c r="AU189" s="82"/>
      <c r="AV189" s="82"/>
      <c r="AW189" s="82"/>
      <c r="AX189" s="82"/>
      <c r="AY189" s="82"/>
      <c r="AZ189" s="82"/>
      <c r="BA189" s="82"/>
      <c r="BB189" s="82"/>
      <c r="BC189" s="82"/>
      <c r="BD189" s="82"/>
      <c r="BE189" s="82"/>
      <c r="BF189" s="82"/>
      <c r="BG189" s="82"/>
      <c r="BH189" s="82"/>
      <c r="BI189" s="82"/>
      <c r="BJ189" s="82"/>
      <c r="BK189" s="82"/>
      <c r="BL189" s="82"/>
      <c r="BM189" s="82"/>
      <c r="BN189" s="82"/>
      <c r="BO189" s="81"/>
      <c r="BP189" s="81"/>
    </row>
    <row r="190" spans="11:68" x14ac:dyDescent="0.3"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  <c r="AA190" s="82"/>
      <c r="AB190" s="82"/>
      <c r="AC190" s="82"/>
      <c r="AD190" s="82"/>
      <c r="AE190" s="82"/>
      <c r="AF190" s="82"/>
      <c r="AG190" s="82"/>
      <c r="AH190" s="82"/>
      <c r="AI190" s="82"/>
      <c r="AJ190" s="82"/>
      <c r="AK190" s="82"/>
      <c r="AL190" s="82"/>
      <c r="AM190" s="82"/>
      <c r="AN190" s="82"/>
      <c r="AO190" s="82"/>
      <c r="AP190" s="82"/>
      <c r="AQ190" s="82"/>
      <c r="AR190" s="82"/>
      <c r="AS190" s="82"/>
      <c r="AT190" s="82"/>
      <c r="AU190" s="82"/>
      <c r="AV190" s="82"/>
      <c r="AW190" s="82"/>
      <c r="AX190" s="82"/>
      <c r="AY190" s="82"/>
      <c r="AZ190" s="82"/>
      <c r="BA190" s="82"/>
      <c r="BB190" s="82"/>
      <c r="BC190" s="82"/>
      <c r="BD190" s="82"/>
      <c r="BE190" s="82"/>
      <c r="BF190" s="82"/>
      <c r="BG190" s="82"/>
      <c r="BH190" s="82"/>
      <c r="BI190" s="82"/>
      <c r="BJ190" s="82"/>
      <c r="BK190" s="82"/>
      <c r="BL190" s="82"/>
      <c r="BM190" s="82"/>
      <c r="BN190" s="82"/>
      <c r="BO190" s="81"/>
      <c r="BP190" s="81"/>
    </row>
    <row r="191" spans="11:68" x14ac:dyDescent="0.3"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  <c r="AA191" s="82"/>
      <c r="AB191" s="82"/>
      <c r="AC191" s="82"/>
      <c r="AD191" s="82"/>
      <c r="AE191" s="82"/>
      <c r="AF191" s="82"/>
      <c r="AG191" s="82"/>
      <c r="AH191" s="82"/>
      <c r="AI191" s="82"/>
      <c r="AJ191" s="82"/>
      <c r="AK191" s="82"/>
      <c r="AL191" s="82"/>
      <c r="AM191" s="82"/>
      <c r="AN191" s="82"/>
      <c r="AO191" s="82"/>
      <c r="AP191" s="82"/>
      <c r="AQ191" s="82"/>
      <c r="AR191" s="82"/>
      <c r="AS191" s="82"/>
      <c r="AT191" s="82"/>
      <c r="AU191" s="82"/>
      <c r="AV191" s="82"/>
      <c r="AW191" s="82"/>
      <c r="AX191" s="82"/>
      <c r="AY191" s="82"/>
      <c r="AZ191" s="82"/>
      <c r="BA191" s="82"/>
      <c r="BB191" s="82"/>
      <c r="BC191" s="82"/>
      <c r="BD191" s="82"/>
      <c r="BE191" s="82"/>
      <c r="BF191" s="82"/>
      <c r="BG191" s="82"/>
      <c r="BH191" s="82"/>
      <c r="BI191" s="82"/>
      <c r="BJ191" s="82"/>
      <c r="BK191" s="82"/>
      <c r="BL191" s="82"/>
      <c r="BM191" s="82"/>
      <c r="BN191" s="82"/>
      <c r="BO191" s="81"/>
      <c r="BP191" s="81"/>
    </row>
    <row r="192" spans="11:68" x14ac:dyDescent="0.3"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82"/>
      <c r="AD192" s="82"/>
      <c r="AE192" s="82"/>
      <c r="AF192" s="82"/>
      <c r="AG192" s="82"/>
      <c r="AH192" s="82"/>
      <c r="AI192" s="82"/>
      <c r="AJ192" s="82"/>
      <c r="AK192" s="82"/>
      <c r="AL192" s="82"/>
      <c r="AM192" s="82"/>
      <c r="AN192" s="82"/>
      <c r="AO192" s="82"/>
      <c r="AP192" s="82"/>
      <c r="AQ192" s="82"/>
      <c r="AR192" s="82"/>
      <c r="AS192" s="82"/>
      <c r="AT192" s="82"/>
      <c r="AU192" s="82"/>
      <c r="AV192" s="82"/>
      <c r="AW192" s="82"/>
      <c r="AX192" s="82"/>
      <c r="AY192" s="82"/>
      <c r="AZ192" s="82"/>
      <c r="BA192" s="82"/>
      <c r="BB192" s="82"/>
      <c r="BC192" s="82"/>
      <c r="BD192" s="82"/>
      <c r="BE192" s="82"/>
      <c r="BF192" s="82"/>
      <c r="BG192" s="82"/>
      <c r="BH192" s="82"/>
      <c r="BI192" s="82"/>
      <c r="BJ192" s="82"/>
      <c r="BK192" s="82"/>
      <c r="BL192" s="82"/>
      <c r="BM192" s="82"/>
      <c r="BN192" s="82"/>
      <c r="BO192" s="81"/>
      <c r="BP192" s="81"/>
    </row>
    <row r="193" spans="11:68" x14ac:dyDescent="0.3"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  <c r="AA193" s="82"/>
      <c r="AB193" s="82"/>
      <c r="AC193" s="82"/>
      <c r="AD193" s="82"/>
      <c r="AE193" s="82"/>
      <c r="AF193" s="82"/>
      <c r="AG193" s="82"/>
      <c r="AH193" s="82"/>
      <c r="AI193" s="82"/>
      <c r="AJ193" s="82"/>
      <c r="AK193" s="82"/>
      <c r="AL193" s="82"/>
      <c r="AM193" s="82"/>
      <c r="AN193" s="82"/>
      <c r="AO193" s="82"/>
      <c r="AP193" s="82"/>
      <c r="AQ193" s="82"/>
      <c r="AR193" s="82"/>
      <c r="AS193" s="82"/>
      <c r="AT193" s="82"/>
      <c r="AU193" s="82"/>
      <c r="AV193" s="82"/>
      <c r="AW193" s="82"/>
      <c r="AX193" s="82"/>
      <c r="AY193" s="82"/>
      <c r="AZ193" s="82"/>
      <c r="BA193" s="82"/>
      <c r="BB193" s="82"/>
      <c r="BC193" s="82"/>
      <c r="BD193" s="82"/>
      <c r="BE193" s="82"/>
      <c r="BF193" s="82"/>
      <c r="BG193" s="82"/>
      <c r="BH193" s="82"/>
      <c r="BI193" s="82"/>
      <c r="BJ193" s="82"/>
      <c r="BK193" s="82"/>
      <c r="BL193" s="82"/>
      <c r="BM193" s="82"/>
      <c r="BN193" s="82"/>
      <c r="BO193" s="81"/>
      <c r="BP193" s="81"/>
    </row>
    <row r="194" spans="11:68" x14ac:dyDescent="0.3"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  <c r="AA194" s="82"/>
      <c r="AB194" s="82"/>
      <c r="AC194" s="82"/>
      <c r="AD194" s="82"/>
      <c r="AE194" s="82"/>
      <c r="AF194" s="82"/>
      <c r="AG194" s="82"/>
      <c r="AH194" s="82"/>
      <c r="AI194" s="82"/>
      <c r="AJ194" s="82"/>
      <c r="AK194" s="82"/>
      <c r="AL194" s="82"/>
      <c r="AM194" s="82"/>
      <c r="AN194" s="82"/>
      <c r="AO194" s="82"/>
      <c r="AP194" s="82"/>
      <c r="AQ194" s="82"/>
      <c r="AR194" s="82"/>
      <c r="AS194" s="82"/>
      <c r="AT194" s="82"/>
      <c r="AU194" s="82"/>
      <c r="AV194" s="82"/>
      <c r="AW194" s="82"/>
      <c r="AX194" s="82"/>
      <c r="AY194" s="82"/>
      <c r="AZ194" s="82"/>
      <c r="BA194" s="82"/>
      <c r="BB194" s="82"/>
      <c r="BC194" s="82"/>
      <c r="BD194" s="82"/>
      <c r="BE194" s="82"/>
      <c r="BF194" s="82"/>
      <c r="BG194" s="82"/>
      <c r="BH194" s="82"/>
      <c r="BI194" s="82"/>
      <c r="BJ194" s="82"/>
      <c r="BK194" s="82"/>
      <c r="BL194" s="82"/>
      <c r="BM194" s="82"/>
      <c r="BN194" s="82"/>
      <c r="BO194" s="81"/>
      <c r="BP194" s="81"/>
    </row>
    <row r="195" spans="11:68" x14ac:dyDescent="0.3"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82"/>
      <c r="AD195" s="82"/>
      <c r="AE195" s="82"/>
      <c r="AF195" s="82"/>
      <c r="AG195" s="82"/>
      <c r="AH195" s="82"/>
      <c r="AI195" s="82"/>
      <c r="AJ195" s="82"/>
      <c r="AK195" s="82"/>
      <c r="AL195" s="82"/>
      <c r="AM195" s="82"/>
      <c r="AN195" s="82"/>
      <c r="AO195" s="82"/>
      <c r="AP195" s="82"/>
      <c r="AQ195" s="82"/>
      <c r="AR195" s="82"/>
      <c r="AS195" s="82"/>
      <c r="AT195" s="82"/>
      <c r="AU195" s="82"/>
      <c r="AV195" s="82"/>
      <c r="AW195" s="82"/>
      <c r="AX195" s="82"/>
      <c r="AY195" s="82"/>
      <c r="AZ195" s="82"/>
      <c r="BA195" s="82"/>
      <c r="BB195" s="82"/>
      <c r="BC195" s="82"/>
      <c r="BD195" s="82"/>
      <c r="BE195" s="82"/>
      <c r="BF195" s="82"/>
      <c r="BG195" s="82"/>
      <c r="BH195" s="82"/>
      <c r="BI195" s="82"/>
      <c r="BJ195" s="82"/>
      <c r="BK195" s="82"/>
      <c r="BL195" s="82"/>
      <c r="BM195" s="82"/>
      <c r="BN195" s="82"/>
      <c r="BO195" s="81"/>
      <c r="BP195" s="81"/>
    </row>
    <row r="196" spans="11:68" x14ac:dyDescent="0.3"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  <c r="AA196" s="82"/>
      <c r="AB196" s="82"/>
      <c r="AC196" s="82"/>
      <c r="AD196" s="82"/>
      <c r="AE196" s="82"/>
      <c r="AF196" s="82"/>
      <c r="AG196" s="82"/>
      <c r="AH196" s="82"/>
      <c r="AI196" s="82"/>
      <c r="AJ196" s="82"/>
      <c r="AK196" s="82"/>
      <c r="AL196" s="82"/>
      <c r="AM196" s="82"/>
      <c r="AN196" s="82"/>
      <c r="AO196" s="82"/>
      <c r="AP196" s="82"/>
      <c r="AQ196" s="82"/>
      <c r="AR196" s="82"/>
      <c r="AS196" s="82"/>
      <c r="AT196" s="82"/>
      <c r="AU196" s="82"/>
      <c r="AV196" s="82"/>
      <c r="AW196" s="82"/>
      <c r="AX196" s="82"/>
      <c r="AY196" s="82"/>
      <c r="AZ196" s="82"/>
      <c r="BA196" s="82"/>
      <c r="BB196" s="82"/>
      <c r="BC196" s="82"/>
      <c r="BD196" s="82"/>
      <c r="BE196" s="82"/>
      <c r="BF196" s="82"/>
      <c r="BG196" s="82"/>
      <c r="BH196" s="82"/>
      <c r="BI196" s="82"/>
      <c r="BJ196" s="82"/>
      <c r="BK196" s="82"/>
      <c r="BL196" s="82"/>
      <c r="BM196" s="82"/>
      <c r="BN196" s="82"/>
      <c r="BO196" s="81"/>
      <c r="BP196" s="81"/>
    </row>
    <row r="197" spans="11:68" x14ac:dyDescent="0.3"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  <c r="AC197" s="82"/>
      <c r="AD197" s="82"/>
      <c r="AE197" s="82"/>
      <c r="AF197" s="82"/>
      <c r="AG197" s="82"/>
      <c r="AH197" s="82"/>
      <c r="AI197" s="82"/>
      <c r="AJ197" s="82"/>
      <c r="AK197" s="82"/>
      <c r="AL197" s="82"/>
      <c r="AM197" s="82"/>
      <c r="AN197" s="82"/>
      <c r="AO197" s="82"/>
      <c r="AP197" s="82"/>
      <c r="AQ197" s="82"/>
      <c r="AR197" s="82"/>
      <c r="AS197" s="82"/>
      <c r="AT197" s="82"/>
      <c r="AU197" s="82"/>
      <c r="AV197" s="82"/>
      <c r="AW197" s="82"/>
      <c r="AX197" s="82"/>
      <c r="AY197" s="82"/>
      <c r="AZ197" s="82"/>
      <c r="BA197" s="82"/>
      <c r="BB197" s="82"/>
      <c r="BC197" s="82"/>
      <c r="BD197" s="82"/>
      <c r="BE197" s="82"/>
      <c r="BF197" s="82"/>
      <c r="BG197" s="82"/>
      <c r="BH197" s="82"/>
      <c r="BI197" s="82"/>
      <c r="BJ197" s="82"/>
      <c r="BK197" s="82"/>
      <c r="BL197" s="82"/>
      <c r="BM197" s="82"/>
      <c r="BN197" s="82"/>
      <c r="BO197" s="81"/>
      <c r="BP197" s="81"/>
    </row>
    <row r="198" spans="11:68" x14ac:dyDescent="0.3"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  <c r="AA198" s="82"/>
      <c r="AB198" s="82"/>
      <c r="AC198" s="82"/>
      <c r="AD198" s="82"/>
      <c r="AE198" s="82"/>
      <c r="AF198" s="82"/>
      <c r="AG198" s="82"/>
      <c r="AH198" s="82"/>
      <c r="AI198" s="82"/>
      <c r="AJ198" s="82"/>
      <c r="AK198" s="82"/>
      <c r="AL198" s="82"/>
      <c r="AM198" s="82"/>
      <c r="AN198" s="82"/>
      <c r="AO198" s="82"/>
      <c r="AP198" s="82"/>
      <c r="AQ198" s="82"/>
      <c r="AR198" s="82"/>
      <c r="AS198" s="82"/>
      <c r="AT198" s="82"/>
      <c r="AU198" s="82"/>
      <c r="AV198" s="82"/>
      <c r="AW198" s="82"/>
      <c r="AX198" s="82"/>
      <c r="AY198" s="82"/>
      <c r="AZ198" s="82"/>
      <c r="BA198" s="82"/>
      <c r="BB198" s="82"/>
      <c r="BC198" s="82"/>
      <c r="BD198" s="82"/>
      <c r="BE198" s="82"/>
      <c r="BF198" s="82"/>
      <c r="BG198" s="82"/>
      <c r="BH198" s="82"/>
      <c r="BI198" s="82"/>
      <c r="BJ198" s="82"/>
      <c r="BK198" s="82"/>
      <c r="BL198" s="82"/>
      <c r="BM198" s="82"/>
      <c r="BN198" s="82"/>
      <c r="BO198" s="81"/>
      <c r="BP198" s="81"/>
    </row>
    <row r="199" spans="11:68" x14ac:dyDescent="0.3"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82"/>
      <c r="AD199" s="82"/>
      <c r="AE199" s="82"/>
      <c r="AF199" s="82"/>
      <c r="AG199" s="82"/>
      <c r="AH199" s="82"/>
      <c r="AI199" s="82"/>
      <c r="AJ199" s="82"/>
      <c r="AK199" s="82"/>
      <c r="AL199" s="82"/>
      <c r="AM199" s="82"/>
      <c r="AN199" s="82"/>
      <c r="AO199" s="82"/>
      <c r="AP199" s="82"/>
      <c r="AQ199" s="82"/>
      <c r="AR199" s="82"/>
      <c r="AS199" s="82"/>
      <c r="AT199" s="82"/>
      <c r="AU199" s="82"/>
      <c r="AV199" s="82"/>
      <c r="AW199" s="82"/>
      <c r="AX199" s="82"/>
      <c r="AY199" s="82"/>
      <c r="AZ199" s="82"/>
      <c r="BA199" s="82"/>
      <c r="BB199" s="82"/>
      <c r="BC199" s="82"/>
      <c r="BD199" s="82"/>
      <c r="BE199" s="82"/>
      <c r="BF199" s="82"/>
      <c r="BG199" s="82"/>
      <c r="BH199" s="82"/>
      <c r="BI199" s="82"/>
      <c r="BJ199" s="82"/>
      <c r="BK199" s="82"/>
      <c r="BL199" s="82"/>
      <c r="BM199" s="82"/>
      <c r="BN199" s="82"/>
      <c r="BO199" s="81"/>
      <c r="BP199" s="81"/>
    </row>
    <row r="200" spans="11:68" x14ac:dyDescent="0.3"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2"/>
      <c r="AW200" s="82"/>
      <c r="AX200" s="82"/>
      <c r="AY200" s="82"/>
      <c r="AZ200" s="82"/>
      <c r="BA200" s="82"/>
      <c r="BB200" s="82"/>
      <c r="BC200" s="82"/>
      <c r="BD200" s="82"/>
      <c r="BE200" s="82"/>
      <c r="BF200" s="82"/>
      <c r="BG200" s="82"/>
      <c r="BH200" s="82"/>
      <c r="BI200" s="82"/>
      <c r="BJ200" s="82"/>
      <c r="BK200" s="82"/>
      <c r="BL200" s="82"/>
      <c r="BM200" s="82"/>
      <c r="BN200" s="82"/>
      <c r="BO200" s="81"/>
      <c r="BP200" s="81"/>
    </row>
    <row r="201" spans="11:68" x14ac:dyDescent="0.3"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  <c r="AA201" s="82"/>
      <c r="AB201" s="82"/>
      <c r="AC201" s="82"/>
      <c r="AD201" s="82"/>
      <c r="AE201" s="82"/>
      <c r="AF201" s="82"/>
      <c r="AG201" s="82"/>
      <c r="AH201" s="82"/>
      <c r="AI201" s="82"/>
      <c r="AJ201" s="82"/>
      <c r="AK201" s="82"/>
      <c r="AL201" s="82"/>
      <c r="AM201" s="82"/>
      <c r="AN201" s="82"/>
      <c r="AO201" s="82"/>
      <c r="AP201" s="82"/>
      <c r="AQ201" s="82"/>
      <c r="AR201" s="82"/>
      <c r="AS201" s="82"/>
      <c r="AT201" s="82"/>
      <c r="AU201" s="82"/>
      <c r="AV201" s="82"/>
      <c r="AW201" s="82"/>
      <c r="AX201" s="82"/>
      <c r="AY201" s="82"/>
      <c r="AZ201" s="82"/>
      <c r="BA201" s="82"/>
      <c r="BB201" s="82"/>
      <c r="BC201" s="82"/>
      <c r="BD201" s="82"/>
      <c r="BE201" s="82"/>
      <c r="BF201" s="82"/>
      <c r="BG201" s="82"/>
      <c r="BH201" s="82"/>
      <c r="BI201" s="82"/>
      <c r="BJ201" s="82"/>
      <c r="BK201" s="82"/>
      <c r="BL201" s="82"/>
      <c r="BM201" s="82"/>
      <c r="BN201" s="82"/>
      <c r="BO201" s="81"/>
      <c r="BP201" s="81"/>
    </row>
    <row r="202" spans="11:68" x14ac:dyDescent="0.3"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  <c r="AA202" s="82"/>
      <c r="AB202" s="82"/>
      <c r="AC202" s="82"/>
      <c r="AD202" s="82"/>
      <c r="AE202" s="82"/>
      <c r="AF202" s="82"/>
      <c r="AG202" s="82"/>
      <c r="AH202" s="82"/>
      <c r="AI202" s="82"/>
      <c r="AJ202" s="82"/>
      <c r="AK202" s="82"/>
      <c r="AL202" s="82"/>
      <c r="AM202" s="82"/>
      <c r="AN202" s="82"/>
      <c r="AO202" s="82"/>
      <c r="AP202" s="82"/>
      <c r="AQ202" s="82"/>
      <c r="AR202" s="82"/>
      <c r="AS202" s="82"/>
      <c r="AT202" s="82"/>
      <c r="AU202" s="82"/>
      <c r="AV202" s="82"/>
      <c r="AW202" s="82"/>
      <c r="AX202" s="82"/>
      <c r="AY202" s="82"/>
      <c r="AZ202" s="82"/>
      <c r="BA202" s="82"/>
      <c r="BB202" s="82"/>
      <c r="BC202" s="82"/>
      <c r="BD202" s="82"/>
      <c r="BE202" s="82"/>
      <c r="BF202" s="82"/>
      <c r="BG202" s="82"/>
      <c r="BH202" s="82"/>
      <c r="BI202" s="82"/>
      <c r="BJ202" s="82"/>
      <c r="BK202" s="82"/>
      <c r="BL202" s="82"/>
      <c r="BM202" s="82"/>
      <c r="BN202" s="82"/>
      <c r="BO202" s="81"/>
      <c r="BP202" s="81"/>
    </row>
    <row r="203" spans="11:68" x14ac:dyDescent="0.3"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  <c r="AA203" s="82"/>
      <c r="AB203" s="82"/>
      <c r="AC203" s="82"/>
      <c r="AD203" s="82"/>
      <c r="AE203" s="82"/>
      <c r="AF203" s="82"/>
      <c r="AG203" s="82"/>
      <c r="AH203" s="82"/>
      <c r="AI203" s="82"/>
      <c r="AJ203" s="82"/>
      <c r="AK203" s="82"/>
      <c r="AL203" s="82"/>
      <c r="AM203" s="82"/>
      <c r="AN203" s="82"/>
      <c r="AO203" s="82"/>
      <c r="AP203" s="82"/>
      <c r="AQ203" s="82"/>
      <c r="AR203" s="82"/>
      <c r="AS203" s="82"/>
      <c r="AT203" s="82"/>
      <c r="AU203" s="82"/>
      <c r="AV203" s="82"/>
      <c r="AW203" s="82"/>
      <c r="AX203" s="82"/>
      <c r="AY203" s="82"/>
      <c r="AZ203" s="82"/>
      <c r="BA203" s="82"/>
      <c r="BB203" s="82"/>
      <c r="BC203" s="82"/>
      <c r="BD203" s="82"/>
      <c r="BE203" s="82"/>
      <c r="BF203" s="82"/>
      <c r="BG203" s="82"/>
      <c r="BH203" s="82"/>
      <c r="BI203" s="82"/>
      <c r="BJ203" s="82"/>
      <c r="BK203" s="82"/>
      <c r="BL203" s="82"/>
      <c r="BM203" s="82"/>
      <c r="BN203" s="82"/>
      <c r="BO203" s="81"/>
      <c r="BP203" s="81"/>
    </row>
    <row r="204" spans="11:68" x14ac:dyDescent="0.3"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  <c r="AC204" s="82"/>
      <c r="AD204" s="82"/>
      <c r="AE204" s="82"/>
      <c r="AF204" s="82"/>
      <c r="AG204" s="82"/>
      <c r="AH204" s="82"/>
      <c r="AI204" s="82"/>
      <c r="AJ204" s="82"/>
      <c r="AK204" s="82"/>
      <c r="AL204" s="82"/>
      <c r="AM204" s="82"/>
      <c r="AN204" s="82"/>
      <c r="AO204" s="82"/>
      <c r="AP204" s="82"/>
      <c r="AQ204" s="82"/>
      <c r="AR204" s="82"/>
      <c r="AS204" s="82"/>
      <c r="AT204" s="82"/>
      <c r="AU204" s="82"/>
      <c r="AV204" s="82"/>
      <c r="AW204" s="82"/>
      <c r="AX204" s="82"/>
      <c r="AY204" s="82"/>
      <c r="AZ204" s="82"/>
      <c r="BA204" s="82"/>
      <c r="BB204" s="82"/>
      <c r="BC204" s="82"/>
      <c r="BD204" s="82"/>
      <c r="BE204" s="82"/>
      <c r="BF204" s="82"/>
      <c r="BG204" s="82"/>
      <c r="BH204" s="82"/>
      <c r="BI204" s="82"/>
      <c r="BJ204" s="82"/>
      <c r="BK204" s="82"/>
      <c r="BL204" s="82"/>
      <c r="BM204" s="82"/>
      <c r="BN204" s="82"/>
      <c r="BO204" s="81"/>
      <c r="BP204" s="81"/>
    </row>
    <row r="205" spans="11:68" x14ac:dyDescent="0.3"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  <c r="AC205" s="82"/>
      <c r="AD205" s="82"/>
      <c r="AE205" s="82"/>
      <c r="AF205" s="82"/>
      <c r="AG205" s="82"/>
      <c r="AH205" s="82"/>
      <c r="AI205" s="82"/>
      <c r="AJ205" s="82"/>
      <c r="AK205" s="82"/>
      <c r="AL205" s="82"/>
      <c r="AM205" s="82"/>
      <c r="AN205" s="82"/>
      <c r="AO205" s="82"/>
      <c r="AP205" s="82"/>
      <c r="AQ205" s="82"/>
      <c r="AR205" s="82"/>
      <c r="AS205" s="82"/>
      <c r="AT205" s="82"/>
      <c r="AU205" s="82"/>
      <c r="AV205" s="82"/>
      <c r="AW205" s="82"/>
      <c r="AX205" s="82"/>
      <c r="AY205" s="82"/>
      <c r="AZ205" s="82"/>
      <c r="BA205" s="82"/>
      <c r="BB205" s="82"/>
      <c r="BC205" s="82"/>
      <c r="BD205" s="82"/>
      <c r="BE205" s="82"/>
      <c r="BF205" s="82"/>
      <c r="BG205" s="82"/>
      <c r="BH205" s="82"/>
      <c r="BI205" s="82"/>
      <c r="BJ205" s="82"/>
      <c r="BK205" s="82"/>
      <c r="BL205" s="82"/>
      <c r="BM205" s="82"/>
      <c r="BN205" s="82"/>
      <c r="BO205" s="81"/>
      <c r="BP205" s="81"/>
    </row>
    <row r="206" spans="11:68" x14ac:dyDescent="0.3"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  <c r="AC206" s="82"/>
      <c r="AD206" s="82"/>
      <c r="AE206" s="82"/>
      <c r="AF206" s="82"/>
      <c r="AG206" s="82"/>
      <c r="AH206" s="82"/>
      <c r="AI206" s="82"/>
      <c r="AJ206" s="82"/>
      <c r="AK206" s="82"/>
      <c r="AL206" s="82"/>
      <c r="AM206" s="82"/>
      <c r="AN206" s="82"/>
      <c r="AO206" s="82"/>
      <c r="AP206" s="82"/>
      <c r="AQ206" s="82"/>
      <c r="AR206" s="82"/>
      <c r="AS206" s="82"/>
      <c r="AT206" s="82"/>
      <c r="AU206" s="82"/>
      <c r="AV206" s="82"/>
      <c r="AW206" s="82"/>
      <c r="AX206" s="82"/>
      <c r="AY206" s="82"/>
      <c r="AZ206" s="82"/>
      <c r="BA206" s="82"/>
      <c r="BB206" s="82"/>
      <c r="BC206" s="82"/>
      <c r="BD206" s="82"/>
      <c r="BE206" s="82"/>
      <c r="BF206" s="82"/>
      <c r="BG206" s="82"/>
      <c r="BH206" s="82"/>
      <c r="BI206" s="82"/>
      <c r="BJ206" s="82"/>
      <c r="BK206" s="82"/>
      <c r="BL206" s="82"/>
      <c r="BM206" s="82"/>
      <c r="BN206" s="82"/>
      <c r="BO206" s="81"/>
      <c r="BP206" s="81"/>
    </row>
    <row r="207" spans="11:68" x14ac:dyDescent="0.3"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  <c r="AA207" s="82"/>
      <c r="AB207" s="82"/>
      <c r="AC207" s="82"/>
      <c r="AD207" s="82"/>
      <c r="AE207" s="82"/>
      <c r="AF207" s="82"/>
      <c r="AG207" s="82"/>
      <c r="AH207" s="82"/>
      <c r="AI207" s="82"/>
      <c r="AJ207" s="82"/>
      <c r="AK207" s="82"/>
      <c r="AL207" s="82"/>
      <c r="AM207" s="82"/>
      <c r="AN207" s="82"/>
      <c r="AO207" s="82"/>
      <c r="AP207" s="82"/>
      <c r="AQ207" s="82"/>
      <c r="AR207" s="82"/>
      <c r="AS207" s="82"/>
      <c r="AT207" s="82"/>
      <c r="AU207" s="82"/>
      <c r="AV207" s="82"/>
      <c r="AW207" s="82"/>
      <c r="AX207" s="82"/>
      <c r="AY207" s="82"/>
      <c r="AZ207" s="82"/>
      <c r="BA207" s="82"/>
      <c r="BB207" s="82"/>
      <c r="BC207" s="82"/>
      <c r="BD207" s="82"/>
      <c r="BE207" s="82"/>
      <c r="BF207" s="82"/>
      <c r="BG207" s="82"/>
      <c r="BH207" s="82"/>
      <c r="BI207" s="82"/>
      <c r="BJ207" s="82"/>
      <c r="BK207" s="82"/>
      <c r="BL207" s="82"/>
      <c r="BM207" s="82"/>
      <c r="BN207" s="82"/>
      <c r="BO207" s="81"/>
      <c r="BP207" s="81"/>
    </row>
    <row r="208" spans="11:68" x14ac:dyDescent="0.3"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  <c r="AC208" s="82"/>
      <c r="AD208" s="82"/>
      <c r="AE208" s="82"/>
      <c r="AF208" s="82"/>
      <c r="AG208" s="82"/>
      <c r="AH208" s="82"/>
      <c r="AI208" s="82"/>
      <c r="AJ208" s="82"/>
      <c r="AK208" s="82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2"/>
      <c r="AW208" s="82"/>
      <c r="AX208" s="82"/>
      <c r="AY208" s="82"/>
      <c r="AZ208" s="82"/>
      <c r="BA208" s="82"/>
      <c r="BB208" s="82"/>
      <c r="BC208" s="82"/>
      <c r="BD208" s="82"/>
      <c r="BE208" s="82"/>
      <c r="BF208" s="82"/>
      <c r="BG208" s="82"/>
      <c r="BH208" s="82"/>
      <c r="BI208" s="82"/>
      <c r="BJ208" s="82"/>
      <c r="BK208" s="82"/>
      <c r="BL208" s="82"/>
      <c r="BM208" s="82"/>
      <c r="BN208" s="82"/>
      <c r="BO208" s="81"/>
      <c r="BP208" s="81"/>
    </row>
    <row r="209" spans="11:68" x14ac:dyDescent="0.3"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  <c r="AC209" s="82"/>
      <c r="AD209" s="82"/>
      <c r="AE209" s="82"/>
      <c r="AF209" s="82"/>
      <c r="AG209" s="82"/>
      <c r="AH209" s="82"/>
      <c r="AI209" s="82"/>
      <c r="AJ209" s="82"/>
      <c r="AK209" s="82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2"/>
      <c r="AW209" s="82"/>
      <c r="AX209" s="82"/>
      <c r="AY209" s="82"/>
      <c r="AZ209" s="82"/>
      <c r="BA209" s="82"/>
      <c r="BB209" s="82"/>
      <c r="BC209" s="82"/>
      <c r="BD209" s="82"/>
      <c r="BE209" s="82"/>
      <c r="BF209" s="82"/>
      <c r="BG209" s="82"/>
      <c r="BH209" s="82"/>
      <c r="BI209" s="82"/>
      <c r="BJ209" s="82"/>
      <c r="BK209" s="82"/>
      <c r="BL209" s="82"/>
      <c r="BM209" s="82"/>
      <c r="BN209" s="82"/>
      <c r="BO209" s="81"/>
      <c r="BP209" s="81"/>
    </row>
    <row r="210" spans="11:68" x14ac:dyDescent="0.3"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  <c r="AC210" s="82"/>
      <c r="AD210" s="82"/>
      <c r="AE210" s="82"/>
      <c r="AF210" s="82"/>
      <c r="AG210" s="82"/>
      <c r="AH210" s="82"/>
      <c r="AI210" s="82"/>
      <c r="AJ210" s="82"/>
      <c r="AK210" s="82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2"/>
      <c r="AW210" s="82"/>
      <c r="AX210" s="82"/>
      <c r="AY210" s="82"/>
      <c r="AZ210" s="82"/>
      <c r="BA210" s="82"/>
      <c r="BB210" s="82"/>
      <c r="BC210" s="82"/>
      <c r="BD210" s="82"/>
      <c r="BE210" s="82"/>
      <c r="BF210" s="82"/>
      <c r="BG210" s="82"/>
      <c r="BH210" s="82"/>
      <c r="BI210" s="82"/>
      <c r="BJ210" s="82"/>
      <c r="BK210" s="82"/>
      <c r="BL210" s="82"/>
      <c r="BM210" s="82"/>
      <c r="BN210" s="82"/>
      <c r="BO210" s="81"/>
      <c r="BP210" s="81"/>
    </row>
    <row r="211" spans="11:68" x14ac:dyDescent="0.3"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  <c r="AC211" s="82"/>
      <c r="AD211" s="82"/>
      <c r="AE211" s="82"/>
      <c r="AF211" s="82"/>
      <c r="AG211" s="82"/>
      <c r="AH211" s="82"/>
      <c r="AI211" s="82"/>
      <c r="AJ211" s="82"/>
      <c r="AK211" s="82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2"/>
      <c r="AW211" s="82"/>
      <c r="AX211" s="82"/>
      <c r="AY211" s="82"/>
      <c r="AZ211" s="82"/>
      <c r="BA211" s="82"/>
      <c r="BB211" s="82"/>
      <c r="BC211" s="82"/>
      <c r="BD211" s="82"/>
      <c r="BE211" s="82"/>
      <c r="BF211" s="82"/>
      <c r="BG211" s="82"/>
      <c r="BH211" s="82"/>
      <c r="BI211" s="82"/>
      <c r="BJ211" s="82"/>
      <c r="BK211" s="82"/>
      <c r="BL211" s="82"/>
      <c r="BM211" s="82"/>
      <c r="BN211" s="82"/>
      <c r="BO211" s="81"/>
      <c r="BP211" s="81"/>
    </row>
    <row r="212" spans="11:68" x14ac:dyDescent="0.3"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  <c r="AA212" s="82"/>
      <c r="AB212" s="82"/>
      <c r="AC212" s="82"/>
      <c r="AD212" s="82"/>
      <c r="AE212" s="82"/>
      <c r="AF212" s="82"/>
      <c r="AG212" s="82"/>
      <c r="AH212" s="82"/>
      <c r="AI212" s="82"/>
      <c r="AJ212" s="82"/>
      <c r="AK212" s="82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2"/>
      <c r="AW212" s="82"/>
      <c r="AX212" s="82"/>
      <c r="AY212" s="82"/>
      <c r="AZ212" s="82"/>
      <c r="BA212" s="82"/>
      <c r="BB212" s="82"/>
      <c r="BC212" s="82"/>
      <c r="BD212" s="82"/>
      <c r="BE212" s="82"/>
      <c r="BF212" s="82"/>
      <c r="BG212" s="82"/>
      <c r="BH212" s="82"/>
      <c r="BI212" s="82"/>
      <c r="BJ212" s="82"/>
      <c r="BK212" s="82"/>
      <c r="BL212" s="82"/>
      <c r="BM212" s="82"/>
      <c r="BN212" s="82"/>
      <c r="BO212" s="81"/>
      <c r="BP212" s="81"/>
    </row>
    <row r="213" spans="11:68" x14ac:dyDescent="0.3"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  <c r="AA213" s="82"/>
      <c r="AB213" s="82"/>
      <c r="AC213" s="82"/>
      <c r="AD213" s="82"/>
      <c r="AE213" s="82"/>
      <c r="AF213" s="82"/>
      <c r="AG213" s="82"/>
      <c r="AH213" s="82"/>
      <c r="AI213" s="82"/>
      <c r="AJ213" s="82"/>
      <c r="AK213" s="82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2"/>
      <c r="AW213" s="82"/>
      <c r="AX213" s="82"/>
      <c r="AY213" s="82"/>
      <c r="AZ213" s="82"/>
      <c r="BA213" s="82"/>
      <c r="BB213" s="82"/>
      <c r="BC213" s="82"/>
      <c r="BD213" s="82"/>
      <c r="BE213" s="82"/>
      <c r="BF213" s="82"/>
      <c r="BG213" s="82"/>
      <c r="BH213" s="82"/>
      <c r="BI213" s="82"/>
      <c r="BJ213" s="82"/>
      <c r="BK213" s="82"/>
      <c r="BL213" s="82"/>
      <c r="BM213" s="82"/>
      <c r="BN213" s="82"/>
      <c r="BO213" s="81"/>
      <c r="BP213" s="81"/>
    </row>
    <row r="214" spans="11:68" x14ac:dyDescent="0.3"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  <c r="AA214" s="82"/>
      <c r="AB214" s="82"/>
      <c r="AC214" s="82"/>
      <c r="AD214" s="82"/>
      <c r="AE214" s="82"/>
      <c r="AF214" s="82"/>
      <c r="AG214" s="82"/>
      <c r="AH214" s="82"/>
      <c r="AI214" s="82"/>
      <c r="AJ214" s="82"/>
      <c r="AK214" s="82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2"/>
      <c r="AW214" s="82"/>
      <c r="AX214" s="82"/>
      <c r="AY214" s="82"/>
      <c r="AZ214" s="82"/>
      <c r="BA214" s="82"/>
      <c r="BB214" s="82"/>
      <c r="BC214" s="82"/>
      <c r="BD214" s="82"/>
      <c r="BE214" s="82"/>
      <c r="BF214" s="82"/>
      <c r="BG214" s="82"/>
      <c r="BH214" s="82"/>
      <c r="BI214" s="82"/>
      <c r="BJ214" s="82"/>
      <c r="BK214" s="82"/>
      <c r="BL214" s="82"/>
      <c r="BM214" s="82"/>
      <c r="BN214" s="82"/>
      <c r="BO214" s="81"/>
      <c r="BP214" s="81"/>
    </row>
    <row r="215" spans="11:68" x14ac:dyDescent="0.3"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  <c r="AA215" s="82"/>
      <c r="AB215" s="82"/>
      <c r="AC215" s="82"/>
      <c r="AD215" s="82"/>
      <c r="AE215" s="82"/>
      <c r="AF215" s="82"/>
      <c r="AG215" s="82"/>
      <c r="AH215" s="82"/>
      <c r="AI215" s="82"/>
      <c r="AJ215" s="82"/>
      <c r="AK215" s="82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2"/>
      <c r="AW215" s="82"/>
      <c r="AX215" s="82"/>
      <c r="AY215" s="82"/>
      <c r="AZ215" s="82"/>
      <c r="BA215" s="82"/>
      <c r="BB215" s="82"/>
      <c r="BC215" s="82"/>
      <c r="BD215" s="82"/>
      <c r="BE215" s="82"/>
      <c r="BF215" s="82"/>
      <c r="BG215" s="82"/>
      <c r="BH215" s="82"/>
      <c r="BI215" s="82"/>
      <c r="BJ215" s="82"/>
      <c r="BK215" s="82"/>
      <c r="BL215" s="82"/>
      <c r="BM215" s="82"/>
      <c r="BN215" s="82"/>
      <c r="BO215" s="81"/>
      <c r="BP215" s="81"/>
    </row>
    <row r="216" spans="11:68" x14ac:dyDescent="0.3"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  <c r="AA216" s="82"/>
      <c r="AB216" s="82"/>
      <c r="AC216" s="82"/>
      <c r="AD216" s="82"/>
      <c r="AE216" s="82"/>
      <c r="AF216" s="82"/>
      <c r="AG216" s="82"/>
      <c r="AH216" s="82"/>
      <c r="AI216" s="82"/>
      <c r="AJ216" s="82"/>
      <c r="AK216" s="82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2"/>
      <c r="AW216" s="82"/>
      <c r="AX216" s="82"/>
      <c r="AY216" s="82"/>
      <c r="AZ216" s="82"/>
      <c r="BA216" s="82"/>
      <c r="BB216" s="82"/>
      <c r="BC216" s="82"/>
      <c r="BD216" s="82"/>
      <c r="BE216" s="82"/>
      <c r="BF216" s="82"/>
      <c r="BG216" s="82"/>
      <c r="BH216" s="82"/>
      <c r="BI216" s="82"/>
      <c r="BJ216" s="82"/>
      <c r="BK216" s="82"/>
      <c r="BL216" s="82"/>
      <c r="BM216" s="82"/>
      <c r="BN216" s="82"/>
      <c r="BO216" s="81"/>
      <c r="BP216" s="81"/>
    </row>
    <row r="217" spans="11:68" x14ac:dyDescent="0.3"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  <c r="AC217" s="82"/>
      <c r="AD217" s="82"/>
      <c r="AE217" s="82"/>
      <c r="AF217" s="82"/>
      <c r="AG217" s="82"/>
      <c r="AH217" s="82"/>
      <c r="AI217" s="82"/>
      <c r="AJ217" s="82"/>
      <c r="AK217" s="82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2"/>
      <c r="AW217" s="82"/>
      <c r="AX217" s="82"/>
      <c r="AY217" s="82"/>
      <c r="AZ217" s="82"/>
      <c r="BA217" s="82"/>
      <c r="BB217" s="82"/>
      <c r="BC217" s="82"/>
      <c r="BD217" s="82"/>
      <c r="BE217" s="82"/>
      <c r="BF217" s="82"/>
      <c r="BG217" s="82"/>
      <c r="BH217" s="82"/>
      <c r="BI217" s="82"/>
      <c r="BJ217" s="82"/>
      <c r="BK217" s="82"/>
      <c r="BL217" s="82"/>
      <c r="BM217" s="82"/>
      <c r="BN217" s="82"/>
      <c r="BO217" s="81"/>
      <c r="BP217" s="81"/>
    </row>
    <row r="218" spans="11:68" x14ac:dyDescent="0.3"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2"/>
      <c r="AW218" s="82"/>
      <c r="AX218" s="82"/>
      <c r="AY218" s="82"/>
      <c r="AZ218" s="82"/>
      <c r="BA218" s="82"/>
      <c r="BB218" s="82"/>
      <c r="BC218" s="82"/>
      <c r="BD218" s="82"/>
      <c r="BE218" s="82"/>
      <c r="BF218" s="82"/>
      <c r="BG218" s="82"/>
      <c r="BH218" s="82"/>
      <c r="BI218" s="82"/>
      <c r="BJ218" s="82"/>
      <c r="BK218" s="82"/>
      <c r="BL218" s="82"/>
      <c r="BM218" s="82"/>
      <c r="BN218" s="82"/>
      <c r="BO218" s="81"/>
      <c r="BP218" s="81"/>
    </row>
    <row r="219" spans="11:68" x14ac:dyDescent="0.3"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82"/>
      <c r="AD219" s="82"/>
      <c r="AE219" s="82"/>
      <c r="AF219" s="82"/>
      <c r="AG219" s="82"/>
      <c r="AH219" s="82"/>
      <c r="AI219" s="82"/>
      <c r="AJ219" s="82"/>
      <c r="AK219" s="82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2"/>
      <c r="AW219" s="82"/>
      <c r="AX219" s="82"/>
      <c r="AY219" s="82"/>
      <c r="AZ219" s="82"/>
      <c r="BA219" s="82"/>
      <c r="BB219" s="82"/>
      <c r="BC219" s="82"/>
      <c r="BD219" s="82"/>
      <c r="BE219" s="82"/>
      <c r="BF219" s="82"/>
      <c r="BG219" s="82"/>
      <c r="BH219" s="82"/>
      <c r="BI219" s="82"/>
      <c r="BJ219" s="82"/>
      <c r="BK219" s="82"/>
      <c r="BL219" s="82"/>
      <c r="BM219" s="82"/>
      <c r="BN219" s="82"/>
      <c r="BO219" s="81"/>
      <c r="BP219" s="81"/>
    </row>
    <row r="220" spans="11:68" x14ac:dyDescent="0.3"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  <c r="AA220" s="82"/>
      <c r="AB220" s="82"/>
      <c r="AC220" s="82"/>
      <c r="AD220" s="82"/>
      <c r="AE220" s="82"/>
      <c r="AF220" s="82"/>
      <c r="AG220" s="82"/>
      <c r="AH220" s="82"/>
      <c r="AI220" s="82"/>
      <c r="AJ220" s="82"/>
      <c r="AK220" s="82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2"/>
      <c r="AW220" s="82"/>
      <c r="AX220" s="82"/>
      <c r="AY220" s="82"/>
      <c r="AZ220" s="82"/>
      <c r="BA220" s="82"/>
      <c r="BB220" s="82"/>
      <c r="BC220" s="82"/>
      <c r="BD220" s="82"/>
      <c r="BE220" s="82"/>
      <c r="BF220" s="82"/>
      <c r="BG220" s="82"/>
      <c r="BH220" s="82"/>
      <c r="BI220" s="82"/>
      <c r="BJ220" s="82"/>
      <c r="BK220" s="82"/>
      <c r="BL220" s="82"/>
      <c r="BM220" s="82"/>
      <c r="BN220" s="82"/>
      <c r="BO220" s="81"/>
      <c r="BP220" s="81"/>
    </row>
    <row r="221" spans="11:68" x14ac:dyDescent="0.3"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  <c r="AB221" s="82"/>
      <c r="AC221" s="82"/>
      <c r="AD221" s="82"/>
      <c r="AE221" s="82"/>
      <c r="AF221" s="82"/>
      <c r="AG221" s="82"/>
      <c r="AH221" s="82"/>
      <c r="AI221" s="82"/>
      <c r="AJ221" s="82"/>
      <c r="AK221" s="82"/>
      <c r="AL221" s="82"/>
      <c r="AM221" s="82"/>
      <c r="AN221" s="82"/>
      <c r="AO221" s="82"/>
      <c r="AP221" s="82"/>
      <c r="AQ221" s="82"/>
      <c r="AR221" s="82"/>
      <c r="AS221" s="82"/>
      <c r="AT221" s="82"/>
      <c r="AU221" s="82"/>
      <c r="AV221" s="82"/>
      <c r="AW221" s="82"/>
      <c r="AX221" s="82"/>
      <c r="AY221" s="82"/>
      <c r="AZ221" s="82"/>
      <c r="BA221" s="82"/>
      <c r="BB221" s="82"/>
      <c r="BC221" s="82"/>
      <c r="BD221" s="82"/>
      <c r="BE221" s="82"/>
      <c r="BF221" s="82"/>
      <c r="BG221" s="82"/>
      <c r="BH221" s="82"/>
      <c r="BI221" s="82"/>
      <c r="BJ221" s="82"/>
      <c r="BK221" s="82"/>
      <c r="BL221" s="82"/>
      <c r="BM221" s="82"/>
      <c r="BN221" s="82"/>
      <c r="BO221" s="81"/>
      <c r="BP221" s="81"/>
    </row>
    <row r="222" spans="11:68" x14ac:dyDescent="0.3"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  <c r="AA222" s="82"/>
      <c r="AB222" s="82"/>
      <c r="AC222" s="82"/>
      <c r="AD222" s="82"/>
      <c r="AE222" s="82"/>
      <c r="AF222" s="82"/>
      <c r="AG222" s="82"/>
      <c r="AH222" s="82"/>
      <c r="AI222" s="82"/>
      <c r="AJ222" s="82"/>
      <c r="AK222" s="82"/>
      <c r="AL222" s="82"/>
      <c r="AM222" s="82"/>
      <c r="AN222" s="82"/>
      <c r="AO222" s="82"/>
      <c r="AP222" s="82"/>
      <c r="AQ222" s="82"/>
      <c r="AR222" s="82"/>
      <c r="AS222" s="82"/>
      <c r="AT222" s="82"/>
      <c r="AU222" s="82"/>
      <c r="AV222" s="82"/>
      <c r="AW222" s="82"/>
      <c r="AX222" s="82"/>
      <c r="AY222" s="82"/>
      <c r="AZ222" s="82"/>
      <c r="BA222" s="82"/>
      <c r="BB222" s="82"/>
      <c r="BC222" s="82"/>
      <c r="BD222" s="82"/>
      <c r="BE222" s="82"/>
      <c r="BF222" s="82"/>
      <c r="BG222" s="82"/>
      <c r="BH222" s="82"/>
      <c r="BI222" s="82"/>
      <c r="BJ222" s="82"/>
      <c r="BK222" s="82"/>
      <c r="BL222" s="82"/>
      <c r="BM222" s="82"/>
      <c r="BN222" s="82"/>
      <c r="BO222" s="81"/>
      <c r="BP222" s="81"/>
    </row>
    <row r="223" spans="11:68" x14ac:dyDescent="0.3"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  <c r="AA223" s="82"/>
      <c r="AB223" s="82"/>
      <c r="AC223" s="82"/>
      <c r="AD223" s="82"/>
      <c r="AE223" s="82"/>
      <c r="AF223" s="82"/>
      <c r="AG223" s="82"/>
      <c r="AH223" s="82"/>
      <c r="AI223" s="82"/>
      <c r="AJ223" s="82"/>
      <c r="AK223" s="82"/>
      <c r="AL223" s="82"/>
      <c r="AM223" s="82"/>
      <c r="AN223" s="82"/>
      <c r="AO223" s="82"/>
      <c r="AP223" s="82"/>
      <c r="AQ223" s="82"/>
      <c r="AR223" s="82"/>
      <c r="AS223" s="82"/>
      <c r="AT223" s="82"/>
      <c r="AU223" s="82"/>
      <c r="AV223" s="82"/>
      <c r="AW223" s="82"/>
      <c r="AX223" s="82"/>
      <c r="AY223" s="82"/>
      <c r="AZ223" s="82"/>
      <c r="BA223" s="82"/>
      <c r="BB223" s="82"/>
      <c r="BC223" s="82"/>
      <c r="BD223" s="82"/>
      <c r="BE223" s="82"/>
      <c r="BF223" s="82"/>
      <c r="BG223" s="82"/>
      <c r="BH223" s="82"/>
      <c r="BI223" s="82"/>
      <c r="BJ223" s="82"/>
      <c r="BK223" s="82"/>
      <c r="BL223" s="82"/>
      <c r="BM223" s="82"/>
      <c r="BN223" s="82"/>
      <c r="BO223" s="81"/>
      <c r="BP223" s="81"/>
    </row>
    <row r="224" spans="11:68" x14ac:dyDescent="0.3"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  <c r="AA224" s="82"/>
      <c r="AB224" s="82"/>
      <c r="AC224" s="82"/>
      <c r="AD224" s="82"/>
      <c r="AE224" s="82"/>
      <c r="AF224" s="82"/>
      <c r="AG224" s="82"/>
      <c r="AH224" s="82"/>
      <c r="AI224" s="82"/>
      <c r="AJ224" s="82"/>
      <c r="AK224" s="82"/>
      <c r="AL224" s="82"/>
      <c r="AM224" s="82"/>
      <c r="AN224" s="82"/>
      <c r="AO224" s="82"/>
      <c r="AP224" s="82"/>
      <c r="AQ224" s="82"/>
      <c r="AR224" s="82"/>
      <c r="AS224" s="82"/>
      <c r="AT224" s="82"/>
      <c r="AU224" s="82"/>
      <c r="AV224" s="82"/>
      <c r="AW224" s="82"/>
      <c r="AX224" s="82"/>
      <c r="AY224" s="82"/>
      <c r="AZ224" s="82"/>
      <c r="BA224" s="82"/>
      <c r="BB224" s="82"/>
      <c r="BC224" s="82"/>
      <c r="BD224" s="82"/>
      <c r="BE224" s="82"/>
      <c r="BF224" s="82"/>
      <c r="BG224" s="82"/>
      <c r="BH224" s="82"/>
      <c r="BI224" s="82"/>
      <c r="BJ224" s="82"/>
      <c r="BK224" s="82"/>
      <c r="BL224" s="82"/>
      <c r="BM224" s="82"/>
      <c r="BN224" s="82"/>
      <c r="BO224" s="81"/>
      <c r="BP224" s="81"/>
    </row>
    <row r="225" spans="11:68" x14ac:dyDescent="0.3"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  <c r="AB225" s="82"/>
      <c r="AC225" s="82"/>
      <c r="AD225" s="82"/>
      <c r="AE225" s="82"/>
      <c r="AF225" s="82"/>
      <c r="AG225" s="82"/>
      <c r="AH225" s="82"/>
      <c r="AI225" s="82"/>
      <c r="AJ225" s="82"/>
      <c r="AK225" s="82"/>
      <c r="AL225" s="82"/>
      <c r="AM225" s="82"/>
      <c r="AN225" s="82"/>
      <c r="AO225" s="82"/>
      <c r="AP225" s="82"/>
      <c r="AQ225" s="82"/>
      <c r="AR225" s="82"/>
      <c r="AS225" s="82"/>
      <c r="AT225" s="82"/>
      <c r="AU225" s="82"/>
      <c r="AV225" s="82"/>
      <c r="AW225" s="82"/>
      <c r="AX225" s="82"/>
      <c r="AY225" s="82"/>
      <c r="AZ225" s="82"/>
      <c r="BA225" s="82"/>
      <c r="BB225" s="82"/>
      <c r="BC225" s="82"/>
      <c r="BD225" s="82"/>
      <c r="BE225" s="82"/>
      <c r="BF225" s="82"/>
      <c r="BG225" s="82"/>
      <c r="BH225" s="82"/>
      <c r="BI225" s="82"/>
      <c r="BJ225" s="82"/>
      <c r="BK225" s="82"/>
      <c r="BL225" s="82"/>
      <c r="BM225" s="82"/>
      <c r="BN225" s="82"/>
      <c r="BO225" s="81"/>
      <c r="BP225" s="81"/>
    </row>
    <row r="226" spans="11:68" x14ac:dyDescent="0.3"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  <c r="AA226" s="82"/>
      <c r="AB226" s="82"/>
      <c r="AC226" s="82"/>
      <c r="AD226" s="82"/>
      <c r="AE226" s="82"/>
      <c r="AF226" s="82"/>
      <c r="AG226" s="82"/>
      <c r="AH226" s="82"/>
      <c r="AI226" s="82"/>
      <c r="AJ226" s="82"/>
      <c r="AK226" s="82"/>
      <c r="AL226" s="82"/>
      <c r="AM226" s="82"/>
      <c r="AN226" s="82"/>
      <c r="AO226" s="82"/>
      <c r="AP226" s="82"/>
      <c r="AQ226" s="82"/>
      <c r="AR226" s="82"/>
      <c r="AS226" s="82"/>
      <c r="AT226" s="82"/>
      <c r="AU226" s="82"/>
      <c r="AV226" s="82"/>
      <c r="AW226" s="82"/>
      <c r="AX226" s="82"/>
      <c r="AY226" s="82"/>
      <c r="AZ226" s="82"/>
      <c r="BA226" s="82"/>
      <c r="BB226" s="82"/>
      <c r="BC226" s="82"/>
      <c r="BD226" s="82"/>
      <c r="BE226" s="82"/>
      <c r="BF226" s="82"/>
      <c r="BG226" s="82"/>
      <c r="BH226" s="82"/>
      <c r="BI226" s="82"/>
      <c r="BJ226" s="82"/>
      <c r="BK226" s="82"/>
      <c r="BL226" s="82"/>
      <c r="BM226" s="82"/>
      <c r="BN226" s="82"/>
      <c r="BO226" s="81"/>
      <c r="BP226" s="81"/>
    </row>
    <row r="227" spans="11:68" x14ac:dyDescent="0.3"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  <c r="AA227" s="82"/>
      <c r="AB227" s="82"/>
      <c r="AC227" s="82"/>
      <c r="AD227" s="82"/>
      <c r="AE227" s="82"/>
      <c r="AF227" s="82"/>
      <c r="AG227" s="82"/>
      <c r="AH227" s="82"/>
      <c r="AI227" s="82"/>
      <c r="AJ227" s="82"/>
      <c r="AK227" s="82"/>
      <c r="AL227" s="82"/>
      <c r="AM227" s="82"/>
      <c r="AN227" s="82"/>
      <c r="AO227" s="82"/>
      <c r="AP227" s="82"/>
      <c r="AQ227" s="82"/>
      <c r="AR227" s="82"/>
      <c r="AS227" s="82"/>
      <c r="AT227" s="82"/>
      <c r="AU227" s="82"/>
      <c r="AV227" s="82"/>
      <c r="AW227" s="82"/>
      <c r="AX227" s="82"/>
      <c r="AY227" s="82"/>
      <c r="AZ227" s="82"/>
      <c r="BA227" s="82"/>
      <c r="BB227" s="82"/>
      <c r="BC227" s="82"/>
      <c r="BD227" s="82"/>
      <c r="BE227" s="82"/>
      <c r="BF227" s="82"/>
      <c r="BG227" s="82"/>
      <c r="BH227" s="82"/>
      <c r="BI227" s="82"/>
      <c r="BJ227" s="82"/>
      <c r="BK227" s="82"/>
      <c r="BL227" s="82"/>
      <c r="BM227" s="82"/>
      <c r="BN227" s="82"/>
      <c r="BO227" s="81"/>
      <c r="BP227" s="81"/>
    </row>
    <row r="228" spans="11:68" x14ac:dyDescent="0.3"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  <c r="AA228" s="82"/>
      <c r="AB228" s="82"/>
      <c r="AC228" s="82"/>
      <c r="AD228" s="82"/>
      <c r="AE228" s="82"/>
      <c r="AF228" s="82"/>
      <c r="AG228" s="82"/>
      <c r="AH228" s="82"/>
      <c r="AI228" s="82"/>
      <c r="AJ228" s="82"/>
      <c r="AK228" s="82"/>
      <c r="AL228" s="82"/>
      <c r="AM228" s="82"/>
      <c r="AN228" s="82"/>
      <c r="AO228" s="82"/>
      <c r="AP228" s="82"/>
      <c r="AQ228" s="82"/>
      <c r="AR228" s="82"/>
      <c r="AS228" s="82"/>
      <c r="AT228" s="82"/>
      <c r="AU228" s="82"/>
      <c r="AV228" s="82"/>
      <c r="AW228" s="82"/>
      <c r="AX228" s="82"/>
      <c r="AY228" s="82"/>
      <c r="AZ228" s="82"/>
      <c r="BA228" s="82"/>
      <c r="BB228" s="82"/>
      <c r="BC228" s="82"/>
      <c r="BD228" s="82"/>
      <c r="BE228" s="82"/>
      <c r="BF228" s="82"/>
      <c r="BG228" s="82"/>
      <c r="BH228" s="82"/>
      <c r="BI228" s="82"/>
      <c r="BJ228" s="82"/>
      <c r="BK228" s="82"/>
      <c r="BL228" s="82"/>
      <c r="BM228" s="82"/>
      <c r="BN228" s="82"/>
      <c r="BO228" s="81"/>
      <c r="BP228" s="81"/>
    </row>
    <row r="229" spans="11:68" x14ac:dyDescent="0.3"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  <c r="AA229" s="82"/>
      <c r="AB229" s="82"/>
      <c r="AC229" s="82"/>
      <c r="AD229" s="82"/>
      <c r="AE229" s="82"/>
      <c r="AF229" s="82"/>
      <c r="AG229" s="82"/>
      <c r="AH229" s="82"/>
      <c r="AI229" s="82"/>
      <c r="AJ229" s="82"/>
      <c r="AK229" s="82"/>
      <c r="AL229" s="82"/>
      <c r="AM229" s="82"/>
      <c r="AN229" s="82"/>
      <c r="AO229" s="82"/>
      <c r="AP229" s="82"/>
      <c r="AQ229" s="82"/>
      <c r="AR229" s="82"/>
      <c r="AS229" s="82"/>
      <c r="AT229" s="82"/>
      <c r="AU229" s="82"/>
      <c r="AV229" s="82"/>
      <c r="AW229" s="82"/>
      <c r="AX229" s="82"/>
      <c r="AY229" s="82"/>
      <c r="AZ229" s="82"/>
      <c r="BA229" s="82"/>
      <c r="BB229" s="82"/>
      <c r="BC229" s="82"/>
      <c r="BD229" s="82"/>
      <c r="BE229" s="82"/>
      <c r="BF229" s="82"/>
      <c r="BG229" s="82"/>
      <c r="BH229" s="82"/>
      <c r="BI229" s="82"/>
      <c r="BJ229" s="82"/>
      <c r="BK229" s="82"/>
      <c r="BL229" s="82"/>
      <c r="BM229" s="82"/>
      <c r="BN229" s="82"/>
      <c r="BO229" s="81"/>
      <c r="BP229" s="81"/>
    </row>
    <row r="230" spans="11:68" x14ac:dyDescent="0.3"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  <c r="AA230" s="82"/>
      <c r="AB230" s="82"/>
      <c r="AC230" s="82"/>
      <c r="AD230" s="82"/>
      <c r="AE230" s="82"/>
      <c r="AF230" s="82"/>
      <c r="AG230" s="82"/>
      <c r="AH230" s="82"/>
      <c r="AI230" s="82"/>
      <c r="AJ230" s="82"/>
      <c r="AK230" s="82"/>
      <c r="AL230" s="82"/>
      <c r="AM230" s="82"/>
      <c r="AN230" s="82"/>
      <c r="AO230" s="82"/>
      <c r="AP230" s="82"/>
      <c r="AQ230" s="82"/>
      <c r="AR230" s="82"/>
      <c r="AS230" s="82"/>
      <c r="AT230" s="82"/>
      <c r="AU230" s="82"/>
      <c r="AV230" s="82"/>
      <c r="AW230" s="82"/>
      <c r="AX230" s="82"/>
      <c r="AY230" s="82"/>
      <c r="AZ230" s="82"/>
      <c r="BA230" s="82"/>
      <c r="BB230" s="82"/>
      <c r="BC230" s="82"/>
      <c r="BD230" s="82"/>
      <c r="BE230" s="82"/>
      <c r="BF230" s="82"/>
      <c r="BG230" s="82"/>
      <c r="BH230" s="82"/>
      <c r="BI230" s="82"/>
      <c r="BJ230" s="82"/>
      <c r="BK230" s="82"/>
      <c r="BL230" s="82"/>
      <c r="BM230" s="82"/>
      <c r="BN230" s="82"/>
      <c r="BO230" s="81"/>
      <c r="BP230" s="81"/>
    </row>
    <row r="231" spans="11:68" x14ac:dyDescent="0.3"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  <c r="AA231" s="82"/>
      <c r="AB231" s="82"/>
      <c r="AC231" s="82"/>
      <c r="AD231" s="82"/>
      <c r="AE231" s="82"/>
      <c r="AF231" s="82"/>
      <c r="AG231" s="82"/>
      <c r="AH231" s="82"/>
      <c r="AI231" s="82"/>
      <c r="AJ231" s="82"/>
      <c r="AK231" s="82"/>
      <c r="AL231" s="82"/>
      <c r="AM231" s="82"/>
      <c r="AN231" s="82"/>
      <c r="AO231" s="82"/>
      <c r="AP231" s="82"/>
      <c r="AQ231" s="82"/>
      <c r="AR231" s="82"/>
      <c r="AS231" s="82"/>
      <c r="AT231" s="82"/>
      <c r="AU231" s="82"/>
      <c r="AV231" s="82"/>
      <c r="AW231" s="82"/>
      <c r="AX231" s="82"/>
      <c r="AY231" s="82"/>
      <c r="AZ231" s="82"/>
      <c r="BA231" s="82"/>
      <c r="BB231" s="82"/>
      <c r="BC231" s="82"/>
      <c r="BD231" s="82"/>
      <c r="BE231" s="82"/>
      <c r="BF231" s="82"/>
      <c r="BG231" s="82"/>
      <c r="BH231" s="82"/>
      <c r="BI231" s="82"/>
      <c r="BJ231" s="82"/>
      <c r="BK231" s="82"/>
      <c r="BL231" s="82"/>
      <c r="BM231" s="82"/>
      <c r="BN231" s="82"/>
      <c r="BO231" s="81"/>
      <c r="BP231" s="81"/>
    </row>
    <row r="232" spans="11:68" x14ac:dyDescent="0.3"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  <c r="AA232" s="82"/>
      <c r="AB232" s="82"/>
      <c r="AC232" s="82"/>
      <c r="AD232" s="82"/>
      <c r="AE232" s="82"/>
      <c r="AF232" s="82"/>
      <c r="AG232" s="82"/>
      <c r="AH232" s="82"/>
      <c r="AI232" s="82"/>
      <c r="AJ232" s="82"/>
      <c r="AK232" s="82"/>
      <c r="AL232" s="82"/>
      <c r="AM232" s="82"/>
      <c r="AN232" s="82"/>
      <c r="AO232" s="82"/>
      <c r="AP232" s="82"/>
      <c r="AQ232" s="82"/>
      <c r="AR232" s="82"/>
      <c r="AS232" s="82"/>
      <c r="AT232" s="82"/>
      <c r="AU232" s="82"/>
      <c r="AV232" s="82"/>
      <c r="AW232" s="82"/>
      <c r="AX232" s="82"/>
      <c r="AY232" s="82"/>
      <c r="AZ232" s="82"/>
      <c r="BA232" s="82"/>
      <c r="BB232" s="82"/>
      <c r="BC232" s="82"/>
      <c r="BD232" s="82"/>
      <c r="BE232" s="82"/>
      <c r="BF232" s="82"/>
      <c r="BG232" s="82"/>
      <c r="BH232" s="82"/>
      <c r="BI232" s="82"/>
      <c r="BJ232" s="82"/>
      <c r="BK232" s="82"/>
      <c r="BL232" s="82"/>
      <c r="BM232" s="82"/>
      <c r="BN232" s="82"/>
      <c r="BO232" s="81"/>
      <c r="BP232" s="81"/>
    </row>
    <row r="233" spans="11:68" x14ac:dyDescent="0.3"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  <c r="AA233" s="82"/>
      <c r="AB233" s="82"/>
      <c r="AC233" s="82"/>
      <c r="AD233" s="82"/>
      <c r="AE233" s="82"/>
      <c r="AF233" s="82"/>
      <c r="AG233" s="82"/>
      <c r="AH233" s="82"/>
      <c r="AI233" s="82"/>
      <c r="AJ233" s="82"/>
      <c r="AK233" s="82"/>
      <c r="AL233" s="82"/>
      <c r="AM233" s="82"/>
      <c r="AN233" s="82"/>
      <c r="AO233" s="82"/>
      <c r="AP233" s="82"/>
      <c r="AQ233" s="82"/>
      <c r="AR233" s="82"/>
      <c r="AS233" s="82"/>
      <c r="AT233" s="82"/>
      <c r="AU233" s="82"/>
      <c r="AV233" s="82"/>
      <c r="AW233" s="82"/>
      <c r="AX233" s="82"/>
      <c r="AY233" s="82"/>
      <c r="AZ233" s="82"/>
      <c r="BA233" s="82"/>
      <c r="BB233" s="82"/>
      <c r="BC233" s="82"/>
      <c r="BD233" s="82"/>
      <c r="BE233" s="82"/>
      <c r="BF233" s="82"/>
      <c r="BG233" s="82"/>
      <c r="BH233" s="82"/>
      <c r="BI233" s="82"/>
      <c r="BJ233" s="82"/>
      <c r="BK233" s="82"/>
      <c r="BL233" s="82"/>
      <c r="BM233" s="82"/>
      <c r="BN233" s="82"/>
      <c r="BO233" s="81"/>
      <c r="BP233" s="81"/>
    </row>
    <row r="234" spans="11:68" x14ac:dyDescent="0.3"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82"/>
      <c r="AD234" s="82"/>
      <c r="AE234" s="82"/>
      <c r="AF234" s="82"/>
      <c r="AG234" s="82"/>
      <c r="AH234" s="82"/>
      <c r="AI234" s="82"/>
      <c r="AJ234" s="82"/>
      <c r="AK234" s="82"/>
      <c r="AL234" s="82"/>
      <c r="AM234" s="82"/>
      <c r="AN234" s="82"/>
      <c r="AO234" s="82"/>
      <c r="AP234" s="82"/>
      <c r="AQ234" s="82"/>
      <c r="AR234" s="82"/>
      <c r="AS234" s="82"/>
      <c r="AT234" s="82"/>
      <c r="AU234" s="82"/>
      <c r="AV234" s="82"/>
      <c r="AW234" s="82"/>
      <c r="AX234" s="82"/>
      <c r="AY234" s="82"/>
      <c r="AZ234" s="82"/>
      <c r="BA234" s="82"/>
      <c r="BB234" s="82"/>
      <c r="BC234" s="82"/>
      <c r="BD234" s="82"/>
      <c r="BE234" s="82"/>
      <c r="BF234" s="82"/>
      <c r="BG234" s="82"/>
      <c r="BH234" s="82"/>
      <c r="BI234" s="82"/>
      <c r="BJ234" s="82"/>
      <c r="BK234" s="82"/>
      <c r="BL234" s="82"/>
      <c r="BM234" s="82"/>
      <c r="BN234" s="82"/>
      <c r="BO234" s="81"/>
      <c r="BP234" s="81"/>
    </row>
    <row r="235" spans="11:68" x14ac:dyDescent="0.3">
      <c r="K235" s="82"/>
      <c r="L235" s="82"/>
      <c r="M235" s="82"/>
      <c r="N235" s="82"/>
      <c r="O235" s="82"/>
      <c r="P235" s="82"/>
      <c r="Q235" s="82"/>
      <c r="R235" s="82"/>
      <c r="S235" s="82"/>
      <c r="T235" s="82"/>
      <c r="U235" s="82"/>
      <c r="V235" s="82"/>
      <c r="W235" s="82"/>
      <c r="X235" s="82"/>
      <c r="Y235" s="82"/>
      <c r="Z235" s="82"/>
      <c r="AA235" s="82"/>
      <c r="AB235" s="82"/>
      <c r="AC235" s="82"/>
      <c r="AD235" s="82"/>
      <c r="AE235" s="82"/>
      <c r="AF235" s="82"/>
      <c r="AG235" s="82"/>
      <c r="AH235" s="82"/>
      <c r="AI235" s="82"/>
      <c r="AJ235" s="82"/>
      <c r="AK235" s="82"/>
      <c r="AL235" s="82"/>
      <c r="AM235" s="82"/>
      <c r="AN235" s="82"/>
      <c r="AO235" s="82"/>
      <c r="AP235" s="82"/>
      <c r="AQ235" s="82"/>
      <c r="AR235" s="82"/>
      <c r="AS235" s="82"/>
      <c r="AT235" s="82"/>
      <c r="AU235" s="82"/>
      <c r="AV235" s="82"/>
      <c r="AW235" s="82"/>
      <c r="AX235" s="82"/>
      <c r="AY235" s="82"/>
      <c r="AZ235" s="82"/>
      <c r="BA235" s="82"/>
      <c r="BB235" s="82"/>
      <c r="BC235" s="82"/>
      <c r="BD235" s="82"/>
      <c r="BE235" s="82"/>
      <c r="BF235" s="82"/>
      <c r="BG235" s="82"/>
      <c r="BH235" s="82"/>
      <c r="BI235" s="82"/>
      <c r="BJ235" s="82"/>
      <c r="BK235" s="82"/>
      <c r="BL235" s="82"/>
      <c r="BM235" s="82"/>
      <c r="BN235" s="82"/>
      <c r="BO235" s="81"/>
      <c r="BP235" s="81"/>
    </row>
    <row r="236" spans="11:68" x14ac:dyDescent="0.3">
      <c r="K236" s="82"/>
      <c r="L236" s="82"/>
      <c r="M236" s="82"/>
      <c r="N236" s="82"/>
      <c r="O236" s="82"/>
      <c r="P236" s="82"/>
      <c r="Q236" s="82"/>
      <c r="R236" s="82"/>
      <c r="S236" s="82"/>
      <c r="T236" s="82"/>
      <c r="U236" s="82"/>
      <c r="V236" s="82"/>
      <c r="W236" s="82"/>
      <c r="X236" s="82"/>
      <c r="Y236" s="82"/>
      <c r="Z236" s="82"/>
      <c r="AA236" s="82"/>
      <c r="AB236" s="82"/>
      <c r="AC236" s="82"/>
      <c r="AD236" s="82"/>
      <c r="AE236" s="82"/>
      <c r="AF236" s="82"/>
      <c r="AG236" s="82"/>
      <c r="AH236" s="82"/>
      <c r="AI236" s="82"/>
      <c r="AJ236" s="82"/>
      <c r="AK236" s="82"/>
      <c r="AL236" s="82"/>
      <c r="AM236" s="82"/>
      <c r="AN236" s="82"/>
      <c r="AO236" s="82"/>
      <c r="AP236" s="82"/>
      <c r="AQ236" s="82"/>
      <c r="AR236" s="82"/>
      <c r="AS236" s="82"/>
      <c r="AT236" s="82"/>
      <c r="AU236" s="82"/>
      <c r="AV236" s="82"/>
      <c r="AW236" s="82"/>
      <c r="AX236" s="82"/>
      <c r="AY236" s="82"/>
      <c r="AZ236" s="82"/>
      <c r="BA236" s="82"/>
      <c r="BB236" s="82"/>
      <c r="BC236" s="82"/>
      <c r="BD236" s="82"/>
      <c r="BE236" s="82"/>
      <c r="BF236" s="82"/>
      <c r="BG236" s="82"/>
      <c r="BH236" s="82"/>
      <c r="BI236" s="82"/>
      <c r="BJ236" s="82"/>
      <c r="BK236" s="82"/>
      <c r="BL236" s="82"/>
      <c r="BM236" s="82"/>
      <c r="BN236" s="82"/>
      <c r="BO236" s="81"/>
      <c r="BP236" s="81"/>
    </row>
    <row r="237" spans="11:68" x14ac:dyDescent="0.3"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  <c r="AC237" s="82"/>
      <c r="AD237" s="82"/>
      <c r="AE237" s="82"/>
      <c r="AF237" s="82"/>
      <c r="AG237" s="82"/>
      <c r="AH237" s="82"/>
      <c r="AI237" s="82"/>
      <c r="AJ237" s="82"/>
      <c r="AK237" s="82"/>
      <c r="AL237" s="82"/>
      <c r="AM237" s="82"/>
      <c r="AN237" s="82"/>
      <c r="AO237" s="82"/>
      <c r="AP237" s="82"/>
      <c r="AQ237" s="82"/>
      <c r="AR237" s="82"/>
      <c r="AS237" s="82"/>
      <c r="AT237" s="82"/>
      <c r="AU237" s="82"/>
      <c r="AV237" s="82"/>
      <c r="AW237" s="82"/>
      <c r="AX237" s="82"/>
      <c r="AY237" s="82"/>
      <c r="AZ237" s="82"/>
      <c r="BA237" s="82"/>
      <c r="BB237" s="82"/>
      <c r="BC237" s="82"/>
      <c r="BD237" s="82"/>
      <c r="BE237" s="82"/>
      <c r="BF237" s="82"/>
      <c r="BG237" s="82"/>
      <c r="BH237" s="82"/>
      <c r="BI237" s="82"/>
      <c r="BJ237" s="82"/>
      <c r="BK237" s="82"/>
      <c r="BL237" s="82"/>
      <c r="BM237" s="82"/>
      <c r="BN237" s="82"/>
      <c r="BO237" s="81"/>
      <c r="BP237" s="81"/>
    </row>
    <row r="238" spans="11:68" x14ac:dyDescent="0.3"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  <c r="AA238" s="82"/>
      <c r="AB238" s="82"/>
      <c r="AC238" s="82"/>
      <c r="AD238" s="82"/>
      <c r="AE238" s="82"/>
      <c r="AF238" s="82"/>
      <c r="AG238" s="82"/>
      <c r="AH238" s="82"/>
      <c r="AI238" s="82"/>
      <c r="AJ238" s="82"/>
      <c r="AK238" s="82"/>
      <c r="AL238" s="82"/>
      <c r="AM238" s="82"/>
      <c r="AN238" s="82"/>
      <c r="AO238" s="82"/>
      <c r="AP238" s="82"/>
      <c r="AQ238" s="82"/>
      <c r="AR238" s="82"/>
      <c r="AS238" s="82"/>
      <c r="AT238" s="82"/>
      <c r="AU238" s="82"/>
      <c r="AV238" s="82"/>
      <c r="AW238" s="82"/>
      <c r="AX238" s="82"/>
      <c r="AY238" s="82"/>
      <c r="AZ238" s="82"/>
      <c r="BA238" s="82"/>
      <c r="BB238" s="82"/>
      <c r="BC238" s="82"/>
      <c r="BD238" s="82"/>
      <c r="BE238" s="82"/>
      <c r="BF238" s="82"/>
      <c r="BG238" s="82"/>
      <c r="BH238" s="82"/>
      <c r="BI238" s="82"/>
      <c r="BJ238" s="82"/>
      <c r="BK238" s="82"/>
      <c r="BL238" s="82"/>
      <c r="BM238" s="82"/>
      <c r="BN238" s="82"/>
      <c r="BO238" s="81"/>
      <c r="BP238" s="81"/>
    </row>
    <row r="239" spans="11:68" x14ac:dyDescent="0.3"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  <c r="AA239" s="82"/>
      <c r="AB239" s="82"/>
      <c r="AC239" s="82"/>
      <c r="AD239" s="82"/>
      <c r="AE239" s="82"/>
      <c r="AF239" s="82"/>
      <c r="AG239" s="82"/>
      <c r="AH239" s="82"/>
      <c r="AI239" s="82"/>
      <c r="AJ239" s="82"/>
      <c r="AK239" s="82"/>
      <c r="AL239" s="82"/>
      <c r="AM239" s="82"/>
      <c r="AN239" s="82"/>
      <c r="AO239" s="82"/>
      <c r="AP239" s="82"/>
      <c r="AQ239" s="82"/>
      <c r="AR239" s="82"/>
      <c r="AS239" s="82"/>
      <c r="AT239" s="82"/>
      <c r="AU239" s="82"/>
      <c r="AV239" s="82"/>
      <c r="AW239" s="82"/>
      <c r="AX239" s="82"/>
      <c r="AY239" s="82"/>
      <c r="AZ239" s="82"/>
      <c r="BA239" s="82"/>
      <c r="BB239" s="82"/>
      <c r="BC239" s="82"/>
      <c r="BD239" s="82"/>
      <c r="BE239" s="82"/>
      <c r="BF239" s="82"/>
      <c r="BG239" s="82"/>
      <c r="BH239" s="82"/>
      <c r="BI239" s="82"/>
      <c r="BJ239" s="82"/>
      <c r="BK239" s="82"/>
      <c r="BL239" s="82"/>
      <c r="BM239" s="82"/>
      <c r="BN239" s="82"/>
      <c r="BO239" s="81"/>
      <c r="BP239" s="81"/>
    </row>
    <row r="240" spans="11:68" x14ac:dyDescent="0.3"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  <c r="AA240" s="82"/>
      <c r="AB240" s="82"/>
      <c r="AC240" s="82"/>
      <c r="AD240" s="82"/>
      <c r="AE240" s="82"/>
      <c r="AF240" s="82"/>
      <c r="AG240" s="82"/>
      <c r="AH240" s="82"/>
      <c r="AI240" s="82"/>
      <c r="AJ240" s="82"/>
      <c r="AK240" s="82"/>
      <c r="AL240" s="82"/>
      <c r="AM240" s="82"/>
      <c r="AN240" s="82"/>
      <c r="AO240" s="82"/>
      <c r="AP240" s="82"/>
      <c r="AQ240" s="82"/>
      <c r="AR240" s="82"/>
      <c r="AS240" s="82"/>
      <c r="AT240" s="82"/>
      <c r="AU240" s="82"/>
      <c r="AV240" s="82"/>
      <c r="AW240" s="82"/>
      <c r="AX240" s="82"/>
      <c r="AY240" s="82"/>
      <c r="AZ240" s="82"/>
      <c r="BA240" s="82"/>
      <c r="BB240" s="82"/>
      <c r="BC240" s="82"/>
      <c r="BD240" s="82"/>
      <c r="BE240" s="82"/>
      <c r="BF240" s="82"/>
      <c r="BG240" s="82"/>
      <c r="BH240" s="82"/>
      <c r="BI240" s="82"/>
      <c r="BJ240" s="82"/>
      <c r="BK240" s="82"/>
      <c r="BL240" s="82"/>
      <c r="BM240" s="82"/>
      <c r="BN240" s="82"/>
      <c r="BO240" s="81"/>
      <c r="BP240" s="81"/>
    </row>
    <row r="241" spans="11:68" x14ac:dyDescent="0.3"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  <c r="AA241" s="82"/>
      <c r="AB241" s="82"/>
      <c r="AC241" s="82"/>
      <c r="AD241" s="82"/>
      <c r="AE241" s="82"/>
      <c r="AF241" s="82"/>
      <c r="AG241" s="82"/>
      <c r="AH241" s="82"/>
      <c r="AI241" s="82"/>
      <c r="AJ241" s="82"/>
      <c r="AK241" s="82"/>
      <c r="AL241" s="82"/>
      <c r="AM241" s="82"/>
      <c r="AN241" s="82"/>
      <c r="AO241" s="82"/>
      <c r="AP241" s="82"/>
      <c r="AQ241" s="82"/>
      <c r="AR241" s="82"/>
      <c r="AS241" s="82"/>
      <c r="AT241" s="82"/>
      <c r="AU241" s="82"/>
      <c r="AV241" s="82"/>
      <c r="AW241" s="82"/>
      <c r="AX241" s="82"/>
      <c r="AY241" s="82"/>
      <c r="AZ241" s="82"/>
      <c r="BA241" s="82"/>
      <c r="BB241" s="82"/>
      <c r="BC241" s="82"/>
      <c r="BD241" s="82"/>
      <c r="BE241" s="82"/>
      <c r="BF241" s="82"/>
      <c r="BG241" s="82"/>
      <c r="BH241" s="82"/>
      <c r="BI241" s="82"/>
      <c r="BJ241" s="82"/>
      <c r="BK241" s="82"/>
      <c r="BL241" s="82"/>
      <c r="BM241" s="82"/>
      <c r="BN241" s="82"/>
      <c r="BO241" s="81"/>
      <c r="BP241" s="81"/>
    </row>
    <row r="242" spans="11:68" x14ac:dyDescent="0.3">
      <c r="K242" s="82"/>
      <c r="L242" s="82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82"/>
      <c r="Z242" s="82"/>
      <c r="AA242" s="82"/>
      <c r="AB242" s="82"/>
      <c r="AC242" s="82"/>
      <c r="AD242" s="82"/>
      <c r="AE242" s="82"/>
      <c r="AF242" s="82"/>
      <c r="AG242" s="82"/>
      <c r="AH242" s="82"/>
      <c r="AI242" s="82"/>
      <c r="AJ242" s="82"/>
      <c r="AK242" s="82"/>
      <c r="AL242" s="82"/>
      <c r="AM242" s="82"/>
      <c r="AN242" s="82"/>
      <c r="AO242" s="82"/>
      <c r="AP242" s="82"/>
      <c r="AQ242" s="82"/>
      <c r="AR242" s="82"/>
      <c r="AS242" s="82"/>
      <c r="AT242" s="82"/>
      <c r="AU242" s="82"/>
      <c r="AV242" s="82"/>
      <c r="AW242" s="82"/>
      <c r="AX242" s="82"/>
      <c r="AY242" s="82"/>
      <c r="AZ242" s="82"/>
      <c r="BA242" s="82"/>
      <c r="BB242" s="82"/>
      <c r="BC242" s="82"/>
      <c r="BD242" s="82"/>
      <c r="BE242" s="82"/>
      <c r="BF242" s="82"/>
      <c r="BG242" s="82"/>
      <c r="BH242" s="82"/>
      <c r="BI242" s="82"/>
      <c r="BJ242" s="82"/>
      <c r="BK242" s="82"/>
      <c r="BL242" s="82"/>
      <c r="BM242" s="82"/>
      <c r="BN242" s="82"/>
      <c r="BO242" s="81"/>
      <c r="BP242" s="81"/>
    </row>
    <row r="243" spans="11:68" x14ac:dyDescent="0.3"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  <c r="AB243" s="82"/>
      <c r="AC243" s="82"/>
      <c r="AD243" s="82"/>
      <c r="AE243" s="82"/>
      <c r="AF243" s="82"/>
      <c r="AG243" s="82"/>
      <c r="AH243" s="82"/>
      <c r="AI243" s="82"/>
      <c r="AJ243" s="82"/>
      <c r="AK243" s="82"/>
      <c r="AL243" s="82"/>
      <c r="AM243" s="82"/>
      <c r="AN243" s="82"/>
      <c r="AO243" s="82"/>
      <c r="AP243" s="82"/>
      <c r="AQ243" s="82"/>
      <c r="AR243" s="82"/>
      <c r="AS243" s="82"/>
      <c r="AT243" s="82"/>
      <c r="AU243" s="82"/>
      <c r="AV243" s="82"/>
      <c r="AW243" s="82"/>
      <c r="AX243" s="82"/>
      <c r="AY243" s="82"/>
      <c r="AZ243" s="82"/>
      <c r="BA243" s="82"/>
      <c r="BB243" s="82"/>
      <c r="BC243" s="82"/>
      <c r="BD243" s="82"/>
      <c r="BE243" s="82"/>
      <c r="BF243" s="82"/>
      <c r="BG243" s="82"/>
      <c r="BH243" s="82"/>
      <c r="BI243" s="82"/>
      <c r="BJ243" s="82"/>
      <c r="BK243" s="82"/>
      <c r="BL243" s="82"/>
      <c r="BM243" s="82"/>
      <c r="BN243" s="82"/>
      <c r="BO243" s="81"/>
      <c r="BP243" s="81"/>
    </row>
    <row r="244" spans="11:68" x14ac:dyDescent="0.3">
      <c r="K244" s="82"/>
      <c r="L244" s="82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82"/>
      <c r="Z244" s="82"/>
      <c r="AA244" s="82"/>
      <c r="AB244" s="82"/>
      <c r="AC244" s="82"/>
      <c r="AD244" s="82"/>
      <c r="AE244" s="82"/>
      <c r="AF244" s="82"/>
      <c r="AG244" s="82"/>
      <c r="AH244" s="82"/>
      <c r="AI244" s="82"/>
      <c r="AJ244" s="82"/>
      <c r="AK244" s="82"/>
      <c r="AL244" s="82"/>
      <c r="AM244" s="82"/>
      <c r="AN244" s="82"/>
      <c r="AO244" s="82"/>
      <c r="AP244" s="82"/>
      <c r="AQ244" s="82"/>
      <c r="AR244" s="82"/>
      <c r="AS244" s="82"/>
      <c r="AT244" s="82"/>
      <c r="AU244" s="82"/>
      <c r="AV244" s="82"/>
      <c r="AW244" s="82"/>
      <c r="AX244" s="82"/>
      <c r="AY244" s="82"/>
      <c r="AZ244" s="82"/>
      <c r="BA244" s="82"/>
      <c r="BB244" s="82"/>
      <c r="BC244" s="82"/>
      <c r="BD244" s="82"/>
      <c r="BE244" s="82"/>
      <c r="BF244" s="82"/>
      <c r="BG244" s="82"/>
      <c r="BH244" s="82"/>
      <c r="BI244" s="82"/>
      <c r="BJ244" s="82"/>
      <c r="BK244" s="82"/>
      <c r="BL244" s="82"/>
      <c r="BM244" s="82"/>
      <c r="BN244" s="82"/>
      <c r="BO244" s="81"/>
      <c r="BP244" s="81"/>
    </row>
    <row r="245" spans="11:68" x14ac:dyDescent="0.3">
      <c r="K245" s="82"/>
      <c r="L245" s="82"/>
      <c r="M245" s="82"/>
      <c r="N245" s="82"/>
      <c r="O245" s="82"/>
      <c r="P245" s="82"/>
      <c r="Q245" s="82"/>
      <c r="R245" s="82"/>
      <c r="S245" s="82"/>
      <c r="T245" s="82"/>
      <c r="U245" s="82"/>
      <c r="V245" s="82"/>
      <c r="W245" s="82"/>
      <c r="X245" s="82"/>
      <c r="Y245" s="82"/>
      <c r="Z245" s="82"/>
      <c r="AA245" s="82"/>
      <c r="AB245" s="82"/>
      <c r="AC245" s="82"/>
      <c r="AD245" s="82"/>
      <c r="AE245" s="82"/>
      <c r="AF245" s="82"/>
      <c r="AG245" s="82"/>
      <c r="AH245" s="82"/>
      <c r="AI245" s="82"/>
      <c r="AJ245" s="82"/>
      <c r="AK245" s="82"/>
      <c r="AL245" s="82"/>
      <c r="AM245" s="82"/>
      <c r="AN245" s="82"/>
      <c r="AO245" s="82"/>
      <c r="AP245" s="82"/>
      <c r="AQ245" s="82"/>
      <c r="AR245" s="82"/>
      <c r="AS245" s="82"/>
      <c r="AT245" s="82"/>
      <c r="AU245" s="82"/>
      <c r="AV245" s="82"/>
      <c r="AW245" s="82"/>
      <c r="AX245" s="82"/>
      <c r="AY245" s="82"/>
      <c r="AZ245" s="82"/>
      <c r="BA245" s="82"/>
      <c r="BB245" s="82"/>
      <c r="BC245" s="82"/>
      <c r="BD245" s="82"/>
      <c r="BE245" s="82"/>
      <c r="BF245" s="82"/>
      <c r="BG245" s="82"/>
      <c r="BH245" s="82"/>
      <c r="BI245" s="82"/>
      <c r="BJ245" s="82"/>
      <c r="BK245" s="82"/>
      <c r="BL245" s="82"/>
      <c r="BM245" s="82"/>
      <c r="BN245" s="82"/>
      <c r="BO245" s="81"/>
      <c r="BP245" s="81"/>
    </row>
    <row r="246" spans="11:68" x14ac:dyDescent="0.3">
      <c r="K246" s="82"/>
      <c r="L246" s="82"/>
      <c r="M246" s="82"/>
      <c r="N246" s="82"/>
      <c r="O246" s="82"/>
      <c r="P246" s="82"/>
      <c r="Q246" s="82"/>
      <c r="R246" s="82"/>
      <c r="S246" s="82"/>
      <c r="T246" s="82"/>
      <c r="U246" s="82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2"/>
      <c r="AS246" s="82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1"/>
      <c r="BP246" s="81"/>
    </row>
    <row r="247" spans="11:68" x14ac:dyDescent="0.3">
      <c r="K247" s="82"/>
      <c r="L247" s="82"/>
      <c r="M247" s="82"/>
      <c r="N247" s="82"/>
      <c r="O247" s="82"/>
      <c r="P247" s="82"/>
      <c r="Q247" s="82"/>
      <c r="R247" s="82"/>
      <c r="S247" s="82"/>
      <c r="T247" s="82"/>
      <c r="U247" s="82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2"/>
      <c r="AS247" s="82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1"/>
      <c r="BP247" s="81"/>
    </row>
    <row r="248" spans="11:68" x14ac:dyDescent="0.3">
      <c r="K248" s="82"/>
      <c r="L248" s="82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2"/>
      <c r="AS248" s="82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1"/>
      <c r="BP248" s="81"/>
    </row>
    <row r="249" spans="11:68" x14ac:dyDescent="0.3">
      <c r="K249" s="82"/>
      <c r="L249" s="82"/>
      <c r="M249" s="82"/>
      <c r="N249" s="82"/>
      <c r="O249" s="82"/>
      <c r="P249" s="82"/>
      <c r="Q249" s="82"/>
      <c r="R249" s="82"/>
      <c r="S249" s="82"/>
      <c r="T249" s="82"/>
      <c r="U249" s="82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2"/>
      <c r="AS249" s="82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1"/>
      <c r="BP249" s="81"/>
    </row>
    <row r="250" spans="11:68" x14ac:dyDescent="0.3">
      <c r="K250" s="82"/>
      <c r="L250" s="82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2"/>
      <c r="AS250" s="82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1"/>
      <c r="BP250" s="81"/>
    </row>
    <row r="251" spans="11:68" x14ac:dyDescent="0.3">
      <c r="K251" s="82"/>
      <c r="L251" s="82"/>
      <c r="M251" s="82"/>
      <c r="N251" s="82"/>
      <c r="O251" s="82"/>
      <c r="P251" s="82"/>
      <c r="Q251" s="82"/>
      <c r="R251" s="82"/>
      <c r="S251" s="82"/>
      <c r="T251" s="82"/>
      <c r="U251" s="82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2"/>
      <c r="AS251" s="82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1"/>
      <c r="BP251" s="81"/>
    </row>
    <row r="252" spans="11:68" x14ac:dyDescent="0.3"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82"/>
      <c r="AS252" s="82"/>
      <c r="AT252" s="82"/>
      <c r="AU252" s="82"/>
      <c r="AV252" s="82"/>
      <c r="AW252" s="82"/>
      <c r="AX252" s="82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2"/>
      <c r="BM252" s="82"/>
      <c r="BN252" s="82"/>
      <c r="BO252" s="81"/>
      <c r="BP252" s="81"/>
    </row>
    <row r="253" spans="11:68" x14ac:dyDescent="0.3">
      <c r="K253" s="82"/>
      <c r="L253" s="82"/>
      <c r="M253" s="82"/>
      <c r="N253" s="82"/>
      <c r="O253" s="82"/>
      <c r="P253" s="82"/>
      <c r="Q253" s="82"/>
      <c r="R253" s="82"/>
      <c r="S253" s="82"/>
      <c r="T253" s="82"/>
      <c r="U253" s="82"/>
      <c r="V253" s="82"/>
      <c r="W253" s="82"/>
      <c r="X253" s="82"/>
      <c r="Y253" s="82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82"/>
      <c r="AS253" s="82"/>
      <c r="AT253" s="82"/>
      <c r="AU253" s="82"/>
      <c r="AV253" s="82"/>
      <c r="AW253" s="82"/>
      <c r="AX253" s="82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2"/>
      <c r="BM253" s="82"/>
      <c r="BN253" s="82"/>
      <c r="BO253" s="81"/>
      <c r="BP253" s="81"/>
    </row>
    <row r="254" spans="11:68" x14ac:dyDescent="0.3">
      <c r="K254" s="82"/>
      <c r="L254" s="82"/>
      <c r="M254" s="82"/>
      <c r="N254" s="82"/>
      <c r="O254" s="82"/>
      <c r="P254" s="82"/>
      <c r="Q254" s="82"/>
      <c r="R254" s="82"/>
      <c r="S254" s="82"/>
      <c r="T254" s="82"/>
      <c r="U254" s="82"/>
      <c r="V254" s="82"/>
      <c r="W254" s="82"/>
      <c r="X254" s="82"/>
      <c r="Y254" s="82"/>
      <c r="Z254" s="82"/>
      <c r="AA254" s="82"/>
      <c r="AB254" s="82"/>
      <c r="AC254" s="82"/>
      <c r="AD254" s="82"/>
      <c r="AE254" s="82"/>
      <c r="AF254" s="82"/>
      <c r="AG254" s="82"/>
      <c r="AH254" s="82"/>
      <c r="AI254" s="82"/>
      <c r="AJ254" s="82"/>
      <c r="AK254" s="82"/>
      <c r="AL254" s="82"/>
      <c r="AM254" s="82"/>
      <c r="AN254" s="82"/>
      <c r="AO254" s="82"/>
      <c r="AP254" s="82"/>
      <c r="AQ254" s="82"/>
      <c r="AR254" s="82"/>
      <c r="AS254" s="82"/>
      <c r="AT254" s="82"/>
      <c r="AU254" s="82"/>
      <c r="AV254" s="82"/>
      <c r="AW254" s="82"/>
      <c r="AX254" s="82"/>
      <c r="AY254" s="82"/>
      <c r="AZ254" s="82"/>
      <c r="BA254" s="82"/>
      <c r="BB254" s="82"/>
      <c r="BC254" s="82"/>
      <c r="BD254" s="82"/>
      <c r="BE254" s="82"/>
      <c r="BF254" s="82"/>
      <c r="BG254" s="82"/>
      <c r="BH254" s="82"/>
      <c r="BI254" s="82"/>
      <c r="BJ254" s="82"/>
      <c r="BK254" s="82"/>
      <c r="BL254" s="82"/>
      <c r="BM254" s="82"/>
      <c r="BN254" s="82"/>
      <c r="BO254" s="81"/>
      <c r="BP254" s="81"/>
    </row>
    <row r="255" spans="11:68" x14ac:dyDescent="0.3">
      <c r="K255" s="82"/>
      <c r="L255" s="82"/>
      <c r="M255" s="82"/>
      <c r="N255" s="82"/>
      <c r="O255" s="82"/>
      <c r="P255" s="82"/>
      <c r="Q255" s="82"/>
      <c r="R255" s="82"/>
      <c r="S255" s="82"/>
      <c r="T255" s="82"/>
      <c r="U255" s="82"/>
      <c r="V255" s="82"/>
      <c r="W255" s="82"/>
      <c r="X255" s="82"/>
      <c r="Y255" s="82"/>
      <c r="Z255" s="82"/>
      <c r="AA255" s="82"/>
      <c r="AB255" s="82"/>
      <c r="AC255" s="82"/>
      <c r="AD255" s="82"/>
      <c r="AE255" s="82"/>
      <c r="AF255" s="82"/>
      <c r="AG255" s="82"/>
      <c r="AH255" s="82"/>
      <c r="AI255" s="82"/>
      <c r="AJ255" s="82"/>
      <c r="AK255" s="82"/>
      <c r="AL255" s="82"/>
      <c r="AM255" s="82"/>
      <c r="AN255" s="82"/>
      <c r="AO255" s="82"/>
      <c r="AP255" s="82"/>
      <c r="AQ255" s="82"/>
      <c r="AR255" s="82"/>
      <c r="AS255" s="82"/>
      <c r="AT255" s="82"/>
      <c r="AU255" s="82"/>
      <c r="AV255" s="82"/>
      <c r="AW255" s="82"/>
      <c r="AX255" s="82"/>
      <c r="AY255" s="82"/>
      <c r="AZ255" s="82"/>
      <c r="BA255" s="82"/>
      <c r="BB255" s="82"/>
      <c r="BC255" s="82"/>
      <c r="BD255" s="82"/>
      <c r="BE255" s="82"/>
      <c r="BF255" s="82"/>
      <c r="BG255" s="82"/>
      <c r="BH255" s="82"/>
      <c r="BI255" s="82"/>
      <c r="BJ255" s="82"/>
      <c r="BK255" s="82"/>
      <c r="BL255" s="82"/>
      <c r="BM255" s="82"/>
      <c r="BN255" s="82"/>
      <c r="BO255" s="81"/>
      <c r="BP255" s="81"/>
    </row>
    <row r="256" spans="11:68" x14ac:dyDescent="0.3"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  <c r="AA256" s="82"/>
      <c r="AB256" s="82"/>
      <c r="AC256" s="82"/>
      <c r="AD256" s="82"/>
      <c r="AE256" s="82"/>
      <c r="AF256" s="82"/>
      <c r="AG256" s="82"/>
      <c r="AH256" s="82"/>
      <c r="AI256" s="82"/>
      <c r="AJ256" s="82"/>
      <c r="AK256" s="82"/>
      <c r="AL256" s="82"/>
      <c r="AM256" s="82"/>
      <c r="AN256" s="82"/>
      <c r="AO256" s="82"/>
      <c r="AP256" s="82"/>
      <c r="AQ256" s="82"/>
      <c r="AR256" s="82"/>
      <c r="AS256" s="82"/>
      <c r="AT256" s="82"/>
      <c r="AU256" s="82"/>
      <c r="AV256" s="82"/>
      <c r="AW256" s="82"/>
      <c r="AX256" s="82"/>
      <c r="AY256" s="82"/>
      <c r="AZ256" s="82"/>
      <c r="BA256" s="82"/>
      <c r="BB256" s="82"/>
      <c r="BC256" s="82"/>
      <c r="BD256" s="82"/>
      <c r="BE256" s="82"/>
      <c r="BF256" s="82"/>
      <c r="BG256" s="82"/>
      <c r="BH256" s="82"/>
      <c r="BI256" s="82"/>
      <c r="BJ256" s="82"/>
      <c r="BK256" s="82"/>
      <c r="BL256" s="82"/>
      <c r="BM256" s="82"/>
      <c r="BN256" s="82"/>
      <c r="BO256" s="81"/>
      <c r="BP256" s="81"/>
    </row>
    <row r="257" spans="11:68" x14ac:dyDescent="0.3">
      <c r="K257" s="82"/>
      <c r="L257" s="82"/>
      <c r="M257" s="82"/>
      <c r="N257" s="82"/>
      <c r="O257" s="82"/>
      <c r="P257" s="82"/>
      <c r="Q257" s="82"/>
      <c r="R257" s="82"/>
      <c r="S257" s="82"/>
      <c r="T257" s="82"/>
      <c r="U257" s="82"/>
      <c r="V257" s="82"/>
      <c r="W257" s="82"/>
      <c r="X257" s="82"/>
      <c r="Y257" s="82"/>
      <c r="Z257" s="82"/>
      <c r="AA257" s="82"/>
      <c r="AB257" s="82"/>
      <c r="AC257" s="82"/>
      <c r="AD257" s="82"/>
      <c r="AE257" s="82"/>
      <c r="AF257" s="82"/>
      <c r="AG257" s="82"/>
      <c r="AH257" s="82"/>
      <c r="AI257" s="82"/>
      <c r="AJ257" s="82"/>
      <c r="AK257" s="82"/>
      <c r="AL257" s="82"/>
      <c r="AM257" s="82"/>
      <c r="AN257" s="82"/>
      <c r="AO257" s="82"/>
      <c r="AP257" s="82"/>
      <c r="AQ257" s="82"/>
      <c r="AR257" s="82"/>
      <c r="AS257" s="82"/>
      <c r="AT257" s="82"/>
      <c r="AU257" s="82"/>
      <c r="AV257" s="82"/>
      <c r="AW257" s="82"/>
      <c r="AX257" s="82"/>
      <c r="AY257" s="82"/>
      <c r="AZ257" s="82"/>
      <c r="BA257" s="82"/>
      <c r="BB257" s="82"/>
      <c r="BC257" s="82"/>
      <c r="BD257" s="82"/>
      <c r="BE257" s="82"/>
      <c r="BF257" s="82"/>
      <c r="BG257" s="82"/>
      <c r="BH257" s="82"/>
      <c r="BI257" s="82"/>
      <c r="BJ257" s="82"/>
      <c r="BK257" s="82"/>
      <c r="BL257" s="82"/>
      <c r="BM257" s="82"/>
      <c r="BN257" s="82"/>
      <c r="BO257" s="81"/>
      <c r="BP257" s="81"/>
    </row>
    <row r="258" spans="11:68" x14ac:dyDescent="0.3"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  <c r="AA258" s="82"/>
      <c r="AB258" s="82"/>
      <c r="AC258" s="82"/>
      <c r="AD258" s="82"/>
      <c r="AE258" s="82"/>
      <c r="AF258" s="82"/>
      <c r="AG258" s="82"/>
      <c r="AH258" s="82"/>
      <c r="AI258" s="82"/>
      <c r="AJ258" s="82"/>
      <c r="AK258" s="82"/>
      <c r="AL258" s="82"/>
      <c r="AM258" s="82"/>
      <c r="AN258" s="82"/>
      <c r="AO258" s="82"/>
      <c r="AP258" s="82"/>
      <c r="AQ258" s="82"/>
      <c r="AR258" s="82"/>
      <c r="AS258" s="82"/>
      <c r="AT258" s="82"/>
      <c r="AU258" s="82"/>
      <c r="AV258" s="82"/>
      <c r="AW258" s="82"/>
      <c r="AX258" s="82"/>
      <c r="AY258" s="82"/>
      <c r="AZ258" s="82"/>
      <c r="BA258" s="82"/>
      <c r="BB258" s="82"/>
      <c r="BC258" s="82"/>
      <c r="BD258" s="82"/>
      <c r="BE258" s="82"/>
      <c r="BF258" s="82"/>
      <c r="BG258" s="82"/>
      <c r="BH258" s="82"/>
      <c r="BI258" s="82"/>
      <c r="BJ258" s="82"/>
      <c r="BK258" s="82"/>
      <c r="BL258" s="82"/>
      <c r="BM258" s="82"/>
      <c r="BN258" s="82"/>
      <c r="BO258" s="81"/>
      <c r="BP258" s="81"/>
    </row>
    <row r="259" spans="11:68" x14ac:dyDescent="0.3">
      <c r="K259" s="82"/>
      <c r="L259" s="82"/>
      <c r="M259" s="82"/>
      <c r="N259" s="82"/>
      <c r="O259" s="82"/>
      <c r="P259" s="82"/>
      <c r="Q259" s="82"/>
      <c r="R259" s="82"/>
      <c r="S259" s="82"/>
      <c r="T259" s="82"/>
      <c r="U259" s="82"/>
      <c r="V259" s="82"/>
      <c r="W259" s="82"/>
      <c r="X259" s="82"/>
      <c r="Y259" s="82"/>
      <c r="Z259" s="82"/>
      <c r="AA259" s="82"/>
      <c r="AB259" s="82"/>
      <c r="AC259" s="82"/>
      <c r="AD259" s="82"/>
      <c r="AE259" s="82"/>
      <c r="AF259" s="82"/>
      <c r="AG259" s="82"/>
      <c r="AH259" s="82"/>
      <c r="AI259" s="82"/>
      <c r="AJ259" s="82"/>
      <c r="AK259" s="82"/>
      <c r="AL259" s="82"/>
      <c r="AM259" s="82"/>
      <c r="AN259" s="82"/>
      <c r="AO259" s="82"/>
      <c r="AP259" s="82"/>
      <c r="AQ259" s="82"/>
      <c r="AR259" s="82"/>
      <c r="AS259" s="82"/>
      <c r="AT259" s="82"/>
      <c r="AU259" s="82"/>
      <c r="AV259" s="82"/>
      <c r="AW259" s="82"/>
      <c r="AX259" s="82"/>
      <c r="AY259" s="82"/>
      <c r="AZ259" s="82"/>
      <c r="BA259" s="82"/>
      <c r="BB259" s="82"/>
      <c r="BC259" s="82"/>
      <c r="BD259" s="82"/>
      <c r="BE259" s="82"/>
      <c r="BF259" s="82"/>
      <c r="BG259" s="82"/>
      <c r="BH259" s="82"/>
      <c r="BI259" s="82"/>
      <c r="BJ259" s="82"/>
      <c r="BK259" s="82"/>
      <c r="BL259" s="82"/>
      <c r="BM259" s="82"/>
      <c r="BN259" s="82"/>
      <c r="BO259" s="81"/>
      <c r="BP259" s="81"/>
    </row>
    <row r="260" spans="11:68" x14ac:dyDescent="0.3">
      <c r="K260" s="82"/>
      <c r="L260" s="82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82"/>
      <c r="Z260" s="82"/>
      <c r="AA260" s="82"/>
      <c r="AB260" s="82"/>
      <c r="AC260" s="82"/>
      <c r="AD260" s="82"/>
      <c r="AE260" s="82"/>
      <c r="AF260" s="82"/>
      <c r="AG260" s="82"/>
      <c r="AH260" s="82"/>
      <c r="AI260" s="82"/>
      <c r="AJ260" s="82"/>
      <c r="AK260" s="82"/>
      <c r="AL260" s="82"/>
      <c r="AM260" s="82"/>
      <c r="AN260" s="82"/>
      <c r="AO260" s="82"/>
      <c r="AP260" s="82"/>
      <c r="AQ260" s="82"/>
      <c r="AR260" s="82"/>
      <c r="AS260" s="82"/>
      <c r="AT260" s="82"/>
      <c r="AU260" s="82"/>
      <c r="AV260" s="82"/>
      <c r="AW260" s="82"/>
      <c r="AX260" s="82"/>
      <c r="AY260" s="82"/>
      <c r="AZ260" s="82"/>
      <c r="BA260" s="82"/>
      <c r="BB260" s="82"/>
      <c r="BC260" s="82"/>
      <c r="BD260" s="82"/>
      <c r="BE260" s="82"/>
      <c r="BF260" s="82"/>
      <c r="BG260" s="82"/>
      <c r="BH260" s="82"/>
      <c r="BI260" s="82"/>
      <c r="BJ260" s="82"/>
      <c r="BK260" s="82"/>
      <c r="BL260" s="82"/>
      <c r="BM260" s="82"/>
      <c r="BN260" s="82"/>
      <c r="BO260" s="81"/>
      <c r="BP260" s="81"/>
    </row>
    <row r="261" spans="11:68" x14ac:dyDescent="0.3">
      <c r="K261" s="82"/>
      <c r="L261" s="82"/>
      <c r="M261" s="82"/>
      <c r="N261" s="82"/>
      <c r="O261" s="82"/>
      <c r="P261" s="82"/>
      <c r="Q261" s="82"/>
      <c r="R261" s="82"/>
      <c r="S261" s="82"/>
      <c r="T261" s="82"/>
      <c r="U261" s="82"/>
      <c r="V261" s="82"/>
      <c r="W261" s="82"/>
      <c r="X261" s="82"/>
      <c r="Y261" s="82"/>
      <c r="Z261" s="82"/>
      <c r="AA261" s="82"/>
      <c r="AB261" s="82"/>
      <c r="AC261" s="82"/>
      <c r="AD261" s="82"/>
      <c r="AE261" s="82"/>
      <c r="AF261" s="82"/>
      <c r="AG261" s="82"/>
      <c r="AH261" s="82"/>
      <c r="AI261" s="82"/>
      <c r="AJ261" s="82"/>
      <c r="AK261" s="82"/>
      <c r="AL261" s="82"/>
      <c r="AM261" s="82"/>
      <c r="AN261" s="82"/>
      <c r="AO261" s="82"/>
      <c r="AP261" s="82"/>
      <c r="AQ261" s="82"/>
      <c r="AR261" s="82"/>
      <c r="AS261" s="82"/>
      <c r="AT261" s="82"/>
      <c r="AU261" s="82"/>
      <c r="AV261" s="82"/>
      <c r="AW261" s="82"/>
      <c r="AX261" s="82"/>
      <c r="AY261" s="82"/>
      <c r="AZ261" s="82"/>
      <c r="BA261" s="82"/>
      <c r="BB261" s="82"/>
      <c r="BC261" s="82"/>
      <c r="BD261" s="82"/>
      <c r="BE261" s="82"/>
      <c r="BF261" s="82"/>
      <c r="BG261" s="82"/>
      <c r="BH261" s="82"/>
      <c r="BI261" s="82"/>
      <c r="BJ261" s="82"/>
      <c r="BK261" s="82"/>
      <c r="BL261" s="82"/>
      <c r="BM261" s="82"/>
      <c r="BN261" s="82"/>
      <c r="BO261" s="81"/>
      <c r="BP261" s="81"/>
    </row>
    <row r="262" spans="11:68" x14ac:dyDescent="0.3"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B262" s="82"/>
      <c r="AC262" s="82"/>
      <c r="AD262" s="82"/>
      <c r="AE262" s="82"/>
      <c r="AF262" s="82"/>
      <c r="AG262" s="82"/>
      <c r="AH262" s="82"/>
      <c r="AI262" s="82"/>
      <c r="AJ262" s="82"/>
      <c r="AK262" s="82"/>
      <c r="AL262" s="82"/>
      <c r="AM262" s="82"/>
      <c r="AN262" s="82"/>
      <c r="AO262" s="82"/>
      <c r="AP262" s="82"/>
      <c r="AQ262" s="82"/>
      <c r="AR262" s="82"/>
      <c r="AS262" s="82"/>
      <c r="AT262" s="82"/>
      <c r="AU262" s="82"/>
      <c r="AV262" s="82"/>
      <c r="AW262" s="82"/>
      <c r="AX262" s="82"/>
      <c r="AY262" s="82"/>
      <c r="AZ262" s="82"/>
      <c r="BA262" s="82"/>
      <c r="BB262" s="82"/>
      <c r="BC262" s="82"/>
      <c r="BD262" s="82"/>
      <c r="BE262" s="82"/>
      <c r="BF262" s="82"/>
      <c r="BG262" s="82"/>
      <c r="BH262" s="82"/>
      <c r="BI262" s="82"/>
      <c r="BJ262" s="82"/>
      <c r="BK262" s="82"/>
      <c r="BL262" s="82"/>
      <c r="BM262" s="82"/>
      <c r="BN262" s="82"/>
      <c r="BO262" s="81"/>
      <c r="BP262" s="81"/>
    </row>
    <row r="263" spans="11:68" x14ac:dyDescent="0.3"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  <c r="AA263" s="82"/>
      <c r="AB263" s="82"/>
      <c r="AC263" s="82"/>
      <c r="AD263" s="82"/>
      <c r="AE263" s="82"/>
      <c r="AF263" s="82"/>
      <c r="AG263" s="82"/>
      <c r="AH263" s="82"/>
      <c r="AI263" s="82"/>
      <c r="AJ263" s="82"/>
      <c r="AK263" s="82"/>
      <c r="AL263" s="82"/>
      <c r="AM263" s="82"/>
      <c r="AN263" s="82"/>
      <c r="AO263" s="82"/>
      <c r="AP263" s="82"/>
      <c r="AQ263" s="82"/>
      <c r="AR263" s="82"/>
      <c r="AS263" s="82"/>
      <c r="AT263" s="82"/>
      <c r="AU263" s="82"/>
      <c r="AV263" s="82"/>
      <c r="AW263" s="82"/>
      <c r="AX263" s="82"/>
      <c r="AY263" s="82"/>
      <c r="AZ263" s="82"/>
      <c r="BA263" s="82"/>
      <c r="BB263" s="82"/>
      <c r="BC263" s="82"/>
      <c r="BD263" s="82"/>
      <c r="BE263" s="82"/>
      <c r="BF263" s="82"/>
      <c r="BG263" s="82"/>
      <c r="BH263" s="82"/>
      <c r="BI263" s="82"/>
      <c r="BJ263" s="82"/>
      <c r="BK263" s="82"/>
      <c r="BL263" s="82"/>
      <c r="BM263" s="82"/>
      <c r="BN263" s="82"/>
      <c r="BO263" s="81"/>
      <c r="BP263" s="81"/>
    </row>
    <row r="264" spans="11:68" x14ac:dyDescent="0.3"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2"/>
      <c r="AS264" s="82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1"/>
      <c r="BP264" s="81"/>
    </row>
    <row r="265" spans="11:68" x14ac:dyDescent="0.3"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2"/>
      <c r="AS265" s="82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1"/>
      <c r="BP265" s="81"/>
    </row>
    <row r="266" spans="11:68" x14ac:dyDescent="0.3"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2"/>
      <c r="AS266" s="82"/>
      <c r="AT266" s="82"/>
      <c r="AU266" s="82"/>
      <c r="AV266" s="82"/>
      <c r="AW266" s="82"/>
      <c r="AX266" s="82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2"/>
      <c r="BM266" s="82"/>
      <c r="BN266" s="82"/>
      <c r="BO266" s="81"/>
      <c r="BP266" s="81"/>
    </row>
    <row r="267" spans="11:68" x14ac:dyDescent="0.3"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2"/>
      <c r="AS267" s="82"/>
      <c r="AT267" s="82"/>
      <c r="AU267" s="82"/>
      <c r="AV267" s="82"/>
      <c r="AW267" s="82"/>
      <c r="AX267" s="82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2"/>
      <c r="BM267" s="82"/>
      <c r="BN267" s="82"/>
      <c r="BO267" s="81"/>
      <c r="BP267" s="81"/>
    </row>
    <row r="268" spans="11:68" x14ac:dyDescent="0.3"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82"/>
      <c r="AD268" s="82"/>
      <c r="AE268" s="82"/>
      <c r="AF268" s="82"/>
      <c r="AG268" s="82"/>
      <c r="AH268" s="82"/>
      <c r="AI268" s="82"/>
      <c r="AJ268" s="82"/>
      <c r="AK268" s="82"/>
      <c r="AL268" s="82"/>
      <c r="AM268" s="82"/>
      <c r="AN268" s="82"/>
      <c r="AO268" s="82"/>
      <c r="AP268" s="82"/>
      <c r="AQ268" s="82"/>
      <c r="AR268" s="82"/>
      <c r="AS268" s="82"/>
      <c r="AT268" s="82"/>
      <c r="AU268" s="82"/>
      <c r="AV268" s="82"/>
      <c r="AW268" s="82"/>
      <c r="AX268" s="82"/>
      <c r="AY268" s="82"/>
      <c r="AZ268" s="82"/>
      <c r="BA268" s="82"/>
      <c r="BB268" s="82"/>
      <c r="BC268" s="82"/>
      <c r="BD268" s="82"/>
      <c r="BE268" s="82"/>
      <c r="BF268" s="82"/>
      <c r="BG268" s="82"/>
      <c r="BH268" s="82"/>
      <c r="BI268" s="82"/>
      <c r="BJ268" s="82"/>
      <c r="BK268" s="82"/>
      <c r="BL268" s="82"/>
      <c r="BM268" s="82"/>
      <c r="BN268" s="82"/>
      <c r="BO268" s="81"/>
      <c r="BP268" s="81"/>
    </row>
    <row r="269" spans="11:68" x14ac:dyDescent="0.3"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82"/>
      <c r="AD269" s="82"/>
      <c r="AE269" s="82"/>
      <c r="AF269" s="82"/>
      <c r="AG269" s="82"/>
      <c r="AH269" s="82"/>
      <c r="AI269" s="82"/>
      <c r="AJ269" s="82"/>
      <c r="AK269" s="82"/>
      <c r="AL269" s="82"/>
      <c r="AM269" s="82"/>
      <c r="AN269" s="82"/>
      <c r="AO269" s="82"/>
      <c r="AP269" s="82"/>
      <c r="AQ269" s="82"/>
      <c r="AR269" s="82"/>
      <c r="AS269" s="82"/>
      <c r="AT269" s="82"/>
      <c r="AU269" s="82"/>
      <c r="AV269" s="82"/>
      <c r="AW269" s="82"/>
      <c r="AX269" s="82"/>
      <c r="AY269" s="82"/>
      <c r="AZ269" s="82"/>
      <c r="BA269" s="82"/>
      <c r="BB269" s="82"/>
      <c r="BC269" s="82"/>
      <c r="BD269" s="82"/>
      <c r="BE269" s="82"/>
      <c r="BF269" s="82"/>
      <c r="BG269" s="82"/>
      <c r="BH269" s="82"/>
      <c r="BI269" s="82"/>
      <c r="BJ269" s="82"/>
      <c r="BK269" s="82"/>
      <c r="BL269" s="82"/>
      <c r="BM269" s="82"/>
      <c r="BN269" s="82"/>
      <c r="BO269" s="81"/>
      <c r="BP269" s="81"/>
    </row>
    <row r="270" spans="11:68" x14ac:dyDescent="0.3">
      <c r="K270" s="82"/>
      <c r="L270" s="82"/>
      <c r="M270" s="82"/>
      <c r="N270" s="82"/>
      <c r="O270" s="82"/>
      <c r="P270" s="82"/>
      <c r="Q270" s="82"/>
      <c r="R270" s="82"/>
      <c r="S270" s="82"/>
      <c r="T270" s="82"/>
      <c r="U270" s="82"/>
      <c r="V270" s="82"/>
      <c r="W270" s="82"/>
      <c r="X270" s="82"/>
      <c r="Y270" s="82"/>
      <c r="Z270" s="82"/>
      <c r="AA270" s="82"/>
      <c r="AB270" s="82"/>
      <c r="AC270" s="82"/>
      <c r="AD270" s="82"/>
      <c r="AE270" s="82"/>
      <c r="AF270" s="82"/>
      <c r="AG270" s="82"/>
      <c r="AH270" s="82"/>
      <c r="AI270" s="82"/>
      <c r="AJ270" s="82"/>
      <c r="AK270" s="82"/>
      <c r="AL270" s="82"/>
      <c r="AM270" s="82"/>
      <c r="AN270" s="82"/>
      <c r="AO270" s="82"/>
      <c r="AP270" s="82"/>
      <c r="AQ270" s="82"/>
      <c r="AR270" s="82"/>
      <c r="AS270" s="82"/>
      <c r="AT270" s="82"/>
      <c r="AU270" s="82"/>
      <c r="AV270" s="82"/>
      <c r="AW270" s="82"/>
      <c r="AX270" s="82"/>
      <c r="AY270" s="82"/>
      <c r="AZ270" s="82"/>
      <c r="BA270" s="82"/>
      <c r="BB270" s="82"/>
      <c r="BC270" s="82"/>
      <c r="BD270" s="82"/>
      <c r="BE270" s="82"/>
      <c r="BF270" s="82"/>
      <c r="BG270" s="82"/>
      <c r="BH270" s="82"/>
      <c r="BI270" s="82"/>
      <c r="BJ270" s="82"/>
      <c r="BK270" s="82"/>
      <c r="BL270" s="82"/>
      <c r="BM270" s="82"/>
      <c r="BN270" s="82"/>
      <c r="BO270" s="81"/>
      <c r="BP270" s="81"/>
    </row>
    <row r="271" spans="11:68" x14ac:dyDescent="0.3">
      <c r="K271" s="82"/>
      <c r="L271" s="82"/>
      <c r="M271" s="82"/>
      <c r="N271" s="82"/>
      <c r="O271" s="82"/>
      <c r="P271" s="82"/>
      <c r="Q271" s="82"/>
      <c r="R271" s="82"/>
      <c r="S271" s="82"/>
      <c r="T271" s="82"/>
      <c r="U271" s="82"/>
      <c r="V271" s="82"/>
      <c r="W271" s="82"/>
      <c r="X271" s="82"/>
      <c r="Y271" s="82"/>
      <c r="Z271" s="82"/>
      <c r="AA271" s="82"/>
      <c r="AB271" s="82"/>
      <c r="AC271" s="82"/>
      <c r="AD271" s="82"/>
      <c r="AE271" s="82"/>
      <c r="AF271" s="82"/>
      <c r="AG271" s="82"/>
      <c r="AH271" s="82"/>
      <c r="AI271" s="82"/>
      <c r="AJ271" s="82"/>
      <c r="AK271" s="82"/>
      <c r="AL271" s="82"/>
      <c r="AM271" s="82"/>
      <c r="AN271" s="82"/>
      <c r="AO271" s="82"/>
      <c r="AP271" s="82"/>
      <c r="AQ271" s="82"/>
      <c r="AR271" s="82"/>
      <c r="AS271" s="82"/>
      <c r="AT271" s="82"/>
      <c r="AU271" s="82"/>
      <c r="AV271" s="82"/>
      <c r="AW271" s="82"/>
      <c r="AX271" s="82"/>
      <c r="AY271" s="82"/>
      <c r="AZ271" s="82"/>
      <c r="BA271" s="82"/>
      <c r="BB271" s="82"/>
      <c r="BC271" s="82"/>
      <c r="BD271" s="82"/>
      <c r="BE271" s="82"/>
      <c r="BF271" s="82"/>
      <c r="BG271" s="82"/>
      <c r="BH271" s="82"/>
      <c r="BI271" s="82"/>
      <c r="BJ271" s="82"/>
      <c r="BK271" s="82"/>
      <c r="BL271" s="82"/>
      <c r="BM271" s="82"/>
      <c r="BN271" s="82"/>
      <c r="BO271" s="81"/>
      <c r="BP271" s="81"/>
    </row>
    <row r="272" spans="11:68" x14ac:dyDescent="0.3">
      <c r="K272" s="82"/>
      <c r="L272" s="82"/>
      <c r="M272" s="82"/>
      <c r="N272" s="82"/>
      <c r="O272" s="82"/>
      <c r="P272" s="82"/>
      <c r="Q272" s="82"/>
      <c r="R272" s="82"/>
      <c r="S272" s="82"/>
      <c r="T272" s="82"/>
      <c r="U272" s="82"/>
      <c r="V272" s="82"/>
      <c r="W272" s="82"/>
      <c r="X272" s="82"/>
      <c r="Y272" s="82"/>
      <c r="Z272" s="82"/>
      <c r="AA272" s="82"/>
      <c r="AB272" s="82"/>
      <c r="AC272" s="82"/>
      <c r="AD272" s="82"/>
      <c r="AE272" s="82"/>
      <c r="AF272" s="82"/>
      <c r="AG272" s="82"/>
      <c r="AH272" s="82"/>
      <c r="AI272" s="82"/>
      <c r="AJ272" s="82"/>
      <c r="AK272" s="82"/>
      <c r="AL272" s="82"/>
      <c r="AM272" s="82"/>
      <c r="AN272" s="82"/>
      <c r="AO272" s="82"/>
      <c r="AP272" s="82"/>
      <c r="AQ272" s="82"/>
      <c r="AR272" s="82"/>
      <c r="AS272" s="82"/>
      <c r="AT272" s="82"/>
      <c r="AU272" s="82"/>
      <c r="AV272" s="82"/>
      <c r="AW272" s="82"/>
      <c r="AX272" s="82"/>
      <c r="AY272" s="82"/>
      <c r="AZ272" s="82"/>
      <c r="BA272" s="82"/>
      <c r="BB272" s="82"/>
      <c r="BC272" s="82"/>
      <c r="BD272" s="82"/>
      <c r="BE272" s="82"/>
      <c r="BF272" s="82"/>
      <c r="BG272" s="82"/>
      <c r="BH272" s="82"/>
      <c r="BI272" s="82"/>
      <c r="BJ272" s="82"/>
      <c r="BK272" s="82"/>
      <c r="BL272" s="82"/>
      <c r="BM272" s="82"/>
      <c r="BN272" s="82"/>
      <c r="BO272" s="81"/>
      <c r="BP272" s="81"/>
    </row>
    <row r="273" spans="11:68" x14ac:dyDescent="0.3">
      <c r="K273" s="82"/>
      <c r="L273" s="82"/>
      <c r="M273" s="82"/>
      <c r="N273" s="82"/>
      <c r="O273" s="82"/>
      <c r="P273" s="82"/>
      <c r="Q273" s="82"/>
      <c r="R273" s="82"/>
      <c r="S273" s="82"/>
      <c r="T273" s="82"/>
      <c r="U273" s="82"/>
      <c r="V273" s="82"/>
      <c r="W273" s="82"/>
      <c r="X273" s="82"/>
      <c r="Y273" s="82"/>
      <c r="Z273" s="82"/>
      <c r="AA273" s="82"/>
      <c r="AB273" s="82"/>
      <c r="AC273" s="82"/>
      <c r="AD273" s="82"/>
      <c r="AE273" s="82"/>
      <c r="AF273" s="82"/>
      <c r="AG273" s="82"/>
      <c r="AH273" s="82"/>
      <c r="AI273" s="82"/>
      <c r="AJ273" s="82"/>
      <c r="AK273" s="82"/>
      <c r="AL273" s="82"/>
      <c r="AM273" s="82"/>
      <c r="AN273" s="82"/>
      <c r="AO273" s="82"/>
      <c r="AP273" s="82"/>
      <c r="AQ273" s="82"/>
      <c r="AR273" s="82"/>
      <c r="AS273" s="82"/>
      <c r="AT273" s="82"/>
      <c r="AU273" s="82"/>
      <c r="AV273" s="82"/>
      <c r="AW273" s="82"/>
      <c r="AX273" s="82"/>
      <c r="AY273" s="82"/>
      <c r="AZ273" s="82"/>
      <c r="BA273" s="82"/>
      <c r="BB273" s="82"/>
      <c r="BC273" s="82"/>
      <c r="BD273" s="82"/>
      <c r="BE273" s="82"/>
      <c r="BF273" s="82"/>
      <c r="BG273" s="82"/>
      <c r="BH273" s="82"/>
      <c r="BI273" s="82"/>
      <c r="BJ273" s="82"/>
      <c r="BK273" s="82"/>
      <c r="BL273" s="82"/>
      <c r="BM273" s="82"/>
      <c r="BN273" s="82"/>
      <c r="BO273" s="81"/>
      <c r="BP273" s="81"/>
    </row>
    <row r="274" spans="11:68" x14ac:dyDescent="0.3">
      <c r="K274" s="82"/>
      <c r="L274" s="82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82"/>
      <c r="Z274" s="82"/>
      <c r="AA274" s="82"/>
      <c r="AB274" s="82"/>
      <c r="AC274" s="82"/>
      <c r="AD274" s="82"/>
      <c r="AE274" s="82"/>
      <c r="AF274" s="82"/>
      <c r="AG274" s="82"/>
      <c r="AH274" s="82"/>
      <c r="AI274" s="82"/>
      <c r="AJ274" s="82"/>
      <c r="AK274" s="82"/>
      <c r="AL274" s="82"/>
      <c r="AM274" s="82"/>
      <c r="AN274" s="82"/>
      <c r="AO274" s="82"/>
      <c r="AP274" s="82"/>
      <c r="AQ274" s="82"/>
      <c r="AR274" s="82"/>
      <c r="AS274" s="82"/>
      <c r="AT274" s="82"/>
      <c r="AU274" s="82"/>
      <c r="AV274" s="82"/>
      <c r="AW274" s="82"/>
      <c r="AX274" s="82"/>
      <c r="AY274" s="82"/>
      <c r="AZ274" s="82"/>
      <c r="BA274" s="82"/>
      <c r="BB274" s="82"/>
      <c r="BC274" s="82"/>
      <c r="BD274" s="82"/>
      <c r="BE274" s="82"/>
      <c r="BF274" s="82"/>
      <c r="BG274" s="82"/>
      <c r="BH274" s="82"/>
      <c r="BI274" s="82"/>
      <c r="BJ274" s="82"/>
      <c r="BK274" s="82"/>
      <c r="BL274" s="82"/>
      <c r="BM274" s="82"/>
      <c r="BN274" s="82"/>
      <c r="BO274" s="81"/>
      <c r="BP274" s="81"/>
    </row>
    <row r="275" spans="11:68" x14ac:dyDescent="0.3">
      <c r="K275" s="82"/>
      <c r="L275" s="82"/>
      <c r="M275" s="82"/>
      <c r="N275" s="82"/>
      <c r="O275" s="82"/>
      <c r="P275" s="82"/>
      <c r="Q275" s="82"/>
      <c r="R275" s="82"/>
      <c r="S275" s="82"/>
      <c r="T275" s="82"/>
      <c r="U275" s="82"/>
      <c r="V275" s="82"/>
      <c r="W275" s="82"/>
      <c r="X275" s="82"/>
      <c r="Y275" s="82"/>
      <c r="Z275" s="82"/>
      <c r="AA275" s="82"/>
      <c r="AB275" s="82"/>
      <c r="AC275" s="82"/>
      <c r="AD275" s="82"/>
      <c r="AE275" s="82"/>
      <c r="AF275" s="82"/>
      <c r="AG275" s="82"/>
      <c r="AH275" s="82"/>
      <c r="AI275" s="82"/>
      <c r="AJ275" s="82"/>
      <c r="AK275" s="82"/>
      <c r="AL275" s="82"/>
      <c r="AM275" s="82"/>
      <c r="AN275" s="82"/>
      <c r="AO275" s="82"/>
      <c r="AP275" s="82"/>
      <c r="AQ275" s="82"/>
      <c r="AR275" s="82"/>
      <c r="AS275" s="82"/>
      <c r="AT275" s="82"/>
      <c r="AU275" s="82"/>
      <c r="AV275" s="82"/>
      <c r="AW275" s="82"/>
      <c r="AX275" s="82"/>
      <c r="AY275" s="82"/>
      <c r="AZ275" s="82"/>
      <c r="BA275" s="82"/>
      <c r="BB275" s="82"/>
      <c r="BC275" s="82"/>
      <c r="BD275" s="82"/>
      <c r="BE275" s="82"/>
      <c r="BF275" s="82"/>
      <c r="BG275" s="82"/>
      <c r="BH275" s="82"/>
      <c r="BI275" s="82"/>
      <c r="BJ275" s="82"/>
      <c r="BK275" s="82"/>
      <c r="BL275" s="82"/>
      <c r="BM275" s="82"/>
      <c r="BN275" s="82"/>
      <c r="BO275" s="81"/>
      <c r="BP275" s="81"/>
    </row>
    <row r="276" spans="11:68" x14ac:dyDescent="0.3">
      <c r="K276" s="82"/>
      <c r="L276" s="82"/>
      <c r="M276" s="82"/>
      <c r="N276" s="82"/>
      <c r="O276" s="82"/>
      <c r="P276" s="82"/>
      <c r="Q276" s="82"/>
      <c r="R276" s="82"/>
      <c r="S276" s="82"/>
      <c r="T276" s="82"/>
      <c r="U276" s="82"/>
      <c r="V276" s="82"/>
      <c r="W276" s="82"/>
      <c r="X276" s="82"/>
      <c r="Y276" s="82"/>
      <c r="Z276" s="82"/>
      <c r="AA276" s="82"/>
      <c r="AB276" s="82"/>
      <c r="AC276" s="82"/>
      <c r="AD276" s="82"/>
      <c r="AE276" s="82"/>
      <c r="AF276" s="82"/>
      <c r="AG276" s="82"/>
      <c r="AH276" s="82"/>
      <c r="AI276" s="82"/>
      <c r="AJ276" s="82"/>
      <c r="AK276" s="82"/>
      <c r="AL276" s="82"/>
      <c r="AM276" s="82"/>
      <c r="AN276" s="82"/>
      <c r="AO276" s="82"/>
      <c r="AP276" s="82"/>
      <c r="AQ276" s="82"/>
      <c r="AR276" s="82"/>
      <c r="AS276" s="82"/>
      <c r="AT276" s="82"/>
      <c r="AU276" s="82"/>
      <c r="AV276" s="82"/>
      <c r="AW276" s="82"/>
      <c r="AX276" s="82"/>
      <c r="AY276" s="82"/>
      <c r="AZ276" s="82"/>
      <c r="BA276" s="82"/>
      <c r="BB276" s="82"/>
      <c r="BC276" s="82"/>
      <c r="BD276" s="82"/>
      <c r="BE276" s="82"/>
      <c r="BF276" s="82"/>
      <c r="BG276" s="82"/>
      <c r="BH276" s="82"/>
      <c r="BI276" s="82"/>
      <c r="BJ276" s="82"/>
      <c r="BK276" s="82"/>
      <c r="BL276" s="82"/>
      <c r="BM276" s="82"/>
      <c r="BN276" s="82"/>
      <c r="BO276" s="81"/>
      <c r="BP276" s="81"/>
    </row>
    <row r="277" spans="11:68" x14ac:dyDescent="0.3">
      <c r="K277" s="82"/>
      <c r="L277" s="82"/>
      <c r="M277" s="82"/>
      <c r="N277" s="82"/>
      <c r="O277" s="82"/>
      <c r="P277" s="82"/>
      <c r="Q277" s="82"/>
      <c r="R277" s="82"/>
      <c r="S277" s="82"/>
      <c r="T277" s="82"/>
      <c r="U277" s="82"/>
      <c r="V277" s="82"/>
      <c r="W277" s="82"/>
      <c r="X277" s="82"/>
      <c r="Y277" s="82"/>
      <c r="Z277" s="82"/>
      <c r="AA277" s="82"/>
      <c r="AB277" s="82"/>
      <c r="AC277" s="82"/>
      <c r="AD277" s="82"/>
      <c r="AE277" s="82"/>
      <c r="AF277" s="82"/>
      <c r="AG277" s="82"/>
      <c r="AH277" s="82"/>
      <c r="AI277" s="82"/>
      <c r="AJ277" s="82"/>
      <c r="AK277" s="82"/>
      <c r="AL277" s="82"/>
      <c r="AM277" s="82"/>
      <c r="AN277" s="82"/>
      <c r="AO277" s="82"/>
      <c r="AP277" s="82"/>
      <c r="AQ277" s="82"/>
      <c r="AR277" s="82"/>
      <c r="AS277" s="82"/>
      <c r="AT277" s="82"/>
      <c r="AU277" s="82"/>
      <c r="AV277" s="82"/>
      <c r="AW277" s="82"/>
      <c r="AX277" s="82"/>
      <c r="AY277" s="82"/>
      <c r="AZ277" s="82"/>
      <c r="BA277" s="82"/>
      <c r="BB277" s="82"/>
      <c r="BC277" s="82"/>
      <c r="BD277" s="82"/>
      <c r="BE277" s="82"/>
      <c r="BF277" s="82"/>
      <c r="BG277" s="82"/>
      <c r="BH277" s="82"/>
      <c r="BI277" s="82"/>
      <c r="BJ277" s="82"/>
      <c r="BK277" s="82"/>
      <c r="BL277" s="82"/>
      <c r="BM277" s="82"/>
      <c r="BN277" s="82"/>
      <c r="BO277" s="81"/>
      <c r="BP277" s="81"/>
    </row>
    <row r="278" spans="11:68" x14ac:dyDescent="0.3">
      <c r="K278" s="82"/>
      <c r="L278" s="82"/>
      <c r="M278" s="82"/>
      <c r="N278" s="82"/>
      <c r="O278" s="82"/>
      <c r="P278" s="82"/>
      <c r="Q278" s="82"/>
      <c r="R278" s="82"/>
      <c r="S278" s="82"/>
      <c r="T278" s="82"/>
      <c r="U278" s="82"/>
      <c r="V278" s="82"/>
      <c r="W278" s="82"/>
      <c r="X278" s="82"/>
      <c r="Y278" s="82"/>
      <c r="Z278" s="82"/>
      <c r="AA278" s="82"/>
      <c r="AB278" s="82"/>
      <c r="AC278" s="82"/>
      <c r="AD278" s="82"/>
      <c r="AE278" s="82"/>
      <c r="AF278" s="82"/>
      <c r="AG278" s="82"/>
      <c r="AH278" s="82"/>
      <c r="AI278" s="82"/>
      <c r="AJ278" s="82"/>
      <c r="AK278" s="82"/>
      <c r="AL278" s="82"/>
      <c r="AM278" s="82"/>
      <c r="AN278" s="82"/>
      <c r="AO278" s="82"/>
      <c r="AP278" s="82"/>
      <c r="AQ278" s="82"/>
      <c r="AR278" s="82"/>
      <c r="AS278" s="82"/>
      <c r="AT278" s="82"/>
      <c r="AU278" s="82"/>
      <c r="AV278" s="82"/>
      <c r="AW278" s="82"/>
      <c r="AX278" s="82"/>
      <c r="AY278" s="82"/>
      <c r="AZ278" s="82"/>
      <c r="BA278" s="82"/>
      <c r="BB278" s="82"/>
      <c r="BC278" s="82"/>
      <c r="BD278" s="82"/>
      <c r="BE278" s="82"/>
      <c r="BF278" s="82"/>
      <c r="BG278" s="82"/>
      <c r="BH278" s="82"/>
      <c r="BI278" s="82"/>
      <c r="BJ278" s="82"/>
      <c r="BK278" s="82"/>
      <c r="BL278" s="82"/>
      <c r="BM278" s="82"/>
      <c r="BN278" s="82"/>
      <c r="BO278" s="81"/>
      <c r="BP278" s="81"/>
    </row>
    <row r="279" spans="11:68" x14ac:dyDescent="0.3"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B279" s="82"/>
      <c r="AC279" s="82"/>
      <c r="AD279" s="82"/>
      <c r="AE279" s="82"/>
      <c r="AF279" s="82"/>
      <c r="AG279" s="82"/>
      <c r="AH279" s="82"/>
      <c r="AI279" s="82"/>
      <c r="AJ279" s="82"/>
      <c r="AK279" s="82"/>
      <c r="AL279" s="82"/>
      <c r="AM279" s="82"/>
      <c r="AN279" s="82"/>
      <c r="AO279" s="82"/>
      <c r="AP279" s="82"/>
      <c r="AQ279" s="82"/>
      <c r="AR279" s="82"/>
      <c r="AS279" s="82"/>
      <c r="AT279" s="82"/>
      <c r="AU279" s="82"/>
      <c r="AV279" s="82"/>
      <c r="AW279" s="82"/>
      <c r="AX279" s="82"/>
      <c r="AY279" s="82"/>
      <c r="AZ279" s="82"/>
      <c r="BA279" s="82"/>
      <c r="BB279" s="82"/>
      <c r="BC279" s="82"/>
      <c r="BD279" s="82"/>
      <c r="BE279" s="82"/>
      <c r="BF279" s="82"/>
      <c r="BG279" s="82"/>
      <c r="BH279" s="82"/>
      <c r="BI279" s="82"/>
      <c r="BJ279" s="82"/>
      <c r="BK279" s="82"/>
      <c r="BL279" s="82"/>
      <c r="BM279" s="82"/>
      <c r="BN279" s="82"/>
      <c r="BO279" s="81"/>
      <c r="BP279" s="81"/>
    </row>
    <row r="280" spans="11:68" x14ac:dyDescent="0.3">
      <c r="K280" s="82"/>
      <c r="L280" s="82"/>
      <c r="M280" s="82"/>
      <c r="N280" s="82"/>
      <c r="O280" s="82"/>
      <c r="P280" s="82"/>
      <c r="Q280" s="82"/>
      <c r="R280" s="82"/>
      <c r="S280" s="82"/>
      <c r="T280" s="82"/>
      <c r="U280" s="82"/>
      <c r="V280" s="82"/>
      <c r="W280" s="82"/>
      <c r="X280" s="82"/>
      <c r="Y280" s="82"/>
      <c r="Z280" s="82"/>
      <c r="AA280" s="82"/>
      <c r="AB280" s="82"/>
      <c r="AC280" s="82"/>
      <c r="AD280" s="82"/>
      <c r="AE280" s="82"/>
      <c r="AF280" s="82"/>
      <c r="AG280" s="82"/>
      <c r="AH280" s="82"/>
      <c r="AI280" s="82"/>
      <c r="AJ280" s="82"/>
      <c r="AK280" s="82"/>
      <c r="AL280" s="82"/>
      <c r="AM280" s="82"/>
      <c r="AN280" s="82"/>
      <c r="AO280" s="82"/>
      <c r="AP280" s="82"/>
      <c r="AQ280" s="82"/>
      <c r="AR280" s="82"/>
      <c r="AS280" s="82"/>
      <c r="AT280" s="82"/>
      <c r="AU280" s="82"/>
      <c r="AV280" s="82"/>
      <c r="AW280" s="82"/>
      <c r="AX280" s="82"/>
      <c r="AY280" s="82"/>
      <c r="AZ280" s="82"/>
      <c r="BA280" s="82"/>
      <c r="BB280" s="82"/>
      <c r="BC280" s="82"/>
      <c r="BD280" s="82"/>
      <c r="BE280" s="82"/>
      <c r="BF280" s="82"/>
      <c r="BG280" s="82"/>
      <c r="BH280" s="82"/>
      <c r="BI280" s="82"/>
      <c r="BJ280" s="82"/>
      <c r="BK280" s="82"/>
      <c r="BL280" s="82"/>
      <c r="BM280" s="82"/>
      <c r="BN280" s="82"/>
      <c r="BO280" s="81"/>
      <c r="BP280" s="81"/>
    </row>
    <row r="281" spans="11:68" x14ac:dyDescent="0.3"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82"/>
      <c r="X281" s="82"/>
      <c r="Y281" s="82"/>
      <c r="Z281" s="82"/>
      <c r="AA281" s="82"/>
      <c r="AB281" s="82"/>
      <c r="AC281" s="82"/>
      <c r="AD281" s="82"/>
      <c r="AE281" s="82"/>
      <c r="AF281" s="82"/>
      <c r="AG281" s="82"/>
      <c r="AH281" s="82"/>
      <c r="AI281" s="82"/>
      <c r="AJ281" s="82"/>
      <c r="AK281" s="82"/>
      <c r="AL281" s="82"/>
      <c r="AM281" s="82"/>
      <c r="AN281" s="82"/>
      <c r="AO281" s="82"/>
      <c r="AP281" s="82"/>
      <c r="AQ281" s="82"/>
      <c r="AR281" s="82"/>
      <c r="AS281" s="82"/>
      <c r="AT281" s="82"/>
      <c r="AU281" s="82"/>
      <c r="AV281" s="82"/>
      <c r="AW281" s="82"/>
      <c r="AX281" s="82"/>
      <c r="AY281" s="82"/>
      <c r="AZ281" s="82"/>
      <c r="BA281" s="82"/>
      <c r="BB281" s="82"/>
      <c r="BC281" s="82"/>
      <c r="BD281" s="82"/>
      <c r="BE281" s="82"/>
      <c r="BF281" s="82"/>
      <c r="BG281" s="82"/>
      <c r="BH281" s="82"/>
      <c r="BI281" s="82"/>
      <c r="BJ281" s="82"/>
      <c r="BK281" s="82"/>
      <c r="BL281" s="82"/>
      <c r="BM281" s="82"/>
      <c r="BN281" s="82"/>
      <c r="BO281" s="81"/>
      <c r="BP281" s="81"/>
    </row>
    <row r="282" spans="11:68" x14ac:dyDescent="0.3">
      <c r="K282" s="82"/>
      <c r="L282" s="82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82"/>
      <c r="Y282" s="82"/>
      <c r="Z282" s="82"/>
      <c r="AA282" s="82"/>
      <c r="AB282" s="82"/>
      <c r="AC282" s="82"/>
      <c r="AD282" s="82"/>
      <c r="AE282" s="82"/>
      <c r="AF282" s="82"/>
      <c r="AG282" s="82"/>
      <c r="AH282" s="82"/>
      <c r="AI282" s="82"/>
      <c r="AJ282" s="82"/>
      <c r="AK282" s="82"/>
      <c r="AL282" s="82"/>
      <c r="AM282" s="82"/>
      <c r="AN282" s="82"/>
      <c r="AO282" s="82"/>
      <c r="AP282" s="82"/>
      <c r="AQ282" s="82"/>
      <c r="AR282" s="82"/>
      <c r="AS282" s="82"/>
      <c r="AT282" s="82"/>
      <c r="AU282" s="82"/>
      <c r="AV282" s="82"/>
      <c r="AW282" s="82"/>
      <c r="AX282" s="82"/>
      <c r="AY282" s="82"/>
      <c r="AZ282" s="82"/>
      <c r="BA282" s="82"/>
      <c r="BB282" s="82"/>
      <c r="BC282" s="82"/>
      <c r="BD282" s="82"/>
      <c r="BE282" s="82"/>
      <c r="BF282" s="82"/>
      <c r="BG282" s="82"/>
      <c r="BH282" s="82"/>
      <c r="BI282" s="82"/>
      <c r="BJ282" s="82"/>
      <c r="BK282" s="82"/>
      <c r="BL282" s="82"/>
      <c r="BM282" s="82"/>
      <c r="BN282" s="82"/>
      <c r="BO282" s="81"/>
      <c r="BP282" s="81"/>
    </row>
    <row r="283" spans="11:68" x14ac:dyDescent="0.3"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  <c r="AA283" s="82"/>
      <c r="AB283" s="82"/>
      <c r="AC283" s="82"/>
      <c r="AD283" s="82"/>
      <c r="AE283" s="82"/>
      <c r="AF283" s="82"/>
      <c r="AG283" s="82"/>
      <c r="AH283" s="82"/>
      <c r="AI283" s="82"/>
      <c r="AJ283" s="82"/>
      <c r="AK283" s="82"/>
      <c r="AL283" s="82"/>
      <c r="AM283" s="82"/>
      <c r="AN283" s="82"/>
      <c r="AO283" s="82"/>
      <c r="AP283" s="82"/>
      <c r="AQ283" s="82"/>
      <c r="AR283" s="82"/>
      <c r="AS283" s="82"/>
      <c r="AT283" s="82"/>
      <c r="AU283" s="82"/>
      <c r="AV283" s="82"/>
      <c r="AW283" s="82"/>
      <c r="AX283" s="82"/>
      <c r="AY283" s="82"/>
      <c r="AZ283" s="82"/>
      <c r="BA283" s="82"/>
      <c r="BB283" s="82"/>
      <c r="BC283" s="82"/>
      <c r="BD283" s="82"/>
      <c r="BE283" s="82"/>
      <c r="BF283" s="82"/>
      <c r="BG283" s="82"/>
      <c r="BH283" s="82"/>
      <c r="BI283" s="82"/>
      <c r="BJ283" s="82"/>
      <c r="BK283" s="82"/>
      <c r="BL283" s="82"/>
      <c r="BM283" s="82"/>
      <c r="BN283" s="82"/>
      <c r="BO283" s="81"/>
      <c r="BP283" s="81"/>
    </row>
    <row r="284" spans="11:68" x14ac:dyDescent="0.3">
      <c r="K284" s="82"/>
      <c r="L284" s="82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82"/>
      <c r="Z284" s="82"/>
      <c r="AA284" s="82"/>
      <c r="AB284" s="82"/>
      <c r="AC284" s="82"/>
      <c r="AD284" s="82"/>
      <c r="AE284" s="82"/>
      <c r="AF284" s="82"/>
      <c r="AG284" s="82"/>
      <c r="AH284" s="82"/>
      <c r="AI284" s="82"/>
      <c r="AJ284" s="82"/>
      <c r="AK284" s="82"/>
      <c r="AL284" s="82"/>
      <c r="AM284" s="82"/>
      <c r="AN284" s="82"/>
      <c r="AO284" s="82"/>
      <c r="AP284" s="82"/>
      <c r="AQ284" s="82"/>
      <c r="AR284" s="82"/>
      <c r="AS284" s="82"/>
      <c r="AT284" s="82"/>
      <c r="AU284" s="82"/>
      <c r="AV284" s="82"/>
      <c r="AW284" s="82"/>
      <c r="AX284" s="82"/>
      <c r="AY284" s="82"/>
      <c r="AZ284" s="82"/>
      <c r="BA284" s="82"/>
      <c r="BB284" s="82"/>
      <c r="BC284" s="82"/>
      <c r="BD284" s="82"/>
      <c r="BE284" s="82"/>
      <c r="BF284" s="82"/>
      <c r="BG284" s="82"/>
      <c r="BH284" s="82"/>
      <c r="BI284" s="82"/>
      <c r="BJ284" s="82"/>
      <c r="BK284" s="82"/>
      <c r="BL284" s="82"/>
      <c r="BM284" s="82"/>
      <c r="BN284" s="82"/>
      <c r="BO284" s="81"/>
      <c r="BP284" s="81"/>
    </row>
    <row r="285" spans="11:68" x14ac:dyDescent="0.3">
      <c r="K285" s="82"/>
      <c r="L285" s="82"/>
      <c r="M285" s="82"/>
      <c r="N285" s="82"/>
      <c r="O285" s="82"/>
      <c r="P285" s="82"/>
      <c r="Q285" s="82"/>
      <c r="R285" s="82"/>
      <c r="S285" s="82"/>
      <c r="T285" s="82"/>
      <c r="U285" s="82"/>
      <c r="V285" s="82"/>
      <c r="W285" s="82"/>
      <c r="X285" s="82"/>
      <c r="Y285" s="82"/>
      <c r="Z285" s="82"/>
      <c r="AA285" s="82"/>
      <c r="AB285" s="82"/>
      <c r="AC285" s="82"/>
      <c r="AD285" s="82"/>
      <c r="AE285" s="82"/>
      <c r="AF285" s="82"/>
      <c r="AG285" s="82"/>
      <c r="AH285" s="82"/>
      <c r="AI285" s="82"/>
      <c r="AJ285" s="82"/>
      <c r="AK285" s="82"/>
      <c r="AL285" s="82"/>
      <c r="AM285" s="82"/>
      <c r="AN285" s="82"/>
      <c r="AO285" s="82"/>
      <c r="AP285" s="82"/>
      <c r="AQ285" s="82"/>
      <c r="AR285" s="82"/>
      <c r="AS285" s="82"/>
      <c r="AT285" s="82"/>
      <c r="AU285" s="82"/>
      <c r="AV285" s="82"/>
      <c r="AW285" s="82"/>
      <c r="AX285" s="82"/>
      <c r="AY285" s="82"/>
      <c r="AZ285" s="82"/>
      <c r="BA285" s="82"/>
      <c r="BB285" s="82"/>
      <c r="BC285" s="82"/>
      <c r="BD285" s="82"/>
      <c r="BE285" s="82"/>
      <c r="BF285" s="82"/>
      <c r="BG285" s="82"/>
      <c r="BH285" s="82"/>
      <c r="BI285" s="82"/>
      <c r="BJ285" s="82"/>
      <c r="BK285" s="82"/>
      <c r="BL285" s="82"/>
      <c r="BM285" s="82"/>
      <c r="BN285" s="82"/>
      <c r="BO285" s="81"/>
      <c r="BP285" s="81"/>
    </row>
    <row r="286" spans="11:68" x14ac:dyDescent="0.3">
      <c r="K286" s="82"/>
      <c r="L286" s="82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82"/>
      <c r="Z286" s="82"/>
      <c r="AA286" s="82"/>
      <c r="AB286" s="82"/>
      <c r="AC286" s="82"/>
      <c r="AD286" s="82"/>
      <c r="AE286" s="82"/>
      <c r="AF286" s="82"/>
      <c r="AG286" s="82"/>
      <c r="AH286" s="82"/>
      <c r="AI286" s="82"/>
      <c r="AJ286" s="82"/>
      <c r="AK286" s="82"/>
      <c r="AL286" s="82"/>
      <c r="AM286" s="82"/>
      <c r="AN286" s="82"/>
      <c r="AO286" s="82"/>
      <c r="AP286" s="82"/>
      <c r="AQ286" s="82"/>
      <c r="AR286" s="82"/>
      <c r="AS286" s="82"/>
      <c r="AT286" s="82"/>
      <c r="AU286" s="82"/>
      <c r="AV286" s="82"/>
      <c r="AW286" s="82"/>
      <c r="AX286" s="82"/>
      <c r="AY286" s="82"/>
      <c r="AZ286" s="82"/>
      <c r="BA286" s="82"/>
      <c r="BB286" s="82"/>
      <c r="BC286" s="82"/>
      <c r="BD286" s="82"/>
      <c r="BE286" s="82"/>
      <c r="BF286" s="82"/>
      <c r="BG286" s="82"/>
      <c r="BH286" s="82"/>
      <c r="BI286" s="82"/>
      <c r="BJ286" s="82"/>
      <c r="BK286" s="82"/>
      <c r="BL286" s="82"/>
      <c r="BM286" s="82"/>
      <c r="BN286" s="82"/>
      <c r="BO286" s="81"/>
      <c r="BP286" s="81"/>
    </row>
    <row r="287" spans="11:68" x14ac:dyDescent="0.3">
      <c r="K287" s="82"/>
      <c r="L287" s="82"/>
      <c r="M287" s="82"/>
      <c r="N287" s="82"/>
      <c r="O287" s="82"/>
      <c r="P287" s="82"/>
      <c r="Q287" s="82"/>
      <c r="R287" s="82"/>
      <c r="S287" s="82"/>
      <c r="T287" s="82"/>
      <c r="U287" s="82"/>
      <c r="V287" s="82"/>
      <c r="W287" s="82"/>
      <c r="X287" s="82"/>
      <c r="Y287" s="82"/>
      <c r="Z287" s="82"/>
      <c r="AA287" s="82"/>
      <c r="AB287" s="82"/>
      <c r="AC287" s="82"/>
      <c r="AD287" s="82"/>
      <c r="AE287" s="82"/>
      <c r="AF287" s="82"/>
      <c r="AG287" s="82"/>
      <c r="AH287" s="82"/>
      <c r="AI287" s="82"/>
      <c r="AJ287" s="82"/>
      <c r="AK287" s="82"/>
      <c r="AL287" s="82"/>
      <c r="AM287" s="82"/>
      <c r="AN287" s="82"/>
      <c r="AO287" s="82"/>
      <c r="AP287" s="82"/>
      <c r="AQ287" s="82"/>
      <c r="AR287" s="82"/>
      <c r="AS287" s="82"/>
      <c r="AT287" s="82"/>
      <c r="AU287" s="82"/>
      <c r="AV287" s="82"/>
      <c r="AW287" s="82"/>
      <c r="AX287" s="82"/>
      <c r="AY287" s="82"/>
      <c r="AZ287" s="82"/>
      <c r="BA287" s="82"/>
      <c r="BB287" s="82"/>
      <c r="BC287" s="82"/>
      <c r="BD287" s="82"/>
      <c r="BE287" s="82"/>
      <c r="BF287" s="82"/>
      <c r="BG287" s="82"/>
      <c r="BH287" s="82"/>
      <c r="BI287" s="82"/>
      <c r="BJ287" s="82"/>
      <c r="BK287" s="82"/>
      <c r="BL287" s="82"/>
      <c r="BM287" s="82"/>
      <c r="BN287" s="82"/>
      <c r="BO287" s="81"/>
      <c r="BP287" s="81"/>
    </row>
    <row r="288" spans="11:68" x14ac:dyDescent="0.3">
      <c r="K288" s="82"/>
      <c r="L288" s="82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82"/>
      <c r="Z288" s="82"/>
      <c r="AA288" s="82"/>
      <c r="AB288" s="82"/>
      <c r="AC288" s="82"/>
      <c r="AD288" s="82"/>
      <c r="AE288" s="82"/>
      <c r="AF288" s="82"/>
      <c r="AG288" s="82"/>
      <c r="AH288" s="82"/>
      <c r="AI288" s="82"/>
      <c r="AJ288" s="82"/>
      <c r="AK288" s="82"/>
      <c r="AL288" s="82"/>
      <c r="AM288" s="82"/>
      <c r="AN288" s="82"/>
      <c r="AO288" s="82"/>
      <c r="AP288" s="82"/>
      <c r="AQ288" s="82"/>
      <c r="AR288" s="82"/>
      <c r="AS288" s="82"/>
      <c r="AT288" s="82"/>
      <c r="AU288" s="82"/>
      <c r="AV288" s="82"/>
      <c r="AW288" s="82"/>
      <c r="AX288" s="82"/>
      <c r="AY288" s="82"/>
      <c r="AZ288" s="82"/>
      <c r="BA288" s="82"/>
      <c r="BB288" s="82"/>
      <c r="BC288" s="82"/>
      <c r="BD288" s="82"/>
      <c r="BE288" s="82"/>
      <c r="BF288" s="82"/>
      <c r="BG288" s="82"/>
      <c r="BH288" s="82"/>
      <c r="BI288" s="82"/>
      <c r="BJ288" s="82"/>
      <c r="BK288" s="82"/>
      <c r="BL288" s="82"/>
      <c r="BM288" s="82"/>
      <c r="BN288" s="82"/>
      <c r="BO288" s="81"/>
      <c r="BP288" s="81"/>
    </row>
    <row r="289" spans="11:68" x14ac:dyDescent="0.3"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  <c r="AB289" s="82"/>
      <c r="AC289" s="82"/>
      <c r="AD289" s="82"/>
      <c r="AE289" s="82"/>
      <c r="AF289" s="82"/>
      <c r="AG289" s="82"/>
      <c r="AH289" s="82"/>
      <c r="AI289" s="82"/>
      <c r="AJ289" s="82"/>
      <c r="AK289" s="82"/>
      <c r="AL289" s="82"/>
      <c r="AM289" s="82"/>
      <c r="AN289" s="82"/>
      <c r="AO289" s="82"/>
      <c r="AP289" s="82"/>
      <c r="AQ289" s="82"/>
      <c r="AR289" s="82"/>
      <c r="AS289" s="82"/>
      <c r="AT289" s="82"/>
      <c r="AU289" s="82"/>
      <c r="AV289" s="82"/>
      <c r="AW289" s="82"/>
      <c r="AX289" s="82"/>
      <c r="AY289" s="82"/>
      <c r="AZ289" s="82"/>
      <c r="BA289" s="82"/>
      <c r="BB289" s="82"/>
      <c r="BC289" s="82"/>
      <c r="BD289" s="82"/>
      <c r="BE289" s="82"/>
      <c r="BF289" s="82"/>
      <c r="BG289" s="82"/>
      <c r="BH289" s="82"/>
      <c r="BI289" s="82"/>
      <c r="BJ289" s="82"/>
      <c r="BK289" s="82"/>
      <c r="BL289" s="82"/>
      <c r="BM289" s="82"/>
      <c r="BN289" s="82"/>
      <c r="BO289" s="81"/>
      <c r="BP289" s="81"/>
    </row>
    <row r="290" spans="11:68" x14ac:dyDescent="0.3">
      <c r="K290" s="82"/>
      <c r="L290" s="82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82"/>
      <c r="Z290" s="82"/>
      <c r="AA290" s="82"/>
      <c r="AB290" s="82"/>
      <c r="AC290" s="82"/>
      <c r="AD290" s="82"/>
      <c r="AE290" s="82"/>
      <c r="AF290" s="82"/>
      <c r="AG290" s="82"/>
      <c r="AH290" s="82"/>
      <c r="AI290" s="82"/>
      <c r="AJ290" s="82"/>
      <c r="AK290" s="82"/>
      <c r="AL290" s="82"/>
      <c r="AM290" s="82"/>
      <c r="AN290" s="82"/>
      <c r="AO290" s="82"/>
      <c r="AP290" s="82"/>
      <c r="AQ290" s="82"/>
      <c r="AR290" s="82"/>
      <c r="AS290" s="82"/>
      <c r="AT290" s="82"/>
      <c r="AU290" s="82"/>
      <c r="AV290" s="82"/>
      <c r="AW290" s="82"/>
      <c r="AX290" s="82"/>
      <c r="AY290" s="82"/>
      <c r="AZ290" s="82"/>
      <c r="BA290" s="82"/>
      <c r="BB290" s="82"/>
      <c r="BC290" s="82"/>
      <c r="BD290" s="82"/>
      <c r="BE290" s="82"/>
      <c r="BF290" s="82"/>
      <c r="BG290" s="82"/>
      <c r="BH290" s="82"/>
      <c r="BI290" s="82"/>
      <c r="BJ290" s="82"/>
      <c r="BK290" s="82"/>
      <c r="BL290" s="82"/>
      <c r="BM290" s="82"/>
      <c r="BN290" s="82"/>
      <c r="BO290" s="81"/>
      <c r="BP290" s="81"/>
    </row>
    <row r="291" spans="11:68" x14ac:dyDescent="0.3">
      <c r="K291" s="82"/>
      <c r="L291" s="82"/>
      <c r="M291" s="82"/>
      <c r="N291" s="82"/>
      <c r="O291" s="82"/>
      <c r="P291" s="82"/>
      <c r="Q291" s="82"/>
      <c r="R291" s="82"/>
      <c r="S291" s="82"/>
      <c r="T291" s="82"/>
      <c r="U291" s="82"/>
      <c r="V291" s="82"/>
      <c r="W291" s="82"/>
      <c r="X291" s="82"/>
      <c r="Y291" s="82"/>
      <c r="Z291" s="82"/>
      <c r="AA291" s="82"/>
      <c r="AB291" s="82"/>
      <c r="AC291" s="82"/>
      <c r="AD291" s="82"/>
      <c r="AE291" s="82"/>
      <c r="AF291" s="82"/>
      <c r="AG291" s="82"/>
      <c r="AH291" s="82"/>
      <c r="AI291" s="82"/>
      <c r="AJ291" s="82"/>
      <c r="AK291" s="82"/>
      <c r="AL291" s="82"/>
      <c r="AM291" s="82"/>
      <c r="AN291" s="82"/>
      <c r="AO291" s="82"/>
      <c r="AP291" s="82"/>
      <c r="AQ291" s="82"/>
      <c r="AR291" s="82"/>
      <c r="AS291" s="82"/>
      <c r="AT291" s="82"/>
      <c r="AU291" s="82"/>
      <c r="AV291" s="82"/>
      <c r="AW291" s="82"/>
      <c r="AX291" s="82"/>
      <c r="AY291" s="82"/>
      <c r="AZ291" s="82"/>
      <c r="BA291" s="82"/>
      <c r="BB291" s="82"/>
      <c r="BC291" s="82"/>
      <c r="BD291" s="82"/>
      <c r="BE291" s="82"/>
      <c r="BF291" s="82"/>
      <c r="BG291" s="82"/>
      <c r="BH291" s="82"/>
      <c r="BI291" s="82"/>
      <c r="BJ291" s="82"/>
      <c r="BK291" s="82"/>
      <c r="BL291" s="82"/>
      <c r="BM291" s="82"/>
      <c r="BN291" s="82"/>
      <c r="BO291" s="81"/>
      <c r="BP291" s="81"/>
    </row>
    <row r="292" spans="11:68" x14ac:dyDescent="0.3">
      <c r="K292" s="82"/>
      <c r="L292" s="82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82"/>
      <c r="Z292" s="82"/>
      <c r="AA292" s="82"/>
      <c r="AB292" s="82"/>
      <c r="AC292" s="82"/>
      <c r="AD292" s="82"/>
      <c r="AE292" s="82"/>
      <c r="AF292" s="82"/>
      <c r="AG292" s="82"/>
      <c r="AH292" s="82"/>
      <c r="AI292" s="82"/>
      <c r="AJ292" s="82"/>
      <c r="AK292" s="82"/>
      <c r="AL292" s="82"/>
      <c r="AM292" s="82"/>
      <c r="AN292" s="82"/>
      <c r="AO292" s="82"/>
      <c r="AP292" s="82"/>
      <c r="AQ292" s="82"/>
      <c r="AR292" s="82"/>
      <c r="AS292" s="82"/>
      <c r="AT292" s="82"/>
      <c r="AU292" s="82"/>
      <c r="AV292" s="82"/>
      <c r="AW292" s="82"/>
      <c r="AX292" s="82"/>
      <c r="AY292" s="82"/>
      <c r="AZ292" s="82"/>
      <c r="BA292" s="82"/>
      <c r="BB292" s="82"/>
      <c r="BC292" s="82"/>
      <c r="BD292" s="82"/>
      <c r="BE292" s="82"/>
      <c r="BF292" s="82"/>
      <c r="BG292" s="82"/>
      <c r="BH292" s="82"/>
      <c r="BI292" s="82"/>
      <c r="BJ292" s="82"/>
      <c r="BK292" s="82"/>
      <c r="BL292" s="82"/>
      <c r="BM292" s="82"/>
      <c r="BN292" s="82"/>
      <c r="BO292" s="81"/>
      <c r="BP292" s="81"/>
    </row>
    <row r="293" spans="11:68" x14ac:dyDescent="0.3"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  <c r="AA293" s="82"/>
      <c r="AB293" s="82"/>
      <c r="AC293" s="82"/>
      <c r="AD293" s="82"/>
      <c r="AE293" s="82"/>
      <c r="AF293" s="82"/>
      <c r="AG293" s="82"/>
      <c r="AH293" s="82"/>
      <c r="AI293" s="82"/>
      <c r="AJ293" s="82"/>
      <c r="AK293" s="82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2"/>
      <c r="AW293" s="82"/>
      <c r="AX293" s="82"/>
      <c r="AY293" s="82"/>
      <c r="AZ293" s="82"/>
      <c r="BA293" s="82"/>
      <c r="BB293" s="82"/>
      <c r="BC293" s="82"/>
      <c r="BD293" s="82"/>
      <c r="BE293" s="82"/>
      <c r="BF293" s="82"/>
      <c r="BG293" s="82"/>
      <c r="BH293" s="82"/>
      <c r="BI293" s="82"/>
      <c r="BJ293" s="82"/>
      <c r="BK293" s="82"/>
      <c r="BL293" s="82"/>
      <c r="BM293" s="82"/>
      <c r="BN293" s="82"/>
      <c r="BO293" s="81"/>
      <c r="BP293" s="81"/>
    </row>
    <row r="294" spans="11:68" x14ac:dyDescent="0.3"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  <c r="AA294" s="82"/>
      <c r="AB294" s="82"/>
      <c r="AC294" s="82"/>
      <c r="AD294" s="82"/>
      <c r="AE294" s="82"/>
      <c r="AF294" s="82"/>
      <c r="AG294" s="82"/>
      <c r="AH294" s="82"/>
      <c r="AI294" s="82"/>
      <c r="AJ294" s="82"/>
      <c r="AK294" s="82"/>
      <c r="AL294" s="82"/>
      <c r="AM294" s="82"/>
      <c r="AN294" s="82"/>
      <c r="AO294" s="82"/>
      <c r="AP294" s="82"/>
      <c r="AQ294" s="82"/>
      <c r="AR294" s="82"/>
      <c r="AS294" s="82"/>
      <c r="AT294" s="82"/>
      <c r="AU294" s="82"/>
      <c r="AV294" s="82"/>
      <c r="AW294" s="82"/>
      <c r="AX294" s="82"/>
      <c r="AY294" s="82"/>
      <c r="AZ294" s="82"/>
      <c r="BA294" s="82"/>
      <c r="BB294" s="82"/>
      <c r="BC294" s="82"/>
      <c r="BD294" s="82"/>
      <c r="BE294" s="82"/>
      <c r="BF294" s="82"/>
      <c r="BG294" s="82"/>
      <c r="BH294" s="82"/>
      <c r="BI294" s="82"/>
      <c r="BJ294" s="82"/>
      <c r="BK294" s="82"/>
      <c r="BL294" s="82"/>
      <c r="BM294" s="82"/>
      <c r="BN294" s="82"/>
      <c r="BO294" s="81"/>
      <c r="BP294" s="81"/>
    </row>
    <row r="295" spans="11:68" x14ac:dyDescent="0.3">
      <c r="K295" s="82"/>
      <c r="L295" s="82"/>
      <c r="M295" s="82"/>
      <c r="N295" s="82"/>
      <c r="O295" s="82"/>
      <c r="P295" s="82"/>
      <c r="Q295" s="82"/>
      <c r="R295" s="82"/>
      <c r="S295" s="82"/>
      <c r="T295" s="82"/>
      <c r="U295" s="82"/>
      <c r="V295" s="82"/>
      <c r="W295" s="82"/>
      <c r="X295" s="82"/>
      <c r="Y295" s="82"/>
      <c r="Z295" s="82"/>
      <c r="AA295" s="82"/>
      <c r="AB295" s="82"/>
      <c r="AC295" s="82"/>
      <c r="AD295" s="82"/>
      <c r="AE295" s="82"/>
      <c r="AF295" s="82"/>
      <c r="AG295" s="82"/>
      <c r="AH295" s="82"/>
      <c r="AI295" s="82"/>
      <c r="AJ295" s="82"/>
      <c r="AK295" s="82"/>
      <c r="AL295" s="82"/>
      <c r="AM295" s="82"/>
      <c r="AN295" s="82"/>
      <c r="AO295" s="82"/>
      <c r="AP295" s="82"/>
      <c r="AQ295" s="82"/>
      <c r="AR295" s="82"/>
      <c r="AS295" s="82"/>
      <c r="AT295" s="82"/>
      <c r="AU295" s="82"/>
      <c r="AV295" s="82"/>
      <c r="AW295" s="82"/>
      <c r="AX295" s="82"/>
      <c r="AY295" s="82"/>
      <c r="AZ295" s="82"/>
      <c r="BA295" s="82"/>
      <c r="BB295" s="82"/>
      <c r="BC295" s="82"/>
      <c r="BD295" s="82"/>
      <c r="BE295" s="82"/>
      <c r="BF295" s="82"/>
      <c r="BG295" s="82"/>
      <c r="BH295" s="82"/>
      <c r="BI295" s="82"/>
      <c r="BJ295" s="82"/>
      <c r="BK295" s="82"/>
      <c r="BL295" s="82"/>
      <c r="BM295" s="82"/>
      <c r="BN295" s="82"/>
      <c r="BO295" s="81"/>
      <c r="BP295" s="81"/>
    </row>
    <row r="296" spans="11:68" x14ac:dyDescent="0.3">
      <c r="K296" s="82"/>
      <c r="L296" s="82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82"/>
      <c r="Z296" s="82"/>
      <c r="AA296" s="82"/>
      <c r="AB296" s="82"/>
      <c r="AC296" s="82"/>
      <c r="AD296" s="82"/>
      <c r="AE296" s="82"/>
      <c r="AF296" s="82"/>
      <c r="AG296" s="82"/>
      <c r="AH296" s="82"/>
      <c r="AI296" s="82"/>
      <c r="AJ296" s="82"/>
      <c r="AK296" s="82"/>
      <c r="AL296" s="82"/>
      <c r="AM296" s="82"/>
      <c r="AN296" s="82"/>
      <c r="AO296" s="82"/>
      <c r="AP296" s="82"/>
      <c r="AQ296" s="82"/>
      <c r="AR296" s="82"/>
      <c r="AS296" s="82"/>
      <c r="AT296" s="82"/>
      <c r="AU296" s="82"/>
      <c r="AV296" s="82"/>
      <c r="AW296" s="82"/>
      <c r="AX296" s="82"/>
      <c r="AY296" s="82"/>
      <c r="AZ296" s="82"/>
      <c r="BA296" s="82"/>
      <c r="BB296" s="82"/>
      <c r="BC296" s="82"/>
      <c r="BD296" s="82"/>
      <c r="BE296" s="82"/>
      <c r="BF296" s="82"/>
      <c r="BG296" s="82"/>
      <c r="BH296" s="82"/>
      <c r="BI296" s="82"/>
      <c r="BJ296" s="82"/>
      <c r="BK296" s="82"/>
      <c r="BL296" s="82"/>
      <c r="BM296" s="82"/>
      <c r="BN296" s="82"/>
      <c r="BO296" s="81"/>
      <c r="BP296" s="81"/>
    </row>
    <row r="297" spans="11:68" x14ac:dyDescent="0.3"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  <c r="AB297" s="82"/>
      <c r="AC297" s="82"/>
      <c r="AD297" s="82"/>
      <c r="AE297" s="82"/>
      <c r="AF297" s="82"/>
      <c r="AG297" s="82"/>
      <c r="AH297" s="82"/>
      <c r="AI297" s="82"/>
      <c r="AJ297" s="82"/>
      <c r="AK297" s="82"/>
      <c r="AL297" s="82"/>
      <c r="AM297" s="82"/>
      <c r="AN297" s="82"/>
      <c r="AO297" s="82"/>
      <c r="AP297" s="82"/>
      <c r="AQ297" s="82"/>
      <c r="AR297" s="82"/>
      <c r="AS297" s="82"/>
      <c r="AT297" s="82"/>
      <c r="AU297" s="82"/>
      <c r="AV297" s="82"/>
      <c r="AW297" s="82"/>
      <c r="AX297" s="82"/>
      <c r="AY297" s="82"/>
      <c r="AZ297" s="82"/>
      <c r="BA297" s="82"/>
      <c r="BB297" s="82"/>
      <c r="BC297" s="82"/>
      <c r="BD297" s="82"/>
      <c r="BE297" s="82"/>
      <c r="BF297" s="82"/>
      <c r="BG297" s="82"/>
      <c r="BH297" s="82"/>
      <c r="BI297" s="82"/>
      <c r="BJ297" s="82"/>
      <c r="BK297" s="82"/>
      <c r="BL297" s="82"/>
      <c r="BM297" s="82"/>
      <c r="BN297" s="82"/>
      <c r="BO297" s="81"/>
      <c r="BP297" s="81"/>
    </row>
    <row r="298" spans="11:68" x14ac:dyDescent="0.3">
      <c r="K298" s="82"/>
      <c r="L298" s="82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82"/>
      <c r="Z298" s="82"/>
      <c r="AA298" s="82"/>
      <c r="AB298" s="82"/>
      <c r="AC298" s="82"/>
      <c r="AD298" s="82"/>
      <c r="AE298" s="82"/>
      <c r="AF298" s="82"/>
      <c r="AG298" s="82"/>
      <c r="AH298" s="82"/>
      <c r="AI298" s="82"/>
      <c r="AJ298" s="82"/>
      <c r="AK298" s="82"/>
      <c r="AL298" s="82"/>
      <c r="AM298" s="82"/>
      <c r="AN298" s="82"/>
      <c r="AO298" s="82"/>
      <c r="AP298" s="82"/>
      <c r="AQ298" s="82"/>
      <c r="AR298" s="82"/>
      <c r="AS298" s="82"/>
      <c r="AT298" s="82"/>
      <c r="AU298" s="82"/>
      <c r="AV298" s="82"/>
      <c r="AW298" s="82"/>
      <c r="AX298" s="82"/>
      <c r="AY298" s="82"/>
      <c r="AZ298" s="82"/>
      <c r="BA298" s="82"/>
      <c r="BB298" s="82"/>
      <c r="BC298" s="82"/>
      <c r="BD298" s="82"/>
      <c r="BE298" s="82"/>
      <c r="BF298" s="82"/>
      <c r="BG298" s="82"/>
      <c r="BH298" s="82"/>
      <c r="BI298" s="82"/>
      <c r="BJ298" s="82"/>
      <c r="BK298" s="82"/>
      <c r="BL298" s="82"/>
      <c r="BM298" s="82"/>
      <c r="BN298" s="82"/>
      <c r="BO298" s="81"/>
      <c r="BP298" s="81"/>
    </row>
    <row r="299" spans="11:68" x14ac:dyDescent="0.3">
      <c r="K299" s="82"/>
      <c r="L299" s="82"/>
      <c r="M299" s="82"/>
      <c r="N299" s="82"/>
      <c r="O299" s="82"/>
      <c r="P299" s="82"/>
      <c r="Q299" s="82"/>
      <c r="R299" s="82"/>
      <c r="S299" s="82"/>
      <c r="T299" s="82"/>
      <c r="U299" s="82"/>
      <c r="V299" s="82"/>
      <c r="W299" s="82"/>
      <c r="X299" s="82"/>
      <c r="Y299" s="82"/>
      <c r="Z299" s="82"/>
      <c r="AA299" s="82"/>
      <c r="AB299" s="82"/>
      <c r="AC299" s="82"/>
      <c r="AD299" s="82"/>
      <c r="AE299" s="82"/>
      <c r="AF299" s="82"/>
      <c r="AG299" s="82"/>
      <c r="AH299" s="82"/>
      <c r="AI299" s="82"/>
      <c r="AJ299" s="82"/>
      <c r="AK299" s="82"/>
      <c r="AL299" s="82"/>
      <c r="AM299" s="82"/>
      <c r="AN299" s="82"/>
      <c r="AO299" s="82"/>
      <c r="AP299" s="82"/>
      <c r="AQ299" s="82"/>
      <c r="AR299" s="82"/>
      <c r="AS299" s="82"/>
      <c r="AT299" s="82"/>
      <c r="AU299" s="82"/>
      <c r="AV299" s="82"/>
      <c r="AW299" s="82"/>
      <c r="AX299" s="82"/>
      <c r="AY299" s="82"/>
      <c r="AZ299" s="82"/>
      <c r="BA299" s="82"/>
      <c r="BB299" s="82"/>
      <c r="BC299" s="82"/>
      <c r="BD299" s="82"/>
      <c r="BE299" s="82"/>
      <c r="BF299" s="82"/>
      <c r="BG299" s="82"/>
      <c r="BH299" s="82"/>
      <c r="BI299" s="82"/>
      <c r="BJ299" s="82"/>
      <c r="BK299" s="82"/>
      <c r="BL299" s="82"/>
      <c r="BM299" s="82"/>
      <c r="BN299" s="82"/>
      <c r="BO299" s="81"/>
      <c r="BP299" s="81"/>
    </row>
    <row r="300" spans="11:68" x14ac:dyDescent="0.3">
      <c r="K300" s="82"/>
      <c r="L300" s="82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82"/>
      <c r="Z300" s="82"/>
      <c r="AA300" s="82"/>
      <c r="AB300" s="82"/>
      <c r="AC300" s="82"/>
      <c r="AD300" s="82"/>
      <c r="AE300" s="82"/>
      <c r="AF300" s="82"/>
      <c r="AG300" s="82"/>
      <c r="AH300" s="82"/>
      <c r="AI300" s="82"/>
      <c r="AJ300" s="82"/>
      <c r="AK300" s="82"/>
      <c r="AL300" s="82"/>
      <c r="AM300" s="82"/>
      <c r="AN300" s="82"/>
      <c r="AO300" s="82"/>
      <c r="AP300" s="82"/>
      <c r="AQ300" s="82"/>
      <c r="AR300" s="82"/>
      <c r="AS300" s="82"/>
      <c r="AT300" s="82"/>
      <c r="AU300" s="82"/>
      <c r="AV300" s="82"/>
      <c r="AW300" s="82"/>
      <c r="AX300" s="82"/>
      <c r="AY300" s="82"/>
      <c r="AZ300" s="82"/>
      <c r="BA300" s="82"/>
      <c r="BB300" s="82"/>
      <c r="BC300" s="82"/>
      <c r="BD300" s="82"/>
      <c r="BE300" s="82"/>
      <c r="BF300" s="82"/>
      <c r="BG300" s="82"/>
      <c r="BH300" s="82"/>
      <c r="BI300" s="82"/>
      <c r="BJ300" s="82"/>
      <c r="BK300" s="82"/>
      <c r="BL300" s="82"/>
      <c r="BM300" s="82"/>
      <c r="BN300" s="82"/>
      <c r="BO300" s="81"/>
      <c r="BP300" s="81"/>
    </row>
    <row r="301" spans="11:68" x14ac:dyDescent="0.3">
      <c r="K301" s="82"/>
      <c r="L301" s="82"/>
      <c r="M301" s="82"/>
      <c r="N301" s="82"/>
      <c r="O301" s="82"/>
      <c r="P301" s="82"/>
      <c r="Q301" s="82"/>
      <c r="R301" s="82"/>
      <c r="S301" s="82"/>
      <c r="T301" s="82"/>
      <c r="U301" s="82"/>
      <c r="V301" s="82"/>
      <c r="W301" s="82"/>
      <c r="X301" s="82"/>
      <c r="Y301" s="82"/>
      <c r="Z301" s="82"/>
      <c r="AA301" s="82"/>
      <c r="AB301" s="82"/>
      <c r="AC301" s="82"/>
      <c r="AD301" s="82"/>
      <c r="AE301" s="82"/>
      <c r="AF301" s="82"/>
      <c r="AG301" s="82"/>
      <c r="AH301" s="82"/>
      <c r="AI301" s="82"/>
      <c r="AJ301" s="82"/>
      <c r="AK301" s="82"/>
      <c r="AL301" s="82"/>
      <c r="AM301" s="82"/>
      <c r="AN301" s="82"/>
      <c r="AO301" s="82"/>
      <c r="AP301" s="82"/>
      <c r="AQ301" s="82"/>
      <c r="AR301" s="82"/>
      <c r="AS301" s="82"/>
      <c r="AT301" s="82"/>
      <c r="AU301" s="82"/>
      <c r="AV301" s="82"/>
      <c r="AW301" s="82"/>
      <c r="AX301" s="82"/>
      <c r="AY301" s="82"/>
      <c r="AZ301" s="82"/>
      <c r="BA301" s="82"/>
      <c r="BB301" s="82"/>
      <c r="BC301" s="82"/>
      <c r="BD301" s="82"/>
      <c r="BE301" s="82"/>
      <c r="BF301" s="82"/>
      <c r="BG301" s="82"/>
      <c r="BH301" s="82"/>
      <c r="BI301" s="82"/>
      <c r="BJ301" s="82"/>
      <c r="BK301" s="82"/>
      <c r="BL301" s="82"/>
      <c r="BM301" s="82"/>
      <c r="BN301" s="82"/>
      <c r="BO301" s="81"/>
      <c r="BP301" s="81"/>
    </row>
    <row r="302" spans="11:68" x14ac:dyDescent="0.3">
      <c r="K302" s="82"/>
      <c r="L302" s="82"/>
      <c r="M302" s="82"/>
      <c r="N302" s="82"/>
      <c r="O302" s="82"/>
      <c r="P302" s="82"/>
      <c r="Q302" s="82"/>
      <c r="R302" s="82"/>
      <c r="S302" s="82"/>
      <c r="T302" s="82"/>
      <c r="U302" s="82"/>
      <c r="V302" s="82"/>
      <c r="W302" s="82"/>
      <c r="X302" s="82"/>
      <c r="Y302" s="82"/>
      <c r="Z302" s="82"/>
      <c r="AA302" s="82"/>
      <c r="AB302" s="82"/>
      <c r="AC302" s="82"/>
      <c r="AD302" s="82"/>
      <c r="AE302" s="82"/>
      <c r="AF302" s="82"/>
      <c r="AG302" s="82"/>
      <c r="AH302" s="82"/>
      <c r="AI302" s="82"/>
      <c r="AJ302" s="82"/>
      <c r="AK302" s="82"/>
      <c r="AL302" s="82"/>
      <c r="AM302" s="82"/>
      <c r="AN302" s="82"/>
      <c r="AO302" s="82"/>
      <c r="AP302" s="82"/>
      <c r="AQ302" s="82"/>
      <c r="AR302" s="82"/>
      <c r="AS302" s="82"/>
      <c r="AT302" s="82"/>
      <c r="AU302" s="82"/>
      <c r="AV302" s="82"/>
      <c r="AW302" s="82"/>
      <c r="AX302" s="82"/>
      <c r="AY302" s="82"/>
      <c r="AZ302" s="82"/>
      <c r="BA302" s="82"/>
      <c r="BB302" s="82"/>
      <c r="BC302" s="82"/>
      <c r="BD302" s="82"/>
      <c r="BE302" s="82"/>
      <c r="BF302" s="82"/>
      <c r="BG302" s="82"/>
      <c r="BH302" s="82"/>
      <c r="BI302" s="82"/>
      <c r="BJ302" s="82"/>
      <c r="BK302" s="82"/>
      <c r="BL302" s="82"/>
      <c r="BM302" s="82"/>
      <c r="BN302" s="82"/>
      <c r="BO302" s="81"/>
      <c r="BP302" s="81"/>
    </row>
    <row r="303" spans="11:68" x14ac:dyDescent="0.3">
      <c r="K303" s="82"/>
      <c r="L303" s="82"/>
      <c r="M303" s="82"/>
      <c r="N303" s="82"/>
      <c r="O303" s="82"/>
      <c r="P303" s="82"/>
      <c r="Q303" s="82"/>
      <c r="R303" s="82"/>
      <c r="S303" s="82"/>
      <c r="T303" s="82"/>
      <c r="U303" s="82"/>
      <c r="V303" s="82"/>
      <c r="W303" s="82"/>
      <c r="X303" s="82"/>
      <c r="Y303" s="82"/>
      <c r="Z303" s="82"/>
      <c r="AA303" s="82"/>
      <c r="AB303" s="82"/>
      <c r="AC303" s="82"/>
      <c r="AD303" s="82"/>
      <c r="AE303" s="82"/>
      <c r="AF303" s="82"/>
      <c r="AG303" s="82"/>
      <c r="AH303" s="82"/>
      <c r="AI303" s="82"/>
      <c r="AJ303" s="82"/>
      <c r="AK303" s="82"/>
      <c r="AL303" s="82"/>
      <c r="AM303" s="82"/>
      <c r="AN303" s="82"/>
      <c r="AO303" s="82"/>
      <c r="AP303" s="82"/>
      <c r="AQ303" s="82"/>
      <c r="AR303" s="82"/>
      <c r="AS303" s="82"/>
      <c r="AT303" s="82"/>
      <c r="AU303" s="82"/>
      <c r="AV303" s="82"/>
      <c r="AW303" s="82"/>
      <c r="AX303" s="82"/>
      <c r="AY303" s="82"/>
      <c r="AZ303" s="82"/>
      <c r="BA303" s="82"/>
      <c r="BB303" s="82"/>
      <c r="BC303" s="82"/>
      <c r="BD303" s="82"/>
      <c r="BE303" s="82"/>
      <c r="BF303" s="82"/>
      <c r="BG303" s="82"/>
      <c r="BH303" s="82"/>
      <c r="BI303" s="82"/>
      <c r="BJ303" s="82"/>
      <c r="BK303" s="82"/>
      <c r="BL303" s="82"/>
      <c r="BM303" s="82"/>
      <c r="BN303" s="82"/>
      <c r="BO303" s="81"/>
      <c r="BP303" s="81"/>
    </row>
    <row r="304" spans="11:68" x14ac:dyDescent="0.3"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  <c r="AB304" s="82"/>
      <c r="AC304" s="82"/>
      <c r="AD304" s="82"/>
      <c r="AE304" s="82"/>
      <c r="AF304" s="82"/>
      <c r="AG304" s="82"/>
      <c r="AH304" s="82"/>
      <c r="AI304" s="82"/>
      <c r="AJ304" s="82"/>
      <c r="AK304" s="82"/>
      <c r="AL304" s="82"/>
      <c r="AM304" s="82"/>
      <c r="AN304" s="82"/>
      <c r="AO304" s="82"/>
      <c r="AP304" s="82"/>
      <c r="AQ304" s="82"/>
      <c r="AR304" s="82"/>
      <c r="AS304" s="82"/>
      <c r="AT304" s="82"/>
      <c r="AU304" s="82"/>
      <c r="AV304" s="82"/>
      <c r="AW304" s="82"/>
      <c r="AX304" s="82"/>
      <c r="AY304" s="82"/>
      <c r="AZ304" s="82"/>
      <c r="BA304" s="82"/>
      <c r="BB304" s="82"/>
      <c r="BC304" s="82"/>
      <c r="BD304" s="82"/>
      <c r="BE304" s="82"/>
      <c r="BF304" s="82"/>
      <c r="BG304" s="82"/>
      <c r="BH304" s="82"/>
      <c r="BI304" s="82"/>
      <c r="BJ304" s="82"/>
      <c r="BK304" s="82"/>
      <c r="BL304" s="82"/>
      <c r="BM304" s="82"/>
      <c r="BN304" s="82"/>
      <c r="BO304" s="81"/>
      <c r="BP304" s="81"/>
    </row>
    <row r="305" spans="11:68" x14ac:dyDescent="0.3">
      <c r="K305" s="82"/>
      <c r="L305" s="82"/>
      <c r="M305" s="82"/>
      <c r="N305" s="82"/>
      <c r="O305" s="82"/>
      <c r="P305" s="82"/>
      <c r="Q305" s="82"/>
      <c r="R305" s="82"/>
      <c r="S305" s="82"/>
      <c r="T305" s="82"/>
      <c r="U305" s="82"/>
      <c r="V305" s="82"/>
      <c r="W305" s="82"/>
      <c r="X305" s="82"/>
      <c r="Y305" s="82"/>
      <c r="Z305" s="82"/>
      <c r="AA305" s="82"/>
      <c r="AB305" s="82"/>
      <c r="AC305" s="82"/>
      <c r="AD305" s="82"/>
      <c r="AE305" s="82"/>
      <c r="AF305" s="82"/>
      <c r="AG305" s="82"/>
      <c r="AH305" s="82"/>
      <c r="AI305" s="82"/>
      <c r="AJ305" s="82"/>
      <c r="AK305" s="82"/>
      <c r="AL305" s="82"/>
      <c r="AM305" s="82"/>
      <c r="AN305" s="82"/>
      <c r="AO305" s="82"/>
      <c r="AP305" s="82"/>
      <c r="AQ305" s="82"/>
      <c r="AR305" s="82"/>
      <c r="AS305" s="82"/>
      <c r="AT305" s="82"/>
      <c r="AU305" s="82"/>
      <c r="AV305" s="82"/>
      <c r="AW305" s="82"/>
      <c r="AX305" s="82"/>
      <c r="AY305" s="82"/>
      <c r="AZ305" s="82"/>
      <c r="BA305" s="82"/>
      <c r="BB305" s="82"/>
      <c r="BC305" s="82"/>
      <c r="BD305" s="82"/>
      <c r="BE305" s="82"/>
      <c r="BF305" s="82"/>
      <c r="BG305" s="82"/>
      <c r="BH305" s="82"/>
      <c r="BI305" s="82"/>
      <c r="BJ305" s="82"/>
      <c r="BK305" s="82"/>
      <c r="BL305" s="82"/>
      <c r="BM305" s="82"/>
      <c r="BN305" s="82"/>
      <c r="BO305" s="81"/>
      <c r="BP305" s="81"/>
    </row>
    <row r="306" spans="11:68" x14ac:dyDescent="0.3">
      <c r="K306" s="82"/>
      <c r="L306" s="82"/>
      <c r="M306" s="82"/>
      <c r="N306" s="82"/>
      <c r="O306" s="82"/>
      <c r="P306" s="82"/>
      <c r="Q306" s="82"/>
      <c r="R306" s="82"/>
      <c r="S306" s="82"/>
      <c r="T306" s="82"/>
      <c r="U306" s="82"/>
      <c r="V306" s="82"/>
      <c r="W306" s="82"/>
      <c r="X306" s="82"/>
      <c r="Y306" s="82"/>
      <c r="Z306" s="82"/>
      <c r="AA306" s="82"/>
      <c r="AB306" s="82"/>
      <c r="AC306" s="82"/>
      <c r="AD306" s="82"/>
      <c r="AE306" s="82"/>
      <c r="AF306" s="82"/>
      <c r="AG306" s="82"/>
      <c r="AH306" s="82"/>
      <c r="AI306" s="82"/>
      <c r="AJ306" s="82"/>
      <c r="AK306" s="82"/>
      <c r="AL306" s="82"/>
      <c r="AM306" s="82"/>
      <c r="AN306" s="82"/>
      <c r="AO306" s="82"/>
      <c r="AP306" s="82"/>
      <c r="AQ306" s="82"/>
      <c r="AR306" s="82"/>
      <c r="AS306" s="82"/>
      <c r="AT306" s="82"/>
      <c r="AU306" s="82"/>
      <c r="AV306" s="82"/>
      <c r="AW306" s="82"/>
      <c r="AX306" s="82"/>
      <c r="AY306" s="82"/>
      <c r="AZ306" s="82"/>
      <c r="BA306" s="82"/>
      <c r="BB306" s="82"/>
      <c r="BC306" s="82"/>
      <c r="BD306" s="82"/>
      <c r="BE306" s="82"/>
      <c r="BF306" s="82"/>
      <c r="BG306" s="82"/>
      <c r="BH306" s="82"/>
      <c r="BI306" s="82"/>
      <c r="BJ306" s="82"/>
      <c r="BK306" s="82"/>
      <c r="BL306" s="82"/>
      <c r="BM306" s="82"/>
      <c r="BN306" s="82"/>
      <c r="BO306" s="81"/>
      <c r="BP306" s="81"/>
    </row>
    <row r="307" spans="11:68" x14ac:dyDescent="0.3">
      <c r="K307" s="82"/>
      <c r="L307" s="82"/>
      <c r="M307" s="82"/>
      <c r="N307" s="82"/>
      <c r="O307" s="82"/>
      <c r="P307" s="82"/>
      <c r="Q307" s="82"/>
      <c r="R307" s="82"/>
      <c r="S307" s="82"/>
      <c r="T307" s="82"/>
      <c r="U307" s="82"/>
      <c r="V307" s="82"/>
      <c r="W307" s="82"/>
      <c r="X307" s="82"/>
      <c r="Y307" s="82"/>
      <c r="Z307" s="82"/>
      <c r="AA307" s="82"/>
      <c r="AB307" s="82"/>
      <c r="AC307" s="82"/>
      <c r="AD307" s="82"/>
      <c r="AE307" s="82"/>
      <c r="AF307" s="82"/>
      <c r="AG307" s="82"/>
      <c r="AH307" s="82"/>
      <c r="AI307" s="82"/>
      <c r="AJ307" s="82"/>
      <c r="AK307" s="82"/>
      <c r="AL307" s="82"/>
      <c r="AM307" s="82"/>
      <c r="AN307" s="82"/>
      <c r="AO307" s="82"/>
      <c r="AP307" s="82"/>
      <c r="AQ307" s="82"/>
      <c r="AR307" s="82"/>
      <c r="AS307" s="82"/>
      <c r="AT307" s="82"/>
      <c r="AU307" s="82"/>
      <c r="AV307" s="82"/>
      <c r="AW307" s="82"/>
      <c r="AX307" s="82"/>
      <c r="AY307" s="82"/>
      <c r="AZ307" s="82"/>
      <c r="BA307" s="82"/>
      <c r="BB307" s="82"/>
      <c r="BC307" s="82"/>
      <c r="BD307" s="82"/>
      <c r="BE307" s="82"/>
      <c r="BF307" s="82"/>
      <c r="BG307" s="82"/>
      <c r="BH307" s="82"/>
      <c r="BI307" s="82"/>
      <c r="BJ307" s="82"/>
      <c r="BK307" s="82"/>
      <c r="BL307" s="82"/>
      <c r="BM307" s="82"/>
      <c r="BN307" s="82"/>
      <c r="BO307" s="81"/>
      <c r="BP307" s="81"/>
    </row>
    <row r="308" spans="11:68" x14ac:dyDescent="0.3"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  <c r="AA308" s="82"/>
      <c r="AB308" s="82"/>
      <c r="AC308" s="82"/>
      <c r="AD308" s="82"/>
      <c r="AE308" s="82"/>
      <c r="AF308" s="82"/>
      <c r="AG308" s="82"/>
      <c r="AH308" s="82"/>
      <c r="AI308" s="82"/>
      <c r="AJ308" s="82"/>
      <c r="AK308" s="82"/>
      <c r="AL308" s="82"/>
      <c r="AM308" s="82"/>
      <c r="AN308" s="82"/>
      <c r="AO308" s="82"/>
      <c r="AP308" s="82"/>
      <c r="AQ308" s="82"/>
      <c r="AR308" s="82"/>
      <c r="AS308" s="82"/>
      <c r="AT308" s="82"/>
      <c r="AU308" s="82"/>
      <c r="AV308" s="82"/>
      <c r="AW308" s="82"/>
      <c r="AX308" s="82"/>
      <c r="AY308" s="82"/>
      <c r="AZ308" s="82"/>
      <c r="BA308" s="82"/>
      <c r="BB308" s="82"/>
      <c r="BC308" s="82"/>
      <c r="BD308" s="82"/>
      <c r="BE308" s="82"/>
      <c r="BF308" s="82"/>
      <c r="BG308" s="82"/>
      <c r="BH308" s="82"/>
      <c r="BI308" s="82"/>
      <c r="BJ308" s="82"/>
      <c r="BK308" s="82"/>
      <c r="BL308" s="82"/>
      <c r="BM308" s="82"/>
      <c r="BN308" s="82"/>
      <c r="BO308" s="81"/>
      <c r="BP308" s="81"/>
    </row>
    <row r="309" spans="11:68" x14ac:dyDescent="0.3">
      <c r="K309" s="82"/>
      <c r="L309" s="82"/>
      <c r="M309" s="82"/>
      <c r="N309" s="82"/>
      <c r="O309" s="82"/>
      <c r="P309" s="82"/>
      <c r="Q309" s="82"/>
      <c r="R309" s="82"/>
      <c r="S309" s="82"/>
      <c r="T309" s="82"/>
      <c r="U309" s="82"/>
      <c r="V309" s="82"/>
      <c r="W309" s="82"/>
      <c r="X309" s="82"/>
      <c r="Y309" s="82"/>
      <c r="Z309" s="82"/>
      <c r="AA309" s="82"/>
      <c r="AB309" s="82"/>
      <c r="AC309" s="82"/>
      <c r="AD309" s="82"/>
      <c r="AE309" s="82"/>
      <c r="AF309" s="82"/>
      <c r="AG309" s="82"/>
      <c r="AH309" s="82"/>
      <c r="AI309" s="82"/>
      <c r="AJ309" s="82"/>
      <c r="AK309" s="82"/>
      <c r="AL309" s="82"/>
      <c r="AM309" s="82"/>
      <c r="AN309" s="82"/>
      <c r="AO309" s="82"/>
      <c r="AP309" s="82"/>
      <c r="AQ309" s="82"/>
      <c r="AR309" s="82"/>
      <c r="AS309" s="82"/>
      <c r="AT309" s="82"/>
      <c r="AU309" s="82"/>
      <c r="AV309" s="82"/>
      <c r="AW309" s="82"/>
      <c r="AX309" s="82"/>
      <c r="AY309" s="82"/>
      <c r="AZ309" s="82"/>
      <c r="BA309" s="82"/>
      <c r="BB309" s="82"/>
      <c r="BC309" s="82"/>
      <c r="BD309" s="82"/>
      <c r="BE309" s="82"/>
      <c r="BF309" s="82"/>
      <c r="BG309" s="82"/>
      <c r="BH309" s="82"/>
      <c r="BI309" s="82"/>
      <c r="BJ309" s="82"/>
      <c r="BK309" s="82"/>
      <c r="BL309" s="82"/>
      <c r="BM309" s="82"/>
      <c r="BN309" s="82"/>
      <c r="BO309" s="81"/>
      <c r="BP309" s="81"/>
    </row>
    <row r="310" spans="11:68" x14ac:dyDescent="0.3"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  <c r="AA310" s="82"/>
      <c r="AB310" s="82"/>
      <c r="AC310" s="82"/>
      <c r="AD310" s="82"/>
      <c r="AE310" s="82"/>
      <c r="AF310" s="82"/>
      <c r="AG310" s="82"/>
      <c r="AH310" s="82"/>
      <c r="AI310" s="82"/>
      <c r="AJ310" s="82"/>
      <c r="AK310" s="82"/>
      <c r="AL310" s="82"/>
      <c r="AM310" s="82"/>
      <c r="AN310" s="82"/>
      <c r="AO310" s="82"/>
      <c r="AP310" s="82"/>
      <c r="AQ310" s="82"/>
      <c r="AR310" s="82"/>
      <c r="AS310" s="82"/>
      <c r="AT310" s="82"/>
      <c r="AU310" s="82"/>
      <c r="AV310" s="82"/>
      <c r="AW310" s="82"/>
      <c r="AX310" s="82"/>
      <c r="AY310" s="82"/>
      <c r="AZ310" s="82"/>
      <c r="BA310" s="82"/>
      <c r="BB310" s="82"/>
      <c r="BC310" s="82"/>
      <c r="BD310" s="82"/>
      <c r="BE310" s="82"/>
      <c r="BF310" s="82"/>
      <c r="BG310" s="82"/>
      <c r="BH310" s="82"/>
      <c r="BI310" s="82"/>
      <c r="BJ310" s="82"/>
      <c r="BK310" s="82"/>
      <c r="BL310" s="82"/>
      <c r="BM310" s="82"/>
      <c r="BN310" s="82"/>
      <c r="BO310" s="81"/>
      <c r="BP310" s="81"/>
    </row>
    <row r="311" spans="11:68" x14ac:dyDescent="0.3">
      <c r="K311" s="82"/>
      <c r="L311" s="82"/>
      <c r="M311" s="82"/>
      <c r="N311" s="82"/>
      <c r="O311" s="82"/>
      <c r="P311" s="82"/>
      <c r="Q311" s="82"/>
      <c r="R311" s="82"/>
      <c r="S311" s="82"/>
      <c r="T311" s="82"/>
      <c r="U311" s="82"/>
      <c r="V311" s="82"/>
      <c r="W311" s="82"/>
      <c r="X311" s="82"/>
      <c r="Y311" s="82"/>
      <c r="Z311" s="82"/>
      <c r="AA311" s="82"/>
      <c r="AB311" s="82"/>
      <c r="AC311" s="82"/>
      <c r="AD311" s="82"/>
      <c r="AE311" s="82"/>
      <c r="AF311" s="82"/>
      <c r="AG311" s="82"/>
      <c r="AH311" s="82"/>
      <c r="AI311" s="82"/>
      <c r="AJ311" s="82"/>
      <c r="AK311" s="82"/>
      <c r="AL311" s="82"/>
      <c r="AM311" s="82"/>
      <c r="AN311" s="82"/>
      <c r="AO311" s="82"/>
      <c r="AP311" s="82"/>
      <c r="AQ311" s="82"/>
      <c r="AR311" s="82"/>
      <c r="AS311" s="82"/>
      <c r="AT311" s="82"/>
      <c r="AU311" s="82"/>
      <c r="AV311" s="82"/>
      <c r="AW311" s="82"/>
      <c r="AX311" s="82"/>
      <c r="AY311" s="82"/>
      <c r="AZ311" s="82"/>
      <c r="BA311" s="82"/>
      <c r="BB311" s="82"/>
      <c r="BC311" s="82"/>
      <c r="BD311" s="82"/>
      <c r="BE311" s="82"/>
      <c r="BF311" s="82"/>
      <c r="BG311" s="82"/>
      <c r="BH311" s="82"/>
      <c r="BI311" s="82"/>
      <c r="BJ311" s="82"/>
      <c r="BK311" s="82"/>
      <c r="BL311" s="82"/>
      <c r="BM311" s="82"/>
      <c r="BN311" s="82"/>
      <c r="BO311" s="81"/>
      <c r="BP311" s="81"/>
    </row>
    <row r="312" spans="11:68" x14ac:dyDescent="0.3">
      <c r="K312" s="82"/>
      <c r="L312" s="82"/>
      <c r="M312" s="82"/>
      <c r="N312" s="82"/>
      <c r="O312" s="82"/>
      <c r="P312" s="82"/>
      <c r="Q312" s="82"/>
      <c r="R312" s="82"/>
      <c r="S312" s="82"/>
      <c r="T312" s="82"/>
      <c r="U312" s="82"/>
      <c r="V312" s="82"/>
      <c r="W312" s="82"/>
      <c r="X312" s="82"/>
      <c r="Y312" s="82"/>
      <c r="Z312" s="82"/>
      <c r="AA312" s="82"/>
      <c r="AB312" s="82"/>
      <c r="AC312" s="82"/>
      <c r="AD312" s="82"/>
      <c r="AE312" s="82"/>
      <c r="AF312" s="82"/>
      <c r="AG312" s="82"/>
      <c r="AH312" s="82"/>
      <c r="AI312" s="82"/>
      <c r="AJ312" s="82"/>
      <c r="AK312" s="82"/>
      <c r="AL312" s="82"/>
      <c r="AM312" s="82"/>
      <c r="AN312" s="82"/>
      <c r="AO312" s="82"/>
      <c r="AP312" s="82"/>
      <c r="AQ312" s="82"/>
      <c r="AR312" s="82"/>
      <c r="AS312" s="82"/>
      <c r="AT312" s="82"/>
      <c r="AU312" s="82"/>
      <c r="AV312" s="82"/>
      <c r="AW312" s="82"/>
      <c r="AX312" s="82"/>
      <c r="AY312" s="82"/>
      <c r="AZ312" s="82"/>
      <c r="BA312" s="82"/>
      <c r="BB312" s="82"/>
      <c r="BC312" s="82"/>
      <c r="BD312" s="82"/>
      <c r="BE312" s="82"/>
      <c r="BF312" s="82"/>
      <c r="BG312" s="82"/>
      <c r="BH312" s="82"/>
      <c r="BI312" s="82"/>
      <c r="BJ312" s="82"/>
      <c r="BK312" s="82"/>
      <c r="BL312" s="82"/>
      <c r="BM312" s="82"/>
      <c r="BN312" s="82"/>
      <c r="BO312" s="81"/>
      <c r="BP312" s="81"/>
    </row>
    <row r="313" spans="11:68" x14ac:dyDescent="0.3">
      <c r="K313" s="82"/>
      <c r="L313" s="82"/>
      <c r="M313" s="82"/>
      <c r="N313" s="82"/>
      <c r="O313" s="82"/>
      <c r="P313" s="82"/>
      <c r="Q313" s="82"/>
      <c r="R313" s="82"/>
      <c r="S313" s="82"/>
      <c r="T313" s="82"/>
      <c r="U313" s="82"/>
      <c r="V313" s="82"/>
      <c r="W313" s="82"/>
      <c r="X313" s="82"/>
      <c r="Y313" s="82"/>
      <c r="Z313" s="82"/>
      <c r="AA313" s="82"/>
      <c r="AB313" s="82"/>
      <c r="AC313" s="82"/>
      <c r="AD313" s="82"/>
      <c r="AE313" s="82"/>
      <c r="AF313" s="82"/>
      <c r="AG313" s="82"/>
      <c r="AH313" s="82"/>
      <c r="AI313" s="82"/>
      <c r="AJ313" s="82"/>
      <c r="AK313" s="82"/>
      <c r="AL313" s="82"/>
      <c r="AM313" s="82"/>
      <c r="AN313" s="82"/>
      <c r="AO313" s="82"/>
      <c r="AP313" s="82"/>
      <c r="AQ313" s="82"/>
      <c r="AR313" s="82"/>
      <c r="AS313" s="82"/>
      <c r="AT313" s="82"/>
      <c r="AU313" s="82"/>
      <c r="AV313" s="82"/>
      <c r="AW313" s="82"/>
      <c r="AX313" s="82"/>
      <c r="AY313" s="82"/>
      <c r="AZ313" s="82"/>
      <c r="BA313" s="82"/>
      <c r="BB313" s="82"/>
      <c r="BC313" s="82"/>
      <c r="BD313" s="82"/>
      <c r="BE313" s="82"/>
      <c r="BF313" s="82"/>
      <c r="BG313" s="82"/>
      <c r="BH313" s="82"/>
      <c r="BI313" s="82"/>
      <c r="BJ313" s="82"/>
      <c r="BK313" s="82"/>
      <c r="BL313" s="82"/>
      <c r="BM313" s="82"/>
      <c r="BN313" s="82"/>
      <c r="BO313" s="81"/>
      <c r="BP313" s="81"/>
    </row>
    <row r="314" spans="11:68" x14ac:dyDescent="0.3">
      <c r="K314" s="82"/>
      <c r="L314" s="82"/>
      <c r="M314" s="82"/>
      <c r="N314" s="82"/>
      <c r="O314" s="82"/>
      <c r="P314" s="82"/>
      <c r="Q314" s="82"/>
      <c r="R314" s="82"/>
      <c r="S314" s="82"/>
      <c r="T314" s="82"/>
      <c r="U314" s="82"/>
      <c r="V314" s="82"/>
      <c r="W314" s="82"/>
      <c r="X314" s="82"/>
      <c r="Y314" s="82"/>
      <c r="Z314" s="82"/>
      <c r="AA314" s="82"/>
      <c r="AB314" s="82"/>
      <c r="AC314" s="82"/>
      <c r="AD314" s="82"/>
      <c r="AE314" s="82"/>
      <c r="AF314" s="82"/>
      <c r="AG314" s="82"/>
      <c r="AH314" s="82"/>
      <c r="AI314" s="82"/>
      <c r="AJ314" s="82"/>
      <c r="AK314" s="82"/>
      <c r="AL314" s="82"/>
      <c r="AM314" s="82"/>
      <c r="AN314" s="82"/>
      <c r="AO314" s="82"/>
      <c r="AP314" s="82"/>
      <c r="AQ314" s="82"/>
      <c r="AR314" s="82"/>
      <c r="AS314" s="82"/>
      <c r="AT314" s="82"/>
      <c r="AU314" s="82"/>
      <c r="AV314" s="82"/>
      <c r="AW314" s="82"/>
      <c r="AX314" s="82"/>
      <c r="AY314" s="82"/>
      <c r="AZ314" s="82"/>
      <c r="BA314" s="82"/>
      <c r="BB314" s="82"/>
      <c r="BC314" s="82"/>
      <c r="BD314" s="82"/>
      <c r="BE314" s="82"/>
      <c r="BF314" s="82"/>
      <c r="BG314" s="82"/>
      <c r="BH314" s="82"/>
      <c r="BI314" s="82"/>
      <c r="BJ314" s="82"/>
      <c r="BK314" s="82"/>
      <c r="BL314" s="82"/>
      <c r="BM314" s="82"/>
      <c r="BN314" s="82"/>
      <c r="BO314" s="81"/>
      <c r="BP314" s="81"/>
    </row>
    <row r="315" spans="11:68" x14ac:dyDescent="0.3">
      <c r="K315" s="82"/>
      <c r="L315" s="82"/>
      <c r="M315" s="82"/>
      <c r="N315" s="82"/>
      <c r="O315" s="82"/>
      <c r="P315" s="82"/>
      <c r="Q315" s="82"/>
      <c r="R315" s="82"/>
      <c r="S315" s="82"/>
      <c r="T315" s="82"/>
      <c r="U315" s="82"/>
      <c r="V315" s="82"/>
      <c r="W315" s="82"/>
      <c r="X315" s="82"/>
      <c r="Y315" s="82"/>
      <c r="Z315" s="82"/>
      <c r="AA315" s="82"/>
      <c r="AB315" s="82"/>
      <c r="AC315" s="82"/>
      <c r="AD315" s="82"/>
      <c r="AE315" s="82"/>
      <c r="AF315" s="82"/>
      <c r="AG315" s="82"/>
      <c r="AH315" s="82"/>
      <c r="AI315" s="82"/>
      <c r="AJ315" s="82"/>
      <c r="AK315" s="82"/>
      <c r="AL315" s="82"/>
      <c r="AM315" s="82"/>
      <c r="AN315" s="82"/>
      <c r="AO315" s="82"/>
      <c r="AP315" s="82"/>
      <c r="AQ315" s="82"/>
      <c r="AR315" s="82"/>
      <c r="AS315" s="82"/>
      <c r="AT315" s="82"/>
      <c r="AU315" s="82"/>
      <c r="AV315" s="82"/>
      <c r="AW315" s="82"/>
      <c r="AX315" s="82"/>
      <c r="AY315" s="82"/>
      <c r="AZ315" s="82"/>
      <c r="BA315" s="82"/>
      <c r="BB315" s="82"/>
      <c r="BC315" s="82"/>
      <c r="BD315" s="82"/>
      <c r="BE315" s="82"/>
      <c r="BF315" s="82"/>
      <c r="BG315" s="82"/>
      <c r="BH315" s="82"/>
      <c r="BI315" s="82"/>
      <c r="BJ315" s="82"/>
      <c r="BK315" s="82"/>
      <c r="BL315" s="82"/>
      <c r="BM315" s="82"/>
      <c r="BN315" s="82"/>
      <c r="BO315" s="81"/>
      <c r="BP315" s="81"/>
    </row>
    <row r="316" spans="11:68" x14ac:dyDescent="0.3">
      <c r="K316" s="82"/>
      <c r="L316" s="82"/>
      <c r="M316" s="82"/>
      <c r="N316" s="82"/>
      <c r="O316" s="82"/>
      <c r="P316" s="82"/>
      <c r="Q316" s="82"/>
      <c r="R316" s="82"/>
      <c r="S316" s="82"/>
      <c r="T316" s="82"/>
      <c r="U316" s="82"/>
      <c r="V316" s="82"/>
      <c r="W316" s="82"/>
      <c r="X316" s="82"/>
      <c r="Y316" s="82"/>
      <c r="Z316" s="82"/>
      <c r="AA316" s="82"/>
      <c r="AB316" s="82"/>
      <c r="AC316" s="82"/>
      <c r="AD316" s="82"/>
      <c r="AE316" s="82"/>
      <c r="AF316" s="82"/>
      <c r="AG316" s="82"/>
      <c r="AH316" s="82"/>
      <c r="AI316" s="82"/>
      <c r="AJ316" s="82"/>
      <c r="AK316" s="82"/>
      <c r="AL316" s="82"/>
      <c r="AM316" s="82"/>
      <c r="AN316" s="82"/>
      <c r="AO316" s="82"/>
      <c r="AP316" s="82"/>
      <c r="AQ316" s="82"/>
      <c r="AR316" s="82"/>
      <c r="AS316" s="82"/>
      <c r="AT316" s="82"/>
      <c r="AU316" s="82"/>
      <c r="AV316" s="82"/>
      <c r="AW316" s="82"/>
      <c r="AX316" s="82"/>
      <c r="AY316" s="82"/>
      <c r="AZ316" s="82"/>
      <c r="BA316" s="82"/>
      <c r="BB316" s="82"/>
      <c r="BC316" s="82"/>
      <c r="BD316" s="82"/>
      <c r="BE316" s="82"/>
      <c r="BF316" s="82"/>
      <c r="BG316" s="82"/>
      <c r="BH316" s="82"/>
      <c r="BI316" s="82"/>
      <c r="BJ316" s="82"/>
      <c r="BK316" s="82"/>
      <c r="BL316" s="82"/>
      <c r="BM316" s="82"/>
      <c r="BN316" s="82"/>
      <c r="BO316" s="81"/>
      <c r="BP316" s="81"/>
    </row>
    <row r="317" spans="11:68" x14ac:dyDescent="0.3">
      <c r="K317" s="82"/>
      <c r="L317" s="82"/>
      <c r="M317" s="82"/>
      <c r="N317" s="82"/>
      <c r="O317" s="82"/>
      <c r="P317" s="82"/>
      <c r="Q317" s="82"/>
      <c r="R317" s="82"/>
      <c r="S317" s="82"/>
      <c r="T317" s="82"/>
      <c r="U317" s="82"/>
      <c r="V317" s="82"/>
      <c r="W317" s="82"/>
      <c r="X317" s="82"/>
      <c r="Y317" s="82"/>
      <c r="Z317" s="82"/>
      <c r="AA317" s="82"/>
      <c r="AB317" s="82"/>
      <c r="AC317" s="82"/>
      <c r="AD317" s="82"/>
      <c r="AE317" s="82"/>
      <c r="AF317" s="82"/>
      <c r="AG317" s="82"/>
      <c r="AH317" s="82"/>
      <c r="AI317" s="82"/>
      <c r="AJ317" s="82"/>
      <c r="AK317" s="82"/>
      <c r="AL317" s="82"/>
      <c r="AM317" s="82"/>
      <c r="AN317" s="82"/>
      <c r="AO317" s="82"/>
      <c r="AP317" s="82"/>
      <c r="AQ317" s="82"/>
      <c r="AR317" s="82"/>
      <c r="AS317" s="82"/>
      <c r="AT317" s="82"/>
      <c r="AU317" s="82"/>
      <c r="AV317" s="82"/>
      <c r="AW317" s="82"/>
      <c r="AX317" s="82"/>
      <c r="AY317" s="82"/>
      <c r="AZ317" s="82"/>
      <c r="BA317" s="82"/>
      <c r="BB317" s="82"/>
      <c r="BC317" s="82"/>
      <c r="BD317" s="82"/>
      <c r="BE317" s="82"/>
      <c r="BF317" s="82"/>
      <c r="BG317" s="82"/>
      <c r="BH317" s="82"/>
      <c r="BI317" s="82"/>
      <c r="BJ317" s="82"/>
      <c r="BK317" s="82"/>
      <c r="BL317" s="82"/>
      <c r="BM317" s="82"/>
      <c r="BN317" s="82"/>
      <c r="BO317" s="81"/>
      <c r="BP317" s="81"/>
    </row>
    <row r="318" spans="11:68" x14ac:dyDescent="0.3">
      <c r="K318" s="82"/>
      <c r="L318" s="82"/>
      <c r="M318" s="82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  <c r="AA318" s="82"/>
      <c r="AB318" s="82"/>
      <c r="AC318" s="82"/>
      <c r="AD318" s="82"/>
      <c r="AE318" s="82"/>
      <c r="AF318" s="82"/>
      <c r="AG318" s="82"/>
      <c r="AH318" s="82"/>
      <c r="AI318" s="82"/>
      <c r="AJ318" s="82"/>
      <c r="AK318" s="82"/>
      <c r="AL318" s="82"/>
      <c r="AM318" s="82"/>
      <c r="AN318" s="82"/>
      <c r="AO318" s="82"/>
      <c r="AP318" s="82"/>
      <c r="AQ318" s="82"/>
      <c r="AR318" s="82"/>
      <c r="AS318" s="82"/>
      <c r="AT318" s="82"/>
      <c r="AU318" s="82"/>
      <c r="AV318" s="82"/>
      <c r="AW318" s="82"/>
      <c r="AX318" s="82"/>
      <c r="AY318" s="82"/>
      <c r="AZ318" s="82"/>
      <c r="BA318" s="82"/>
      <c r="BB318" s="82"/>
      <c r="BC318" s="82"/>
      <c r="BD318" s="82"/>
      <c r="BE318" s="82"/>
      <c r="BF318" s="82"/>
      <c r="BG318" s="82"/>
      <c r="BH318" s="82"/>
      <c r="BI318" s="82"/>
      <c r="BJ318" s="82"/>
      <c r="BK318" s="82"/>
      <c r="BL318" s="82"/>
      <c r="BM318" s="82"/>
      <c r="BN318" s="82"/>
      <c r="BO318" s="81"/>
      <c r="BP318" s="81"/>
    </row>
    <row r="319" spans="11:68" x14ac:dyDescent="0.3">
      <c r="K319" s="82"/>
      <c r="L319" s="82"/>
      <c r="M319" s="82"/>
      <c r="N319" s="82"/>
      <c r="O319" s="82"/>
      <c r="P319" s="82"/>
      <c r="Q319" s="82"/>
      <c r="R319" s="82"/>
      <c r="S319" s="82"/>
      <c r="T319" s="82"/>
      <c r="U319" s="82"/>
      <c r="V319" s="82"/>
      <c r="W319" s="82"/>
      <c r="X319" s="82"/>
      <c r="Y319" s="82"/>
      <c r="Z319" s="82"/>
      <c r="AA319" s="82"/>
      <c r="AB319" s="82"/>
      <c r="AC319" s="82"/>
      <c r="AD319" s="82"/>
      <c r="AE319" s="82"/>
      <c r="AF319" s="82"/>
      <c r="AG319" s="82"/>
      <c r="AH319" s="82"/>
      <c r="AI319" s="82"/>
      <c r="AJ319" s="82"/>
      <c r="AK319" s="82"/>
      <c r="AL319" s="82"/>
      <c r="AM319" s="82"/>
      <c r="AN319" s="82"/>
      <c r="AO319" s="82"/>
      <c r="AP319" s="82"/>
      <c r="AQ319" s="82"/>
      <c r="AR319" s="82"/>
      <c r="AS319" s="82"/>
      <c r="AT319" s="82"/>
      <c r="AU319" s="82"/>
      <c r="AV319" s="82"/>
      <c r="AW319" s="82"/>
      <c r="AX319" s="82"/>
      <c r="AY319" s="82"/>
      <c r="AZ319" s="82"/>
      <c r="BA319" s="82"/>
      <c r="BB319" s="82"/>
      <c r="BC319" s="82"/>
      <c r="BD319" s="82"/>
      <c r="BE319" s="82"/>
      <c r="BF319" s="82"/>
      <c r="BG319" s="82"/>
      <c r="BH319" s="82"/>
      <c r="BI319" s="82"/>
      <c r="BJ319" s="82"/>
      <c r="BK319" s="82"/>
      <c r="BL319" s="82"/>
      <c r="BM319" s="82"/>
      <c r="BN319" s="82"/>
      <c r="BO319" s="81"/>
      <c r="BP319" s="81"/>
    </row>
    <row r="320" spans="11:68" x14ac:dyDescent="0.3">
      <c r="K320" s="82"/>
      <c r="L320" s="82"/>
      <c r="M320" s="82"/>
      <c r="N320" s="82"/>
      <c r="O320" s="82"/>
      <c r="P320" s="82"/>
      <c r="Q320" s="82"/>
      <c r="R320" s="82"/>
      <c r="S320" s="82"/>
      <c r="T320" s="82"/>
      <c r="U320" s="82"/>
      <c r="V320" s="82"/>
      <c r="W320" s="82"/>
      <c r="X320" s="82"/>
      <c r="Y320" s="82"/>
      <c r="Z320" s="82"/>
      <c r="AA320" s="82"/>
      <c r="AB320" s="82"/>
      <c r="AC320" s="82"/>
      <c r="AD320" s="82"/>
      <c r="AE320" s="82"/>
      <c r="AF320" s="82"/>
      <c r="AG320" s="82"/>
      <c r="AH320" s="82"/>
      <c r="AI320" s="82"/>
      <c r="AJ320" s="82"/>
      <c r="AK320" s="82"/>
      <c r="AL320" s="82"/>
      <c r="AM320" s="82"/>
      <c r="AN320" s="82"/>
      <c r="AO320" s="82"/>
      <c r="AP320" s="82"/>
      <c r="AQ320" s="82"/>
      <c r="AR320" s="82"/>
      <c r="AS320" s="82"/>
      <c r="AT320" s="82"/>
      <c r="AU320" s="82"/>
      <c r="AV320" s="82"/>
      <c r="AW320" s="82"/>
      <c r="AX320" s="82"/>
      <c r="AY320" s="82"/>
      <c r="AZ320" s="82"/>
      <c r="BA320" s="82"/>
      <c r="BB320" s="82"/>
      <c r="BC320" s="82"/>
      <c r="BD320" s="82"/>
      <c r="BE320" s="82"/>
      <c r="BF320" s="82"/>
      <c r="BG320" s="82"/>
      <c r="BH320" s="82"/>
      <c r="BI320" s="82"/>
      <c r="BJ320" s="82"/>
      <c r="BK320" s="82"/>
      <c r="BL320" s="82"/>
      <c r="BM320" s="82"/>
      <c r="BN320" s="82"/>
      <c r="BO320" s="81"/>
      <c r="BP320" s="81"/>
    </row>
    <row r="321" spans="11:68" x14ac:dyDescent="0.3">
      <c r="K321" s="82"/>
      <c r="L321" s="82"/>
      <c r="M321" s="82"/>
      <c r="N321" s="82"/>
      <c r="O321" s="82"/>
      <c r="P321" s="82"/>
      <c r="Q321" s="82"/>
      <c r="R321" s="82"/>
      <c r="S321" s="82"/>
      <c r="T321" s="82"/>
      <c r="U321" s="82"/>
      <c r="V321" s="82"/>
      <c r="W321" s="82"/>
      <c r="X321" s="82"/>
      <c r="Y321" s="82"/>
      <c r="Z321" s="82"/>
      <c r="AA321" s="82"/>
      <c r="AB321" s="82"/>
      <c r="AC321" s="82"/>
      <c r="AD321" s="82"/>
      <c r="AE321" s="82"/>
      <c r="AF321" s="82"/>
      <c r="AG321" s="82"/>
      <c r="AH321" s="82"/>
      <c r="AI321" s="82"/>
      <c r="AJ321" s="82"/>
      <c r="AK321" s="82"/>
      <c r="AL321" s="82"/>
      <c r="AM321" s="82"/>
      <c r="AN321" s="82"/>
      <c r="AO321" s="82"/>
      <c r="AP321" s="82"/>
      <c r="AQ321" s="82"/>
      <c r="AR321" s="82"/>
      <c r="AS321" s="82"/>
      <c r="AT321" s="82"/>
      <c r="AU321" s="82"/>
      <c r="AV321" s="82"/>
      <c r="AW321" s="82"/>
      <c r="AX321" s="82"/>
      <c r="AY321" s="82"/>
      <c r="AZ321" s="82"/>
      <c r="BA321" s="82"/>
      <c r="BB321" s="82"/>
      <c r="BC321" s="82"/>
      <c r="BD321" s="82"/>
      <c r="BE321" s="82"/>
      <c r="BF321" s="82"/>
      <c r="BG321" s="82"/>
      <c r="BH321" s="82"/>
      <c r="BI321" s="82"/>
      <c r="BJ321" s="82"/>
      <c r="BK321" s="82"/>
      <c r="BL321" s="82"/>
      <c r="BM321" s="82"/>
      <c r="BN321" s="82"/>
      <c r="BO321" s="81"/>
      <c r="BP321" s="81"/>
    </row>
    <row r="322" spans="11:68" x14ac:dyDescent="0.3">
      <c r="K322" s="82"/>
      <c r="L322" s="82"/>
      <c r="M322" s="82"/>
      <c r="N322" s="82"/>
      <c r="O322" s="82"/>
      <c r="P322" s="82"/>
      <c r="Q322" s="82"/>
      <c r="R322" s="82"/>
      <c r="S322" s="82"/>
      <c r="T322" s="82"/>
      <c r="U322" s="82"/>
      <c r="V322" s="82"/>
      <c r="W322" s="82"/>
      <c r="X322" s="82"/>
      <c r="Y322" s="82"/>
      <c r="Z322" s="82"/>
      <c r="AA322" s="82"/>
      <c r="AB322" s="82"/>
      <c r="AC322" s="82"/>
      <c r="AD322" s="82"/>
      <c r="AE322" s="82"/>
      <c r="AF322" s="82"/>
      <c r="AG322" s="82"/>
      <c r="AH322" s="82"/>
      <c r="AI322" s="82"/>
      <c r="AJ322" s="82"/>
      <c r="AK322" s="82"/>
      <c r="AL322" s="82"/>
      <c r="AM322" s="82"/>
      <c r="AN322" s="82"/>
      <c r="AO322" s="82"/>
      <c r="AP322" s="82"/>
      <c r="AQ322" s="82"/>
      <c r="AR322" s="82"/>
      <c r="AS322" s="82"/>
      <c r="AT322" s="82"/>
      <c r="AU322" s="82"/>
      <c r="AV322" s="82"/>
      <c r="AW322" s="82"/>
      <c r="AX322" s="82"/>
      <c r="AY322" s="82"/>
      <c r="AZ322" s="82"/>
      <c r="BA322" s="82"/>
      <c r="BB322" s="82"/>
      <c r="BC322" s="82"/>
      <c r="BD322" s="82"/>
      <c r="BE322" s="82"/>
      <c r="BF322" s="82"/>
      <c r="BG322" s="82"/>
      <c r="BH322" s="82"/>
      <c r="BI322" s="82"/>
      <c r="BJ322" s="82"/>
      <c r="BK322" s="82"/>
      <c r="BL322" s="82"/>
      <c r="BM322" s="82"/>
      <c r="BN322" s="82"/>
      <c r="BO322" s="81"/>
      <c r="BP322" s="81"/>
    </row>
    <row r="323" spans="11:68" x14ac:dyDescent="0.3">
      <c r="K323" s="82"/>
      <c r="L323" s="82"/>
      <c r="M323" s="82"/>
      <c r="N323" s="82"/>
      <c r="O323" s="82"/>
      <c r="P323" s="82"/>
      <c r="Q323" s="82"/>
      <c r="R323" s="82"/>
      <c r="S323" s="82"/>
      <c r="T323" s="82"/>
      <c r="U323" s="82"/>
      <c r="V323" s="82"/>
      <c r="W323" s="82"/>
      <c r="X323" s="82"/>
      <c r="Y323" s="82"/>
      <c r="Z323" s="82"/>
      <c r="AA323" s="82"/>
      <c r="AB323" s="82"/>
      <c r="AC323" s="82"/>
      <c r="AD323" s="82"/>
      <c r="AE323" s="82"/>
      <c r="AF323" s="82"/>
      <c r="AG323" s="82"/>
      <c r="AH323" s="82"/>
      <c r="AI323" s="82"/>
      <c r="AJ323" s="82"/>
      <c r="AK323" s="82"/>
      <c r="AL323" s="82"/>
      <c r="AM323" s="82"/>
      <c r="AN323" s="82"/>
      <c r="AO323" s="82"/>
      <c r="AP323" s="82"/>
      <c r="AQ323" s="82"/>
      <c r="AR323" s="82"/>
      <c r="AS323" s="82"/>
      <c r="AT323" s="82"/>
      <c r="AU323" s="82"/>
      <c r="AV323" s="82"/>
      <c r="AW323" s="82"/>
      <c r="AX323" s="82"/>
      <c r="AY323" s="82"/>
      <c r="AZ323" s="82"/>
      <c r="BA323" s="82"/>
      <c r="BB323" s="82"/>
      <c r="BC323" s="82"/>
      <c r="BD323" s="82"/>
      <c r="BE323" s="82"/>
      <c r="BF323" s="82"/>
      <c r="BG323" s="82"/>
      <c r="BH323" s="82"/>
      <c r="BI323" s="82"/>
      <c r="BJ323" s="82"/>
      <c r="BK323" s="82"/>
      <c r="BL323" s="82"/>
      <c r="BM323" s="82"/>
      <c r="BN323" s="82"/>
      <c r="BO323" s="81"/>
      <c r="BP323" s="81"/>
    </row>
    <row r="324" spans="11:68" x14ac:dyDescent="0.3">
      <c r="K324" s="82"/>
      <c r="L324" s="82"/>
      <c r="M324" s="82"/>
      <c r="N324" s="82"/>
      <c r="O324" s="82"/>
      <c r="P324" s="82"/>
      <c r="Q324" s="82"/>
      <c r="R324" s="82"/>
      <c r="S324" s="82"/>
      <c r="T324" s="82"/>
      <c r="U324" s="82"/>
      <c r="V324" s="82"/>
      <c r="W324" s="82"/>
      <c r="X324" s="82"/>
      <c r="Y324" s="82"/>
      <c r="Z324" s="82"/>
      <c r="AA324" s="82"/>
      <c r="AB324" s="82"/>
      <c r="AC324" s="82"/>
      <c r="AD324" s="82"/>
      <c r="AE324" s="82"/>
      <c r="AF324" s="82"/>
      <c r="AG324" s="82"/>
      <c r="AH324" s="82"/>
      <c r="AI324" s="82"/>
      <c r="AJ324" s="82"/>
      <c r="AK324" s="82"/>
      <c r="AL324" s="82"/>
      <c r="AM324" s="82"/>
      <c r="AN324" s="82"/>
      <c r="AO324" s="82"/>
      <c r="AP324" s="82"/>
      <c r="AQ324" s="82"/>
      <c r="AR324" s="82"/>
      <c r="AS324" s="82"/>
      <c r="AT324" s="82"/>
      <c r="AU324" s="82"/>
      <c r="AV324" s="82"/>
      <c r="AW324" s="82"/>
      <c r="AX324" s="82"/>
      <c r="AY324" s="82"/>
      <c r="AZ324" s="82"/>
      <c r="BA324" s="82"/>
      <c r="BB324" s="82"/>
      <c r="BC324" s="82"/>
      <c r="BD324" s="82"/>
      <c r="BE324" s="82"/>
      <c r="BF324" s="82"/>
      <c r="BG324" s="82"/>
      <c r="BH324" s="82"/>
      <c r="BI324" s="82"/>
      <c r="BJ324" s="82"/>
      <c r="BK324" s="82"/>
      <c r="BL324" s="82"/>
      <c r="BM324" s="82"/>
      <c r="BN324" s="82"/>
      <c r="BO324" s="81"/>
      <c r="BP324" s="81"/>
    </row>
    <row r="325" spans="11:68" x14ac:dyDescent="0.3">
      <c r="K325" s="82"/>
      <c r="L325" s="82"/>
      <c r="M325" s="82"/>
      <c r="N325" s="82"/>
      <c r="O325" s="82"/>
      <c r="P325" s="82"/>
      <c r="Q325" s="82"/>
      <c r="R325" s="82"/>
      <c r="S325" s="82"/>
      <c r="T325" s="82"/>
      <c r="U325" s="82"/>
      <c r="V325" s="82"/>
      <c r="W325" s="82"/>
      <c r="X325" s="82"/>
      <c r="Y325" s="82"/>
      <c r="Z325" s="82"/>
      <c r="AA325" s="82"/>
      <c r="AB325" s="82"/>
      <c r="AC325" s="82"/>
      <c r="AD325" s="82"/>
      <c r="AE325" s="82"/>
      <c r="AF325" s="82"/>
      <c r="AG325" s="82"/>
      <c r="AH325" s="82"/>
      <c r="AI325" s="82"/>
      <c r="AJ325" s="82"/>
      <c r="AK325" s="82"/>
      <c r="AL325" s="82"/>
      <c r="AM325" s="82"/>
      <c r="AN325" s="82"/>
      <c r="AO325" s="82"/>
      <c r="AP325" s="82"/>
      <c r="AQ325" s="82"/>
      <c r="AR325" s="82"/>
      <c r="AS325" s="82"/>
      <c r="AT325" s="82"/>
      <c r="AU325" s="82"/>
      <c r="AV325" s="82"/>
      <c r="AW325" s="82"/>
      <c r="AX325" s="82"/>
      <c r="AY325" s="82"/>
      <c r="AZ325" s="82"/>
      <c r="BA325" s="82"/>
      <c r="BB325" s="82"/>
      <c r="BC325" s="82"/>
      <c r="BD325" s="82"/>
      <c r="BE325" s="82"/>
      <c r="BF325" s="82"/>
      <c r="BG325" s="82"/>
      <c r="BH325" s="82"/>
      <c r="BI325" s="82"/>
      <c r="BJ325" s="82"/>
      <c r="BK325" s="82"/>
      <c r="BL325" s="82"/>
      <c r="BM325" s="82"/>
      <c r="BN325" s="82"/>
      <c r="BO325" s="81"/>
      <c r="BP325" s="81"/>
    </row>
    <row r="326" spans="11:68" x14ac:dyDescent="0.3">
      <c r="K326" s="82"/>
      <c r="L326" s="82"/>
      <c r="M326" s="82"/>
      <c r="N326" s="82"/>
      <c r="O326" s="82"/>
      <c r="P326" s="82"/>
      <c r="Q326" s="82"/>
      <c r="R326" s="82"/>
      <c r="S326" s="82"/>
      <c r="T326" s="82"/>
      <c r="U326" s="82"/>
      <c r="V326" s="82"/>
      <c r="W326" s="82"/>
      <c r="X326" s="82"/>
      <c r="Y326" s="82"/>
      <c r="Z326" s="82"/>
      <c r="AA326" s="82"/>
      <c r="AB326" s="82"/>
      <c r="AC326" s="82"/>
      <c r="AD326" s="82"/>
      <c r="AE326" s="82"/>
      <c r="AF326" s="82"/>
      <c r="AG326" s="82"/>
      <c r="AH326" s="82"/>
      <c r="AI326" s="82"/>
      <c r="AJ326" s="82"/>
      <c r="AK326" s="82"/>
      <c r="AL326" s="82"/>
      <c r="AM326" s="82"/>
      <c r="AN326" s="82"/>
      <c r="AO326" s="82"/>
      <c r="AP326" s="82"/>
      <c r="AQ326" s="82"/>
      <c r="AR326" s="82"/>
      <c r="AS326" s="82"/>
      <c r="AT326" s="82"/>
      <c r="AU326" s="82"/>
      <c r="AV326" s="82"/>
      <c r="AW326" s="82"/>
      <c r="AX326" s="82"/>
      <c r="AY326" s="82"/>
      <c r="AZ326" s="82"/>
      <c r="BA326" s="82"/>
      <c r="BB326" s="82"/>
      <c r="BC326" s="82"/>
      <c r="BD326" s="82"/>
      <c r="BE326" s="82"/>
      <c r="BF326" s="82"/>
      <c r="BG326" s="82"/>
      <c r="BH326" s="82"/>
      <c r="BI326" s="82"/>
      <c r="BJ326" s="82"/>
      <c r="BK326" s="82"/>
      <c r="BL326" s="82"/>
      <c r="BM326" s="82"/>
      <c r="BN326" s="82"/>
      <c r="BO326" s="81"/>
      <c r="BP326" s="81"/>
    </row>
    <row r="327" spans="11:68" x14ac:dyDescent="0.3">
      <c r="K327" s="82"/>
      <c r="L327" s="82"/>
      <c r="M327" s="82"/>
      <c r="N327" s="82"/>
      <c r="O327" s="82"/>
      <c r="P327" s="82"/>
      <c r="Q327" s="82"/>
      <c r="R327" s="82"/>
      <c r="S327" s="82"/>
      <c r="T327" s="82"/>
      <c r="U327" s="82"/>
      <c r="V327" s="82"/>
      <c r="W327" s="82"/>
      <c r="X327" s="82"/>
      <c r="Y327" s="82"/>
      <c r="Z327" s="82"/>
      <c r="AA327" s="82"/>
      <c r="AB327" s="82"/>
      <c r="AC327" s="82"/>
      <c r="AD327" s="82"/>
      <c r="AE327" s="82"/>
      <c r="AF327" s="82"/>
      <c r="AG327" s="82"/>
      <c r="AH327" s="82"/>
      <c r="AI327" s="82"/>
      <c r="AJ327" s="82"/>
      <c r="AK327" s="82"/>
      <c r="AL327" s="82"/>
      <c r="AM327" s="82"/>
      <c r="AN327" s="82"/>
      <c r="AO327" s="82"/>
      <c r="AP327" s="82"/>
      <c r="AQ327" s="82"/>
      <c r="AR327" s="82"/>
      <c r="AS327" s="82"/>
      <c r="AT327" s="82"/>
      <c r="AU327" s="82"/>
      <c r="AV327" s="82"/>
      <c r="AW327" s="82"/>
      <c r="AX327" s="82"/>
      <c r="AY327" s="82"/>
      <c r="AZ327" s="82"/>
      <c r="BA327" s="82"/>
      <c r="BB327" s="82"/>
      <c r="BC327" s="82"/>
      <c r="BD327" s="82"/>
      <c r="BE327" s="82"/>
      <c r="BF327" s="82"/>
      <c r="BG327" s="82"/>
      <c r="BH327" s="82"/>
      <c r="BI327" s="82"/>
      <c r="BJ327" s="82"/>
      <c r="BK327" s="82"/>
      <c r="BL327" s="82"/>
      <c r="BM327" s="82"/>
      <c r="BN327" s="82"/>
      <c r="BO327" s="81"/>
      <c r="BP327" s="81"/>
    </row>
    <row r="328" spans="11:68" x14ac:dyDescent="0.3">
      <c r="K328" s="82"/>
      <c r="L328" s="82"/>
      <c r="M328" s="82"/>
      <c r="N328" s="82"/>
      <c r="O328" s="82"/>
      <c r="P328" s="82"/>
      <c r="Q328" s="82"/>
      <c r="R328" s="82"/>
      <c r="S328" s="82"/>
      <c r="T328" s="82"/>
      <c r="U328" s="82"/>
      <c r="V328" s="82"/>
      <c r="W328" s="82"/>
      <c r="X328" s="82"/>
      <c r="Y328" s="82"/>
      <c r="Z328" s="82"/>
      <c r="AA328" s="82"/>
      <c r="AB328" s="82"/>
      <c r="AC328" s="82"/>
      <c r="AD328" s="82"/>
      <c r="AE328" s="82"/>
      <c r="AF328" s="82"/>
      <c r="AG328" s="82"/>
      <c r="AH328" s="82"/>
      <c r="AI328" s="82"/>
      <c r="AJ328" s="82"/>
      <c r="AK328" s="82"/>
      <c r="AL328" s="82"/>
      <c r="AM328" s="82"/>
      <c r="AN328" s="82"/>
      <c r="AO328" s="82"/>
      <c r="AP328" s="82"/>
      <c r="AQ328" s="82"/>
      <c r="AR328" s="82"/>
      <c r="AS328" s="82"/>
      <c r="AT328" s="82"/>
      <c r="AU328" s="82"/>
      <c r="AV328" s="82"/>
      <c r="AW328" s="82"/>
      <c r="AX328" s="82"/>
      <c r="AY328" s="82"/>
      <c r="AZ328" s="82"/>
      <c r="BA328" s="82"/>
      <c r="BB328" s="82"/>
      <c r="BC328" s="82"/>
      <c r="BD328" s="82"/>
      <c r="BE328" s="82"/>
      <c r="BF328" s="82"/>
      <c r="BG328" s="82"/>
      <c r="BH328" s="82"/>
      <c r="BI328" s="82"/>
      <c r="BJ328" s="82"/>
      <c r="BK328" s="82"/>
      <c r="BL328" s="82"/>
      <c r="BM328" s="82"/>
      <c r="BN328" s="82"/>
      <c r="BO328" s="81"/>
      <c r="BP328" s="81"/>
    </row>
    <row r="329" spans="11:68" x14ac:dyDescent="0.3">
      <c r="K329" s="82"/>
      <c r="L329" s="82"/>
      <c r="M329" s="82"/>
      <c r="N329" s="82"/>
      <c r="O329" s="82"/>
      <c r="P329" s="82"/>
      <c r="Q329" s="82"/>
      <c r="R329" s="82"/>
      <c r="S329" s="82"/>
      <c r="T329" s="82"/>
      <c r="U329" s="82"/>
      <c r="V329" s="82"/>
      <c r="W329" s="82"/>
      <c r="X329" s="82"/>
      <c r="Y329" s="82"/>
      <c r="Z329" s="82"/>
      <c r="AA329" s="82"/>
      <c r="AB329" s="82"/>
      <c r="AC329" s="82"/>
      <c r="AD329" s="82"/>
      <c r="AE329" s="82"/>
      <c r="AF329" s="82"/>
      <c r="AG329" s="82"/>
      <c r="AH329" s="82"/>
      <c r="AI329" s="82"/>
      <c r="AJ329" s="82"/>
      <c r="AK329" s="82"/>
      <c r="AL329" s="82"/>
      <c r="AM329" s="82"/>
      <c r="AN329" s="82"/>
      <c r="AO329" s="82"/>
      <c r="AP329" s="82"/>
      <c r="AQ329" s="82"/>
      <c r="AR329" s="82"/>
      <c r="AS329" s="82"/>
      <c r="AT329" s="82"/>
      <c r="AU329" s="82"/>
      <c r="AV329" s="82"/>
      <c r="AW329" s="82"/>
      <c r="AX329" s="82"/>
      <c r="AY329" s="82"/>
      <c r="AZ329" s="82"/>
      <c r="BA329" s="82"/>
      <c r="BB329" s="82"/>
      <c r="BC329" s="82"/>
      <c r="BD329" s="82"/>
      <c r="BE329" s="82"/>
      <c r="BF329" s="82"/>
      <c r="BG329" s="82"/>
      <c r="BH329" s="82"/>
      <c r="BI329" s="82"/>
      <c r="BJ329" s="82"/>
      <c r="BK329" s="82"/>
      <c r="BL329" s="82"/>
      <c r="BM329" s="82"/>
      <c r="BN329" s="82"/>
      <c r="BO329" s="81"/>
      <c r="BP329" s="81"/>
    </row>
    <row r="330" spans="11:68" x14ac:dyDescent="0.3">
      <c r="K330" s="82"/>
      <c r="L330" s="82"/>
      <c r="M330" s="82"/>
      <c r="N330" s="82"/>
      <c r="O330" s="82"/>
      <c r="P330" s="82"/>
      <c r="Q330" s="82"/>
      <c r="R330" s="82"/>
      <c r="S330" s="82"/>
      <c r="T330" s="82"/>
      <c r="U330" s="82"/>
      <c r="V330" s="82"/>
      <c r="W330" s="82"/>
      <c r="X330" s="82"/>
      <c r="Y330" s="82"/>
      <c r="Z330" s="82"/>
      <c r="AA330" s="82"/>
      <c r="AB330" s="82"/>
      <c r="AC330" s="82"/>
      <c r="AD330" s="82"/>
      <c r="AE330" s="82"/>
      <c r="AF330" s="82"/>
      <c r="AG330" s="82"/>
      <c r="AH330" s="82"/>
      <c r="AI330" s="82"/>
      <c r="AJ330" s="82"/>
      <c r="AK330" s="82"/>
      <c r="AL330" s="82"/>
      <c r="AM330" s="82"/>
      <c r="AN330" s="82"/>
      <c r="AO330" s="82"/>
      <c r="AP330" s="82"/>
      <c r="AQ330" s="82"/>
      <c r="AR330" s="82"/>
      <c r="AS330" s="82"/>
      <c r="AT330" s="82"/>
      <c r="AU330" s="82"/>
      <c r="AV330" s="82"/>
      <c r="AW330" s="82"/>
      <c r="AX330" s="82"/>
      <c r="AY330" s="82"/>
      <c r="AZ330" s="82"/>
      <c r="BA330" s="82"/>
      <c r="BB330" s="82"/>
      <c r="BC330" s="82"/>
      <c r="BD330" s="82"/>
      <c r="BE330" s="82"/>
      <c r="BF330" s="82"/>
      <c r="BG330" s="82"/>
      <c r="BH330" s="82"/>
      <c r="BI330" s="82"/>
      <c r="BJ330" s="82"/>
      <c r="BK330" s="82"/>
      <c r="BL330" s="82"/>
      <c r="BM330" s="82"/>
      <c r="BN330" s="82"/>
      <c r="BO330" s="81"/>
      <c r="BP330" s="81"/>
    </row>
    <row r="331" spans="11:68" x14ac:dyDescent="0.3">
      <c r="K331" s="82"/>
      <c r="L331" s="82"/>
      <c r="M331" s="82"/>
      <c r="N331" s="82"/>
      <c r="O331" s="82"/>
      <c r="P331" s="82"/>
      <c r="Q331" s="82"/>
      <c r="R331" s="82"/>
      <c r="S331" s="82"/>
      <c r="T331" s="82"/>
      <c r="U331" s="82"/>
      <c r="V331" s="82"/>
      <c r="W331" s="82"/>
      <c r="X331" s="82"/>
      <c r="Y331" s="82"/>
      <c r="Z331" s="82"/>
      <c r="AA331" s="82"/>
      <c r="AB331" s="82"/>
      <c r="AC331" s="82"/>
      <c r="AD331" s="82"/>
      <c r="AE331" s="82"/>
      <c r="AF331" s="82"/>
      <c r="AG331" s="82"/>
      <c r="AH331" s="82"/>
      <c r="AI331" s="82"/>
      <c r="AJ331" s="82"/>
      <c r="AK331" s="82"/>
      <c r="AL331" s="82"/>
      <c r="AM331" s="82"/>
      <c r="AN331" s="82"/>
      <c r="AO331" s="82"/>
      <c r="AP331" s="82"/>
      <c r="AQ331" s="82"/>
      <c r="AR331" s="82"/>
      <c r="AS331" s="82"/>
      <c r="AT331" s="82"/>
      <c r="AU331" s="82"/>
      <c r="AV331" s="82"/>
      <c r="AW331" s="82"/>
      <c r="AX331" s="82"/>
      <c r="AY331" s="82"/>
      <c r="AZ331" s="82"/>
      <c r="BA331" s="82"/>
      <c r="BB331" s="82"/>
      <c r="BC331" s="82"/>
      <c r="BD331" s="82"/>
      <c r="BE331" s="82"/>
      <c r="BF331" s="82"/>
      <c r="BG331" s="82"/>
      <c r="BH331" s="82"/>
      <c r="BI331" s="82"/>
      <c r="BJ331" s="82"/>
      <c r="BK331" s="82"/>
      <c r="BL331" s="82"/>
      <c r="BM331" s="82"/>
      <c r="BN331" s="82"/>
      <c r="BO331" s="81"/>
      <c r="BP331" s="81"/>
    </row>
    <row r="332" spans="11:68" x14ac:dyDescent="0.3">
      <c r="K332" s="82"/>
      <c r="L332" s="82"/>
      <c r="M332" s="82"/>
      <c r="N332" s="82"/>
      <c r="O332" s="82"/>
      <c r="P332" s="82"/>
      <c r="Q332" s="82"/>
      <c r="R332" s="82"/>
      <c r="S332" s="82"/>
      <c r="T332" s="82"/>
      <c r="U332" s="82"/>
      <c r="V332" s="82"/>
      <c r="W332" s="82"/>
      <c r="X332" s="82"/>
      <c r="Y332" s="82"/>
      <c r="Z332" s="82"/>
      <c r="AA332" s="82"/>
      <c r="AB332" s="82"/>
      <c r="AC332" s="82"/>
      <c r="AD332" s="82"/>
      <c r="AE332" s="82"/>
      <c r="AF332" s="82"/>
      <c r="AG332" s="82"/>
      <c r="AH332" s="82"/>
      <c r="AI332" s="82"/>
      <c r="AJ332" s="82"/>
      <c r="AK332" s="82"/>
      <c r="AL332" s="82"/>
      <c r="AM332" s="82"/>
      <c r="AN332" s="82"/>
      <c r="AO332" s="82"/>
      <c r="AP332" s="82"/>
      <c r="AQ332" s="82"/>
      <c r="AR332" s="82"/>
      <c r="AS332" s="82"/>
      <c r="AT332" s="82"/>
      <c r="AU332" s="82"/>
      <c r="AV332" s="82"/>
      <c r="AW332" s="82"/>
      <c r="AX332" s="82"/>
      <c r="AY332" s="82"/>
      <c r="AZ332" s="82"/>
      <c r="BA332" s="82"/>
      <c r="BB332" s="82"/>
      <c r="BC332" s="82"/>
      <c r="BD332" s="82"/>
      <c r="BE332" s="82"/>
      <c r="BF332" s="82"/>
      <c r="BG332" s="82"/>
      <c r="BH332" s="82"/>
      <c r="BI332" s="82"/>
      <c r="BJ332" s="82"/>
      <c r="BK332" s="82"/>
      <c r="BL332" s="82"/>
      <c r="BM332" s="82"/>
      <c r="BN332" s="82"/>
      <c r="BO332" s="81"/>
      <c r="BP332" s="81"/>
    </row>
    <row r="333" spans="11:68" x14ac:dyDescent="0.3">
      <c r="K333" s="82"/>
      <c r="L333" s="82"/>
      <c r="M333" s="82"/>
      <c r="N333" s="82"/>
      <c r="O333" s="82"/>
      <c r="P333" s="82"/>
      <c r="Q333" s="82"/>
      <c r="R333" s="82"/>
      <c r="S333" s="82"/>
      <c r="T333" s="82"/>
      <c r="U333" s="82"/>
      <c r="V333" s="82"/>
      <c r="W333" s="82"/>
      <c r="X333" s="82"/>
      <c r="Y333" s="82"/>
      <c r="Z333" s="82"/>
      <c r="AA333" s="82"/>
      <c r="AB333" s="82"/>
      <c r="AC333" s="82"/>
      <c r="AD333" s="82"/>
      <c r="AE333" s="82"/>
      <c r="AF333" s="82"/>
      <c r="AG333" s="82"/>
      <c r="AH333" s="82"/>
      <c r="AI333" s="82"/>
      <c r="AJ333" s="82"/>
      <c r="AK333" s="82"/>
      <c r="AL333" s="82"/>
      <c r="AM333" s="82"/>
      <c r="AN333" s="82"/>
      <c r="AO333" s="82"/>
      <c r="AP333" s="82"/>
      <c r="AQ333" s="82"/>
      <c r="AR333" s="82"/>
      <c r="AS333" s="82"/>
      <c r="AT333" s="82"/>
      <c r="AU333" s="82"/>
      <c r="AV333" s="82"/>
      <c r="AW333" s="82"/>
      <c r="AX333" s="82"/>
      <c r="AY333" s="82"/>
      <c r="AZ333" s="82"/>
      <c r="BA333" s="82"/>
      <c r="BB333" s="82"/>
      <c r="BC333" s="82"/>
      <c r="BD333" s="82"/>
      <c r="BE333" s="82"/>
      <c r="BF333" s="82"/>
      <c r="BG333" s="82"/>
      <c r="BH333" s="82"/>
      <c r="BI333" s="82"/>
      <c r="BJ333" s="82"/>
      <c r="BK333" s="82"/>
      <c r="BL333" s="82"/>
      <c r="BM333" s="82"/>
      <c r="BN333" s="82"/>
      <c r="BO333" s="81"/>
      <c r="BP333" s="81"/>
    </row>
    <row r="334" spans="11:68" x14ac:dyDescent="0.3">
      <c r="K334" s="82"/>
      <c r="L334" s="82"/>
      <c r="M334" s="82"/>
      <c r="N334" s="82"/>
      <c r="O334" s="82"/>
      <c r="P334" s="82"/>
      <c r="Q334" s="82"/>
      <c r="R334" s="82"/>
      <c r="S334" s="82"/>
      <c r="T334" s="82"/>
      <c r="U334" s="82"/>
      <c r="V334" s="82"/>
      <c r="W334" s="82"/>
      <c r="X334" s="82"/>
      <c r="Y334" s="82"/>
      <c r="Z334" s="82"/>
      <c r="AA334" s="82"/>
      <c r="AB334" s="82"/>
      <c r="AC334" s="82"/>
      <c r="AD334" s="82"/>
      <c r="AE334" s="82"/>
      <c r="AF334" s="82"/>
      <c r="AG334" s="82"/>
      <c r="AH334" s="82"/>
      <c r="AI334" s="82"/>
      <c r="AJ334" s="82"/>
      <c r="AK334" s="82"/>
      <c r="AL334" s="82"/>
      <c r="AM334" s="82"/>
      <c r="AN334" s="82"/>
      <c r="AO334" s="82"/>
      <c r="AP334" s="82"/>
      <c r="AQ334" s="82"/>
      <c r="AR334" s="82"/>
      <c r="AS334" s="82"/>
      <c r="AT334" s="82"/>
      <c r="AU334" s="82"/>
      <c r="AV334" s="82"/>
      <c r="AW334" s="82"/>
      <c r="AX334" s="82"/>
      <c r="AY334" s="82"/>
      <c r="AZ334" s="82"/>
      <c r="BA334" s="82"/>
      <c r="BB334" s="82"/>
      <c r="BC334" s="82"/>
      <c r="BD334" s="82"/>
      <c r="BE334" s="82"/>
      <c r="BF334" s="82"/>
      <c r="BG334" s="82"/>
      <c r="BH334" s="82"/>
      <c r="BI334" s="82"/>
      <c r="BJ334" s="82"/>
      <c r="BK334" s="82"/>
      <c r="BL334" s="82"/>
      <c r="BM334" s="82"/>
      <c r="BN334" s="82"/>
      <c r="BO334" s="81"/>
      <c r="BP334" s="81"/>
    </row>
    <row r="335" spans="11:68" x14ac:dyDescent="0.3"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  <c r="AA335" s="82"/>
      <c r="AB335" s="82"/>
      <c r="AC335" s="82"/>
      <c r="AD335" s="82"/>
      <c r="AE335" s="82"/>
      <c r="AF335" s="82"/>
      <c r="AG335" s="82"/>
      <c r="AH335" s="82"/>
      <c r="AI335" s="82"/>
      <c r="AJ335" s="82"/>
      <c r="AK335" s="82"/>
      <c r="AL335" s="82"/>
      <c r="AM335" s="82"/>
      <c r="AN335" s="82"/>
      <c r="AO335" s="82"/>
      <c r="AP335" s="82"/>
      <c r="AQ335" s="82"/>
      <c r="AR335" s="82"/>
      <c r="AS335" s="82"/>
      <c r="AT335" s="82"/>
      <c r="AU335" s="82"/>
      <c r="AV335" s="82"/>
      <c r="AW335" s="82"/>
      <c r="AX335" s="82"/>
      <c r="AY335" s="82"/>
      <c r="AZ335" s="82"/>
      <c r="BA335" s="82"/>
      <c r="BB335" s="82"/>
      <c r="BC335" s="82"/>
      <c r="BD335" s="82"/>
      <c r="BE335" s="82"/>
      <c r="BF335" s="82"/>
      <c r="BG335" s="82"/>
      <c r="BH335" s="82"/>
      <c r="BI335" s="82"/>
      <c r="BJ335" s="82"/>
      <c r="BK335" s="82"/>
      <c r="BL335" s="82"/>
      <c r="BM335" s="82"/>
      <c r="BN335" s="82"/>
      <c r="BO335" s="81"/>
      <c r="BP335" s="81"/>
    </row>
    <row r="336" spans="11:68" x14ac:dyDescent="0.3">
      <c r="K336" s="82"/>
      <c r="L336" s="82"/>
      <c r="M336" s="82"/>
      <c r="N336" s="82"/>
      <c r="O336" s="82"/>
      <c r="P336" s="82"/>
      <c r="Q336" s="82"/>
      <c r="R336" s="82"/>
      <c r="S336" s="82"/>
      <c r="T336" s="82"/>
      <c r="U336" s="82"/>
      <c r="V336" s="82"/>
      <c r="W336" s="82"/>
      <c r="X336" s="82"/>
      <c r="Y336" s="82"/>
      <c r="Z336" s="82"/>
      <c r="AA336" s="82"/>
      <c r="AB336" s="82"/>
      <c r="AC336" s="82"/>
      <c r="AD336" s="82"/>
      <c r="AE336" s="82"/>
      <c r="AF336" s="82"/>
      <c r="AG336" s="82"/>
      <c r="AH336" s="82"/>
      <c r="AI336" s="82"/>
      <c r="AJ336" s="82"/>
      <c r="AK336" s="82"/>
      <c r="AL336" s="82"/>
      <c r="AM336" s="82"/>
      <c r="AN336" s="82"/>
      <c r="AO336" s="82"/>
      <c r="AP336" s="82"/>
      <c r="AQ336" s="82"/>
      <c r="AR336" s="82"/>
      <c r="AS336" s="82"/>
      <c r="AT336" s="82"/>
      <c r="AU336" s="82"/>
      <c r="AV336" s="82"/>
      <c r="AW336" s="82"/>
      <c r="AX336" s="82"/>
      <c r="AY336" s="82"/>
      <c r="AZ336" s="82"/>
      <c r="BA336" s="82"/>
      <c r="BB336" s="82"/>
      <c r="BC336" s="82"/>
      <c r="BD336" s="82"/>
      <c r="BE336" s="82"/>
      <c r="BF336" s="82"/>
      <c r="BG336" s="82"/>
      <c r="BH336" s="82"/>
      <c r="BI336" s="82"/>
      <c r="BJ336" s="82"/>
      <c r="BK336" s="82"/>
      <c r="BL336" s="82"/>
      <c r="BM336" s="82"/>
      <c r="BN336" s="82"/>
      <c r="BO336" s="81"/>
      <c r="BP336" s="81"/>
    </row>
    <row r="337" spans="11:68" x14ac:dyDescent="0.3">
      <c r="K337" s="82"/>
      <c r="L337" s="82"/>
      <c r="M337" s="82"/>
      <c r="N337" s="82"/>
      <c r="O337" s="82"/>
      <c r="P337" s="82"/>
      <c r="Q337" s="82"/>
      <c r="R337" s="82"/>
      <c r="S337" s="82"/>
      <c r="T337" s="82"/>
      <c r="U337" s="82"/>
      <c r="V337" s="82"/>
      <c r="W337" s="82"/>
      <c r="X337" s="82"/>
      <c r="Y337" s="82"/>
      <c r="Z337" s="82"/>
      <c r="AA337" s="82"/>
      <c r="AB337" s="82"/>
      <c r="AC337" s="82"/>
      <c r="AD337" s="82"/>
      <c r="AE337" s="82"/>
      <c r="AF337" s="82"/>
      <c r="AG337" s="82"/>
      <c r="AH337" s="82"/>
      <c r="AI337" s="82"/>
      <c r="AJ337" s="82"/>
      <c r="AK337" s="82"/>
      <c r="AL337" s="82"/>
      <c r="AM337" s="82"/>
      <c r="AN337" s="82"/>
      <c r="AO337" s="82"/>
      <c r="AP337" s="82"/>
      <c r="AQ337" s="82"/>
      <c r="AR337" s="82"/>
      <c r="AS337" s="82"/>
      <c r="AT337" s="82"/>
      <c r="AU337" s="82"/>
      <c r="AV337" s="82"/>
      <c r="AW337" s="82"/>
      <c r="AX337" s="82"/>
      <c r="AY337" s="82"/>
      <c r="AZ337" s="82"/>
      <c r="BA337" s="82"/>
      <c r="BB337" s="82"/>
      <c r="BC337" s="82"/>
      <c r="BD337" s="82"/>
      <c r="BE337" s="82"/>
      <c r="BF337" s="82"/>
      <c r="BG337" s="82"/>
      <c r="BH337" s="82"/>
      <c r="BI337" s="82"/>
      <c r="BJ337" s="82"/>
      <c r="BK337" s="82"/>
      <c r="BL337" s="82"/>
      <c r="BM337" s="82"/>
      <c r="BN337" s="82"/>
      <c r="BO337" s="81"/>
      <c r="BP337" s="81"/>
    </row>
    <row r="338" spans="11:68" x14ac:dyDescent="0.3">
      <c r="K338" s="82"/>
      <c r="L338" s="82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82"/>
      <c r="Z338" s="82"/>
      <c r="AA338" s="82"/>
      <c r="AB338" s="82"/>
      <c r="AC338" s="82"/>
      <c r="AD338" s="82"/>
      <c r="AE338" s="82"/>
      <c r="AF338" s="82"/>
      <c r="AG338" s="82"/>
      <c r="AH338" s="82"/>
      <c r="AI338" s="82"/>
      <c r="AJ338" s="82"/>
      <c r="AK338" s="82"/>
      <c r="AL338" s="82"/>
      <c r="AM338" s="82"/>
      <c r="AN338" s="82"/>
      <c r="AO338" s="82"/>
      <c r="AP338" s="82"/>
      <c r="AQ338" s="82"/>
      <c r="AR338" s="82"/>
      <c r="AS338" s="82"/>
      <c r="AT338" s="82"/>
      <c r="AU338" s="82"/>
      <c r="AV338" s="82"/>
      <c r="AW338" s="82"/>
      <c r="AX338" s="82"/>
      <c r="AY338" s="82"/>
      <c r="AZ338" s="82"/>
      <c r="BA338" s="82"/>
      <c r="BB338" s="82"/>
      <c r="BC338" s="82"/>
      <c r="BD338" s="82"/>
      <c r="BE338" s="82"/>
      <c r="BF338" s="82"/>
      <c r="BG338" s="82"/>
      <c r="BH338" s="82"/>
      <c r="BI338" s="82"/>
      <c r="BJ338" s="82"/>
      <c r="BK338" s="82"/>
      <c r="BL338" s="82"/>
      <c r="BM338" s="82"/>
      <c r="BN338" s="82"/>
      <c r="BO338" s="81"/>
      <c r="BP338" s="81"/>
    </row>
    <row r="339" spans="11:68" x14ac:dyDescent="0.3">
      <c r="K339" s="82"/>
      <c r="L339" s="82"/>
      <c r="M339" s="82"/>
      <c r="N339" s="82"/>
      <c r="O339" s="82"/>
      <c r="P339" s="82"/>
      <c r="Q339" s="82"/>
      <c r="R339" s="82"/>
      <c r="S339" s="82"/>
      <c r="T339" s="82"/>
      <c r="U339" s="82"/>
      <c r="V339" s="82"/>
      <c r="W339" s="82"/>
      <c r="X339" s="82"/>
      <c r="Y339" s="82"/>
      <c r="Z339" s="82"/>
      <c r="AA339" s="82"/>
      <c r="AB339" s="82"/>
      <c r="AC339" s="82"/>
      <c r="AD339" s="82"/>
      <c r="AE339" s="82"/>
      <c r="AF339" s="82"/>
      <c r="AG339" s="82"/>
      <c r="AH339" s="82"/>
      <c r="AI339" s="82"/>
      <c r="AJ339" s="82"/>
      <c r="AK339" s="82"/>
      <c r="AL339" s="82"/>
      <c r="AM339" s="82"/>
      <c r="AN339" s="82"/>
      <c r="AO339" s="82"/>
      <c r="AP339" s="82"/>
      <c r="AQ339" s="82"/>
      <c r="AR339" s="82"/>
      <c r="AS339" s="82"/>
      <c r="AT339" s="82"/>
      <c r="AU339" s="82"/>
      <c r="AV339" s="82"/>
      <c r="AW339" s="82"/>
      <c r="AX339" s="82"/>
      <c r="AY339" s="82"/>
      <c r="AZ339" s="82"/>
      <c r="BA339" s="82"/>
      <c r="BB339" s="82"/>
      <c r="BC339" s="82"/>
      <c r="BD339" s="82"/>
      <c r="BE339" s="82"/>
      <c r="BF339" s="82"/>
      <c r="BG339" s="82"/>
      <c r="BH339" s="82"/>
      <c r="BI339" s="82"/>
      <c r="BJ339" s="82"/>
      <c r="BK339" s="82"/>
      <c r="BL339" s="82"/>
      <c r="BM339" s="82"/>
      <c r="BN339" s="82"/>
      <c r="BO339" s="81"/>
      <c r="BP339" s="81"/>
    </row>
    <row r="340" spans="11:68" x14ac:dyDescent="0.3">
      <c r="K340" s="82"/>
      <c r="L340" s="82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82"/>
      <c r="Z340" s="82"/>
      <c r="AA340" s="82"/>
      <c r="AB340" s="82"/>
      <c r="AC340" s="82"/>
      <c r="AD340" s="82"/>
      <c r="AE340" s="82"/>
      <c r="AF340" s="82"/>
      <c r="AG340" s="82"/>
      <c r="AH340" s="82"/>
      <c r="AI340" s="82"/>
      <c r="AJ340" s="82"/>
      <c r="AK340" s="82"/>
      <c r="AL340" s="82"/>
      <c r="AM340" s="82"/>
      <c r="AN340" s="82"/>
      <c r="AO340" s="82"/>
      <c r="AP340" s="82"/>
      <c r="AQ340" s="82"/>
      <c r="AR340" s="82"/>
      <c r="AS340" s="82"/>
      <c r="AT340" s="82"/>
      <c r="AU340" s="82"/>
      <c r="AV340" s="82"/>
      <c r="AW340" s="82"/>
      <c r="AX340" s="82"/>
      <c r="AY340" s="82"/>
      <c r="AZ340" s="82"/>
      <c r="BA340" s="82"/>
      <c r="BB340" s="82"/>
      <c r="BC340" s="82"/>
      <c r="BD340" s="82"/>
      <c r="BE340" s="82"/>
      <c r="BF340" s="82"/>
      <c r="BG340" s="82"/>
      <c r="BH340" s="82"/>
      <c r="BI340" s="82"/>
      <c r="BJ340" s="82"/>
      <c r="BK340" s="82"/>
      <c r="BL340" s="82"/>
      <c r="BM340" s="82"/>
      <c r="BN340" s="82"/>
      <c r="BO340" s="81"/>
      <c r="BP340" s="81"/>
    </row>
    <row r="341" spans="11:68" x14ac:dyDescent="0.3">
      <c r="K341" s="82"/>
      <c r="L341" s="82"/>
      <c r="M341" s="82"/>
      <c r="N341" s="82"/>
      <c r="O341" s="82"/>
      <c r="P341" s="82"/>
      <c r="Q341" s="82"/>
      <c r="R341" s="82"/>
      <c r="S341" s="82"/>
      <c r="T341" s="82"/>
      <c r="U341" s="82"/>
      <c r="V341" s="82"/>
      <c r="W341" s="82"/>
      <c r="X341" s="82"/>
      <c r="Y341" s="82"/>
      <c r="Z341" s="82"/>
      <c r="AA341" s="82"/>
      <c r="AB341" s="82"/>
      <c r="AC341" s="82"/>
      <c r="AD341" s="82"/>
      <c r="AE341" s="82"/>
      <c r="AF341" s="82"/>
      <c r="AG341" s="82"/>
      <c r="AH341" s="82"/>
      <c r="AI341" s="82"/>
      <c r="AJ341" s="82"/>
      <c r="AK341" s="82"/>
      <c r="AL341" s="82"/>
      <c r="AM341" s="82"/>
      <c r="AN341" s="82"/>
      <c r="AO341" s="82"/>
      <c r="AP341" s="82"/>
      <c r="AQ341" s="82"/>
      <c r="AR341" s="82"/>
      <c r="AS341" s="82"/>
      <c r="AT341" s="82"/>
      <c r="AU341" s="82"/>
      <c r="AV341" s="82"/>
      <c r="AW341" s="82"/>
      <c r="AX341" s="82"/>
      <c r="AY341" s="82"/>
      <c r="AZ341" s="82"/>
      <c r="BA341" s="82"/>
      <c r="BB341" s="82"/>
      <c r="BC341" s="82"/>
      <c r="BD341" s="82"/>
      <c r="BE341" s="82"/>
      <c r="BF341" s="82"/>
      <c r="BG341" s="82"/>
      <c r="BH341" s="82"/>
      <c r="BI341" s="82"/>
      <c r="BJ341" s="82"/>
      <c r="BK341" s="82"/>
      <c r="BL341" s="82"/>
      <c r="BM341" s="82"/>
      <c r="BN341" s="82"/>
      <c r="BO341" s="81"/>
      <c r="BP341" s="81"/>
    </row>
    <row r="342" spans="11:68" x14ac:dyDescent="0.3">
      <c r="K342" s="82"/>
      <c r="L342" s="82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82"/>
      <c r="Z342" s="82"/>
      <c r="AA342" s="82"/>
      <c r="AB342" s="82"/>
      <c r="AC342" s="82"/>
      <c r="AD342" s="82"/>
      <c r="AE342" s="82"/>
      <c r="AF342" s="82"/>
      <c r="AG342" s="82"/>
      <c r="AH342" s="82"/>
      <c r="AI342" s="82"/>
      <c r="AJ342" s="82"/>
      <c r="AK342" s="82"/>
      <c r="AL342" s="82"/>
      <c r="AM342" s="82"/>
      <c r="AN342" s="82"/>
      <c r="AO342" s="82"/>
      <c r="AP342" s="82"/>
      <c r="AQ342" s="82"/>
      <c r="AR342" s="82"/>
      <c r="AS342" s="82"/>
      <c r="AT342" s="82"/>
      <c r="AU342" s="82"/>
      <c r="AV342" s="82"/>
      <c r="AW342" s="82"/>
      <c r="AX342" s="82"/>
      <c r="AY342" s="82"/>
      <c r="AZ342" s="82"/>
      <c r="BA342" s="82"/>
      <c r="BB342" s="82"/>
      <c r="BC342" s="82"/>
      <c r="BD342" s="82"/>
      <c r="BE342" s="82"/>
      <c r="BF342" s="82"/>
      <c r="BG342" s="82"/>
      <c r="BH342" s="82"/>
      <c r="BI342" s="82"/>
      <c r="BJ342" s="82"/>
      <c r="BK342" s="82"/>
      <c r="BL342" s="82"/>
      <c r="BM342" s="82"/>
      <c r="BN342" s="82"/>
      <c r="BO342" s="81"/>
      <c r="BP342" s="81"/>
    </row>
    <row r="343" spans="11:68" x14ac:dyDescent="0.3">
      <c r="K343" s="82"/>
      <c r="L343" s="82"/>
      <c r="M343" s="82"/>
      <c r="N343" s="82"/>
      <c r="O343" s="82"/>
      <c r="P343" s="82"/>
      <c r="Q343" s="82"/>
      <c r="R343" s="82"/>
      <c r="S343" s="82"/>
      <c r="T343" s="82"/>
      <c r="U343" s="82"/>
      <c r="V343" s="82"/>
      <c r="W343" s="82"/>
      <c r="X343" s="82"/>
      <c r="Y343" s="82"/>
      <c r="Z343" s="82"/>
      <c r="AA343" s="82"/>
      <c r="AB343" s="82"/>
      <c r="AC343" s="82"/>
      <c r="AD343" s="82"/>
      <c r="AE343" s="82"/>
      <c r="AF343" s="82"/>
      <c r="AG343" s="82"/>
      <c r="AH343" s="82"/>
      <c r="AI343" s="82"/>
      <c r="AJ343" s="82"/>
      <c r="AK343" s="82"/>
      <c r="AL343" s="82"/>
      <c r="AM343" s="82"/>
      <c r="AN343" s="82"/>
      <c r="AO343" s="82"/>
      <c r="AP343" s="82"/>
      <c r="AQ343" s="82"/>
      <c r="AR343" s="82"/>
      <c r="AS343" s="82"/>
      <c r="AT343" s="82"/>
      <c r="AU343" s="82"/>
      <c r="AV343" s="82"/>
      <c r="AW343" s="82"/>
      <c r="AX343" s="82"/>
      <c r="AY343" s="82"/>
      <c r="AZ343" s="82"/>
      <c r="BA343" s="82"/>
      <c r="BB343" s="82"/>
      <c r="BC343" s="82"/>
      <c r="BD343" s="82"/>
      <c r="BE343" s="82"/>
      <c r="BF343" s="82"/>
      <c r="BG343" s="82"/>
      <c r="BH343" s="82"/>
      <c r="BI343" s="82"/>
      <c r="BJ343" s="82"/>
      <c r="BK343" s="82"/>
      <c r="BL343" s="82"/>
      <c r="BM343" s="82"/>
      <c r="BN343" s="82"/>
      <c r="BO343" s="81"/>
      <c r="BP343" s="81"/>
    </row>
    <row r="344" spans="11:68" x14ac:dyDescent="0.3">
      <c r="K344" s="82"/>
      <c r="L344" s="82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82"/>
      <c r="Z344" s="82"/>
      <c r="AA344" s="82"/>
      <c r="AB344" s="82"/>
      <c r="AC344" s="82"/>
      <c r="AD344" s="82"/>
      <c r="AE344" s="82"/>
      <c r="AF344" s="82"/>
      <c r="AG344" s="82"/>
      <c r="AH344" s="82"/>
      <c r="AI344" s="82"/>
      <c r="AJ344" s="82"/>
      <c r="AK344" s="82"/>
      <c r="AL344" s="82"/>
      <c r="AM344" s="82"/>
      <c r="AN344" s="82"/>
      <c r="AO344" s="82"/>
      <c r="AP344" s="82"/>
      <c r="AQ344" s="82"/>
      <c r="AR344" s="82"/>
      <c r="AS344" s="82"/>
      <c r="AT344" s="82"/>
      <c r="AU344" s="82"/>
      <c r="AV344" s="82"/>
      <c r="AW344" s="82"/>
      <c r="AX344" s="82"/>
      <c r="AY344" s="82"/>
      <c r="AZ344" s="82"/>
      <c r="BA344" s="82"/>
      <c r="BB344" s="82"/>
      <c r="BC344" s="82"/>
      <c r="BD344" s="82"/>
      <c r="BE344" s="82"/>
      <c r="BF344" s="82"/>
      <c r="BG344" s="82"/>
      <c r="BH344" s="82"/>
      <c r="BI344" s="82"/>
      <c r="BJ344" s="82"/>
      <c r="BK344" s="82"/>
      <c r="BL344" s="82"/>
      <c r="BM344" s="82"/>
      <c r="BN344" s="82"/>
      <c r="BO344" s="81"/>
      <c r="BP344" s="81"/>
    </row>
    <row r="345" spans="11:68" x14ac:dyDescent="0.3">
      <c r="K345" s="82"/>
      <c r="L345" s="82"/>
      <c r="M345" s="82"/>
      <c r="N345" s="82"/>
      <c r="O345" s="82"/>
      <c r="P345" s="82"/>
      <c r="Q345" s="82"/>
      <c r="R345" s="82"/>
      <c r="S345" s="82"/>
      <c r="T345" s="82"/>
      <c r="U345" s="82"/>
      <c r="V345" s="82"/>
      <c r="W345" s="82"/>
      <c r="X345" s="82"/>
      <c r="Y345" s="82"/>
      <c r="Z345" s="82"/>
      <c r="AA345" s="82"/>
      <c r="AB345" s="82"/>
      <c r="AC345" s="82"/>
      <c r="AD345" s="82"/>
      <c r="AE345" s="82"/>
      <c r="AF345" s="82"/>
      <c r="AG345" s="82"/>
      <c r="AH345" s="82"/>
      <c r="AI345" s="82"/>
      <c r="AJ345" s="82"/>
      <c r="AK345" s="82"/>
      <c r="AL345" s="82"/>
      <c r="AM345" s="82"/>
      <c r="AN345" s="82"/>
      <c r="AO345" s="82"/>
      <c r="AP345" s="82"/>
      <c r="AQ345" s="82"/>
      <c r="AR345" s="82"/>
      <c r="AS345" s="82"/>
      <c r="AT345" s="82"/>
      <c r="AU345" s="82"/>
      <c r="AV345" s="82"/>
      <c r="AW345" s="82"/>
      <c r="AX345" s="82"/>
      <c r="AY345" s="82"/>
      <c r="AZ345" s="82"/>
      <c r="BA345" s="82"/>
      <c r="BB345" s="82"/>
      <c r="BC345" s="82"/>
      <c r="BD345" s="82"/>
      <c r="BE345" s="82"/>
      <c r="BF345" s="82"/>
      <c r="BG345" s="82"/>
      <c r="BH345" s="82"/>
      <c r="BI345" s="82"/>
      <c r="BJ345" s="82"/>
      <c r="BK345" s="82"/>
      <c r="BL345" s="82"/>
      <c r="BM345" s="82"/>
      <c r="BN345" s="82"/>
      <c r="BO345" s="81"/>
      <c r="BP345" s="81"/>
    </row>
    <row r="346" spans="11:68" x14ac:dyDescent="0.3">
      <c r="K346" s="82"/>
      <c r="L346" s="82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82"/>
      <c r="Z346" s="82"/>
      <c r="AA346" s="82"/>
      <c r="AB346" s="82"/>
      <c r="AC346" s="82"/>
      <c r="AD346" s="82"/>
      <c r="AE346" s="82"/>
      <c r="AF346" s="82"/>
      <c r="AG346" s="82"/>
      <c r="AH346" s="82"/>
      <c r="AI346" s="82"/>
      <c r="AJ346" s="82"/>
      <c r="AK346" s="82"/>
      <c r="AL346" s="82"/>
      <c r="AM346" s="82"/>
      <c r="AN346" s="82"/>
      <c r="AO346" s="82"/>
      <c r="AP346" s="82"/>
      <c r="AQ346" s="82"/>
      <c r="AR346" s="82"/>
      <c r="AS346" s="82"/>
      <c r="AT346" s="82"/>
      <c r="AU346" s="82"/>
      <c r="AV346" s="82"/>
      <c r="AW346" s="82"/>
      <c r="AX346" s="82"/>
      <c r="AY346" s="82"/>
      <c r="AZ346" s="82"/>
      <c r="BA346" s="82"/>
      <c r="BB346" s="82"/>
      <c r="BC346" s="82"/>
      <c r="BD346" s="82"/>
      <c r="BE346" s="82"/>
      <c r="BF346" s="82"/>
      <c r="BG346" s="82"/>
      <c r="BH346" s="82"/>
      <c r="BI346" s="82"/>
      <c r="BJ346" s="82"/>
      <c r="BK346" s="82"/>
      <c r="BL346" s="82"/>
      <c r="BM346" s="82"/>
      <c r="BN346" s="82"/>
      <c r="BO346" s="81"/>
      <c r="BP346" s="81"/>
    </row>
    <row r="347" spans="11:68" x14ac:dyDescent="0.3">
      <c r="K347" s="82"/>
      <c r="L347" s="82"/>
      <c r="M347" s="82"/>
      <c r="N347" s="82"/>
      <c r="O347" s="82"/>
      <c r="P347" s="82"/>
      <c r="Q347" s="82"/>
      <c r="R347" s="82"/>
      <c r="S347" s="82"/>
      <c r="T347" s="82"/>
      <c r="U347" s="82"/>
      <c r="V347" s="82"/>
      <c r="W347" s="82"/>
      <c r="X347" s="82"/>
      <c r="Y347" s="82"/>
      <c r="Z347" s="82"/>
      <c r="AA347" s="82"/>
      <c r="AB347" s="82"/>
      <c r="AC347" s="82"/>
      <c r="AD347" s="82"/>
      <c r="AE347" s="82"/>
      <c r="AF347" s="82"/>
      <c r="AG347" s="82"/>
      <c r="AH347" s="82"/>
      <c r="AI347" s="82"/>
      <c r="AJ347" s="82"/>
      <c r="AK347" s="82"/>
      <c r="AL347" s="82"/>
      <c r="AM347" s="82"/>
      <c r="AN347" s="82"/>
      <c r="AO347" s="82"/>
      <c r="AP347" s="82"/>
      <c r="AQ347" s="82"/>
      <c r="AR347" s="82"/>
      <c r="AS347" s="82"/>
      <c r="AT347" s="82"/>
      <c r="AU347" s="82"/>
      <c r="AV347" s="82"/>
      <c r="AW347" s="82"/>
      <c r="AX347" s="82"/>
      <c r="AY347" s="82"/>
      <c r="AZ347" s="82"/>
      <c r="BA347" s="82"/>
      <c r="BB347" s="82"/>
      <c r="BC347" s="82"/>
      <c r="BD347" s="82"/>
      <c r="BE347" s="82"/>
      <c r="BF347" s="82"/>
      <c r="BG347" s="82"/>
      <c r="BH347" s="82"/>
      <c r="BI347" s="82"/>
      <c r="BJ347" s="82"/>
      <c r="BK347" s="82"/>
      <c r="BL347" s="82"/>
      <c r="BM347" s="82"/>
      <c r="BN347" s="82"/>
      <c r="BO347" s="81"/>
      <c r="BP347" s="81"/>
    </row>
    <row r="348" spans="11:68" x14ac:dyDescent="0.3">
      <c r="K348" s="82"/>
      <c r="L348" s="82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82"/>
      <c r="Z348" s="82"/>
      <c r="AA348" s="82"/>
      <c r="AB348" s="82"/>
      <c r="AC348" s="82"/>
      <c r="AD348" s="82"/>
      <c r="AE348" s="82"/>
      <c r="AF348" s="82"/>
      <c r="AG348" s="82"/>
      <c r="AH348" s="82"/>
      <c r="AI348" s="82"/>
      <c r="AJ348" s="82"/>
      <c r="AK348" s="82"/>
      <c r="AL348" s="82"/>
      <c r="AM348" s="82"/>
      <c r="AN348" s="82"/>
      <c r="AO348" s="82"/>
      <c r="AP348" s="82"/>
      <c r="AQ348" s="82"/>
      <c r="AR348" s="82"/>
      <c r="AS348" s="82"/>
      <c r="AT348" s="82"/>
      <c r="AU348" s="82"/>
      <c r="AV348" s="82"/>
      <c r="AW348" s="82"/>
      <c r="AX348" s="82"/>
      <c r="AY348" s="82"/>
      <c r="AZ348" s="82"/>
      <c r="BA348" s="82"/>
      <c r="BB348" s="82"/>
      <c r="BC348" s="82"/>
      <c r="BD348" s="82"/>
      <c r="BE348" s="82"/>
      <c r="BF348" s="82"/>
      <c r="BG348" s="82"/>
      <c r="BH348" s="82"/>
      <c r="BI348" s="82"/>
      <c r="BJ348" s="82"/>
      <c r="BK348" s="82"/>
      <c r="BL348" s="82"/>
      <c r="BM348" s="82"/>
      <c r="BN348" s="82"/>
      <c r="BO348" s="81"/>
      <c r="BP348" s="81"/>
    </row>
    <row r="349" spans="11:68" x14ac:dyDescent="0.3">
      <c r="K349" s="82"/>
      <c r="L349" s="82"/>
      <c r="M349" s="82"/>
      <c r="N349" s="82"/>
      <c r="O349" s="82"/>
      <c r="P349" s="82"/>
      <c r="Q349" s="82"/>
      <c r="R349" s="82"/>
      <c r="S349" s="82"/>
      <c r="T349" s="82"/>
      <c r="U349" s="82"/>
      <c r="V349" s="82"/>
      <c r="W349" s="82"/>
      <c r="X349" s="82"/>
      <c r="Y349" s="82"/>
      <c r="Z349" s="82"/>
      <c r="AA349" s="82"/>
      <c r="AB349" s="82"/>
      <c r="AC349" s="82"/>
      <c r="AD349" s="82"/>
      <c r="AE349" s="82"/>
      <c r="AF349" s="82"/>
      <c r="AG349" s="82"/>
      <c r="AH349" s="82"/>
      <c r="AI349" s="82"/>
      <c r="AJ349" s="82"/>
      <c r="AK349" s="82"/>
      <c r="AL349" s="82"/>
      <c r="AM349" s="82"/>
      <c r="AN349" s="82"/>
      <c r="AO349" s="82"/>
      <c r="AP349" s="82"/>
      <c r="AQ349" s="82"/>
      <c r="AR349" s="82"/>
      <c r="AS349" s="82"/>
      <c r="AT349" s="82"/>
      <c r="AU349" s="82"/>
      <c r="AV349" s="82"/>
      <c r="AW349" s="82"/>
      <c r="AX349" s="82"/>
      <c r="AY349" s="82"/>
      <c r="AZ349" s="82"/>
      <c r="BA349" s="82"/>
      <c r="BB349" s="82"/>
      <c r="BC349" s="82"/>
      <c r="BD349" s="82"/>
      <c r="BE349" s="82"/>
      <c r="BF349" s="82"/>
      <c r="BG349" s="82"/>
      <c r="BH349" s="82"/>
      <c r="BI349" s="82"/>
      <c r="BJ349" s="82"/>
      <c r="BK349" s="82"/>
      <c r="BL349" s="82"/>
      <c r="BM349" s="82"/>
      <c r="BN349" s="82"/>
      <c r="BO349" s="81"/>
      <c r="BP349" s="81"/>
    </row>
    <row r="350" spans="11:68" x14ac:dyDescent="0.3">
      <c r="K350" s="82"/>
      <c r="L350" s="82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82"/>
      <c r="Z350" s="82"/>
      <c r="AA350" s="82"/>
      <c r="AB350" s="82"/>
      <c r="AC350" s="82"/>
      <c r="AD350" s="82"/>
      <c r="AE350" s="82"/>
      <c r="AF350" s="82"/>
      <c r="AG350" s="82"/>
      <c r="AH350" s="82"/>
      <c r="AI350" s="82"/>
      <c r="AJ350" s="82"/>
      <c r="AK350" s="82"/>
      <c r="AL350" s="82"/>
      <c r="AM350" s="82"/>
      <c r="AN350" s="82"/>
      <c r="AO350" s="82"/>
      <c r="AP350" s="82"/>
      <c r="AQ350" s="82"/>
      <c r="AR350" s="82"/>
      <c r="AS350" s="82"/>
      <c r="AT350" s="82"/>
      <c r="AU350" s="82"/>
      <c r="AV350" s="82"/>
      <c r="AW350" s="82"/>
      <c r="AX350" s="82"/>
      <c r="AY350" s="82"/>
      <c r="AZ350" s="82"/>
      <c r="BA350" s="82"/>
      <c r="BB350" s="82"/>
      <c r="BC350" s="82"/>
      <c r="BD350" s="82"/>
      <c r="BE350" s="82"/>
      <c r="BF350" s="82"/>
      <c r="BG350" s="82"/>
      <c r="BH350" s="82"/>
      <c r="BI350" s="82"/>
      <c r="BJ350" s="82"/>
      <c r="BK350" s="82"/>
      <c r="BL350" s="82"/>
      <c r="BM350" s="82"/>
      <c r="BN350" s="82"/>
      <c r="BO350" s="81"/>
      <c r="BP350" s="81"/>
    </row>
    <row r="351" spans="11:68" x14ac:dyDescent="0.3">
      <c r="K351" s="82"/>
      <c r="L351" s="82"/>
      <c r="M351" s="82"/>
      <c r="N351" s="82"/>
      <c r="O351" s="82"/>
      <c r="P351" s="82"/>
      <c r="Q351" s="82"/>
      <c r="R351" s="82"/>
      <c r="S351" s="82"/>
      <c r="T351" s="82"/>
      <c r="U351" s="82"/>
      <c r="V351" s="82"/>
      <c r="W351" s="82"/>
      <c r="X351" s="82"/>
      <c r="Y351" s="82"/>
      <c r="Z351" s="82"/>
      <c r="AA351" s="82"/>
      <c r="AB351" s="82"/>
      <c r="AC351" s="82"/>
      <c r="AD351" s="82"/>
      <c r="AE351" s="82"/>
      <c r="AF351" s="82"/>
      <c r="AG351" s="82"/>
      <c r="AH351" s="82"/>
      <c r="AI351" s="82"/>
      <c r="AJ351" s="82"/>
      <c r="AK351" s="82"/>
      <c r="AL351" s="82"/>
      <c r="AM351" s="82"/>
      <c r="AN351" s="82"/>
      <c r="AO351" s="82"/>
      <c r="AP351" s="82"/>
      <c r="AQ351" s="82"/>
      <c r="AR351" s="82"/>
      <c r="AS351" s="82"/>
      <c r="AT351" s="82"/>
      <c r="AU351" s="82"/>
      <c r="AV351" s="82"/>
      <c r="AW351" s="82"/>
      <c r="AX351" s="82"/>
      <c r="AY351" s="82"/>
      <c r="AZ351" s="82"/>
      <c r="BA351" s="82"/>
      <c r="BB351" s="82"/>
      <c r="BC351" s="82"/>
      <c r="BD351" s="82"/>
      <c r="BE351" s="82"/>
      <c r="BF351" s="82"/>
      <c r="BG351" s="82"/>
      <c r="BH351" s="82"/>
      <c r="BI351" s="82"/>
      <c r="BJ351" s="82"/>
      <c r="BK351" s="82"/>
      <c r="BL351" s="82"/>
      <c r="BM351" s="82"/>
      <c r="BN351" s="82"/>
      <c r="BO351" s="81"/>
      <c r="BP351" s="81"/>
    </row>
    <row r="352" spans="11:68" x14ac:dyDescent="0.3"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82"/>
      <c r="Z352" s="82"/>
      <c r="AA352" s="82"/>
      <c r="AB352" s="82"/>
      <c r="AC352" s="82"/>
      <c r="AD352" s="82"/>
      <c r="AE352" s="82"/>
      <c r="AF352" s="82"/>
      <c r="AG352" s="82"/>
      <c r="AH352" s="82"/>
      <c r="AI352" s="82"/>
      <c r="AJ352" s="82"/>
      <c r="AK352" s="82"/>
      <c r="AL352" s="82"/>
      <c r="AM352" s="82"/>
      <c r="AN352" s="82"/>
      <c r="AO352" s="82"/>
      <c r="AP352" s="82"/>
      <c r="AQ352" s="82"/>
      <c r="AR352" s="82"/>
      <c r="AS352" s="82"/>
      <c r="AT352" s="82"/>
      <c r="AU352" s="82"/>
      <c r="AV352" s="82"/>
      <c r="AW352" s="82"/>
      <c r="AX352" s="82"/>
      <c r="AY352" s="82"/>
      <c r="AZ352" s="82"/>
      <c r="BA352" s="82"/>
      <c r="BB352" s="82"/>
      <c r="BC352" s="82"/>
      <c r="BD352" s="82"/>
      <c r="BE352" s="82"/>
      <c r="BF352" s="82"/>
      <c r="BG352" s="82"/>
      <c r="BH352" s="82"/>
      <c r="BI352" s="82"/>
      <c r="BJ352" s="82"/>
      <c r="BK352" s="82"/>
      <c r="BL352" s="82"/>
      <c r="BM352" s="82"/>
      <c r="BN352" s="82"/>
      <c r="BO352" s="81"/>
      <c r="BP352" s="81"/>
    </row>
    <row r="353" spans="11:68" x14ac:dyDescent="0.3"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  <c r="AA353" s="82"/>
      <c r="AB353" s="82"/>
      <c r="AC353" s="82"/>
      <c r="AD353" s="82"/>
      <c r="AE353" s="82"/>
      <c r="AF353" s="82"/>
      <c r="AG353" s="82"/>
      <c r="AH353" s="82"/>
      <c r="AI353" s="82"/>
      <c r="AJ353" s="82"/>
      <c r="AK353" s="82"/>
      <c r="AL353" s="82"/>
      <c r="AM353" s="82"/>
      <c r="AN353" s="82"/>
      <c r="AO353" s="82"/>
      <c r="AP353" s="82"/>
      <c r="AQ353" s="82"/>
      <c r="AR353" s="82"/>
      <c r="AS353" s="82"/>
      <c r="AT353" s="82"/>
      <c r="AU353" s="82"/>
      <c r="AV353" s="82"/>
      <c r="AW353" s="82"/>
      <c r="AX353" s="82"/>
      <c r="AY353" s="82"/>
      <c r="AZ353" s="82"/>
      <c r="BA353" s="82"/>
      <c r="BB353" s="82"/>
      <c r="BC353" s="82"/>
      <c r="BD353" s="82"/>
      <c r="BE353" s="82"/>
      <c r="BF353" s="82"/>
      <c r="BG353" s="82"/>
      <c r="BH353" s="82"/>
      <c r="BI353" s="82"/>
      <c r="BJ353" s="82"/>
      <c r="BK353" s="82"/>
      <c r="BL353" s="82"/>
      <c r="BM353" s="82"/>
      <c r="BN353" s="82"/>
      <c r="BO353" s="81"/>
      <c r="BP353" s="81"/>
    </row>
    <row r="354" spans="11:68" x14ac:dyDescent="0.3"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  <c r="AA354" s="82"/>
      <c r="AB354" s="82"/>
      <c r="AC354" s="82"/>
      <c r="AD354" s="82"/>
      <c r="AE354" s="82"/>
      <c r="AF354" s="82"/>
      <c r="AG354" s="82"/>
      <c r="AH354" s="82"/>
      <c r="AI354" s="82"/>
      <c r="AJ354" s="82"/>
      <c r="AK354" s="82"/>
      <c r="AL354" s="82"/>
      <c r="AM354" s="82"/>
      <c r="AN354" s="82"/>
      <c r="AO354" s="82"/>
      <c r="AP354" s="82"/>
      <c r="AQ354" s="82"/>
      <c r="AR354" s="82"/>
      <c r="AS354" s="82"/>
      <c r="AT354" s="82"/>
      <c r="AU354" s="82"/>
      <c r="AV354" s="82"/>
      <c r="AW354" s="82"/>
      <c r="AX354" s="82"/>
      <c r="AY354" s="82"/>
      <c r="AZ354" s="82"/>
      <c r="BA354" s="82"/>
      <c r="BB354" s="82"/>
      <c r="BC354" s="82"/>
      <c r="BD354" s="82"/>
      <c r="BE354" s="82"/>
      <c r="BF354" s="82"/>
      <c r="BG354" s="82"/>
      <c r="BH354" s="82"/>
      <c r="BI354" s="82"/>
      <c r="BJ354" s="82"/>
      <c r="BK354" s="82"/>
      <c r="BL354" s="82"/>
      <c r="BM354" s="82"/>
      <c r="BN354" s="82"/>
      <c r="BO354" s="81"/>
      <c r="BP354" s="81"/>
    </row>
    <row r="355" spans="11:68" x14ac:dyDescent="0.3"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  <c r="AA355" s="82"/>
      <c r="AB355" s="82"/>
      <c r="AC355" s="82"/>
      <c r="AD355" s="82"/>
      <c r="AE355" s="82"/>
      <c r="AF355" s="82"/>
      <c r="AG355" s="82"/>
      <c r="AH355" s="82"/>
      <c r="AI355" s="82"/>
      <c r="AJ355" s="82"/>
      <c r="AK355" s="82"/>
      <c r="AL355" s="82"/>
      <c r="AM355" s="82"/>
      <c r="AN355" s="82"/>
      <c r="AO355" s="82"/>
      <c r="AP355" s="82"/>
      <c r="AQ355" s="82"/>
      <c r="AR355" s="82"/>
      <c r="AS355" s="82"/>
      <c r="AT355" s="82"/>
      <c r="AU355" s="82"/>
      <c r="AV355" s="82"/>
      <c r="AW355" s="82"/>
      <c r="AX355" s="82"/>
      <c r="AY355" s="82"/>
      <c r="AZ355" s="82"/>
      <c r="BA355" s="82"/>
      <c r="BB355" s="82"/>
      <c r="BC355" s="82"/>
      <c r="BD355" s="82"/>
      <c r="BE355" s="82"/>
      <c r="BF355" s="82"/>
      <c r="BG355" s="82"/>
      <c r="BH355" s="82"/>
      <c r="BI355" s="82"/>
      <c r="BJ355" s="82"/>
      <c r="BK355" s="82"/>
      <c r="BL355" s="82"/>
      <c r="BM355" s="82"/>
      <c r="BN355" s="82"/>
      <c r="BO355" s="81"/>
      <c r="BP355" s="81"/>
    </row>
    <row r="356" spans="11:68" x14ac:dyDescent="0.3"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  <c r="AA356" s="82"/>
      <c r="AB356" s="82"/>
      <c r="AC356" s="82"/>
      <c r="AD356" s="82"/>
      <c r="AE356" s="82"/>
      <c r="AF356" s="82"/>
      <c r="AG356" s="82"/>
      <c r="AH356" s="82"/>
      <c r="AI356" s="82"/>
      <c r="AJ356" s="82"/>
      <c r="AK356" s="82"/>
      <c r="AL356" s="82"/>
      <c r="AM356" s="82"/>
      <c r="AN356" s="82"/>
      <c r="AO356" s="82"/>
      <c r="AP356" s="82"/>
      <c r="AQ356" s="82"/>
      <c r="AR356" s="82"/>
      <c r="AS356" s="82"/>
      <c r="AT356" s="82"/>
      <c r="AU356" s="82"/>
      <c r="AV356" s="82"/>
      <c r="AW356" s="82"/>
      <c r="AX356" s="82"/>
      <c r="AY356" s="82"/>
      <c r="AZ356" s="82"/>
      <c r="BA356" s="82"/>
      <c r="BB356" s="82"/>
      <c r="BC356" s="82"/>
      <c r="BD356" s="82"/>
      <c r="BE356" s="82"/>
      <c r="BF356" s="82"/>
      <c r="BG356" s="82"/>
      <c r="BH356" s="82"/>
      <c r="BI356" s="82"/>
      <c r="BJ356" s="82"/>
      <c r="BK356" s="82"/>
      <c r="BL356" s="82"/>
      <c r="BM356" s="82"/>
      <c r="BN356" s="82"/>
      <c r="BO356" s="81"/>
      <c r="BP356" s="81"/>
    </row>
    <row r="357" spans="11:68" x14ac:dyDescent="0.3"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  <c r="AA357" s="82"/>
      <c r="AB357" s="82"/>
      <c r="AC357" s="82"/>
      <c r="AD357" s="82"/>
      <c r="AE357" s="82"/>
      <c r="AF357" s="82"/>
      <c r="AG357" s="82"/>
      <c r="AH357" s="82"/>
      <c r="AI357" s="82"/>
      <c r="AJ357" s="82"/>
      <c r="AK357" s="82"/>
      <c r="AL357" s="82"/>
      <c r="AM357" s="82"/>
      <c r="AN357" s="82"/>
      <c r="AO357" s="82"/>
      <c r="AP357" s="82"/>
      <c r="AQ357" s="82"/>
      <c r="AR357" s="82"/>
      <c r="AS357" s="82"/>
      <c r="AT357" s="82"/>
      <c r="AU357" s="82"/>
      <c r="AV357" s="82"/>
      <c r="AW357" s="82"/>
      <c r="AX357" s="82"/>
      <c r="AY357" s="82"/>
      <c r="AZ357" s="82"/>
      <c r="BA357" s="82"/>
      <c r="BB357" s="82"/>
      <c r="BC357" s="82"/>
      <c r="BD357" s="82"/>
      <c r="BE357" s="82"/>
      <c r="BF357" s="82"/>
      <c r="BG357" s="82"/>
      <c r="BH357" s="82"/>
      <c r="BI357" s="82"/>
      <c r="BJ357" s="82"/>
      <c r="BK357" s="82"/>
      <c r="BL357" s="82"/>
      <c r="BM357" s="82"/>
      <c r="BN357" s="82"/>
      <c r="BO357" s="81"/>
      <c r="BP357" s="81"/>
    </row>
    <row r="358" spans="11:68" x14ac:dyDescent="0.3"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  <c r="AA358" s="82"/>
      <c r="AB358" s="82"/>
      <c r="AC358" s="82"/>
      <c r="AD358" s="82"/>
      <c r="AE358" s="82"/>
      <c r="AF358" s="82"/>
      <c r="AG358" s="82"/>
      <c r="AH358" s="82"/>
      <c r="AI358" s="82"/>
      <c r="AJ358" s="82"/>
      <c r="AK358" s="82"/>
      <c r="AL358" s="82"/>
      <c r="AM358" s="82"/>
      <c r="AN358" s="82"/>
      <c r="AO358" s="82"/>
      <c r="AP358" s="82"/>
      <c r="AQ358" s="82"/>
      <c r="AR358" s="82"/>
      <c r="AS358" s="82"/>
      <c r="AT358" s="82"/>
      <c r="AU358" s="82"/>
      <c r="AV358" s="82"/>
      <c r="AW358" s="82"/>
      <c r="AX358" s="82"/>
      <c r="AY358" s="82"/>
      <c r="AZ358" s="82"/>
      <c r="BA358" s="82"/>
      <c r="BB358" s="82"/>
      <c r="BC358" s="82"/>
      <c r="BD358" s="82"/>
      <c r="BE358" s="82"/>
      <c r="BF358" s="82"/>
      <c r="BG358" s="82"/>
      <c r="BH358" s="82"/>
      <c r="BI358" s="82"/>
      <c r="BJ358" s="82"/>
      <c r="BK358" s="82"/>
      <c r="BL358" s="82"/>
      <c r="BM358" s="82"/>
      <c r="BN358" s="82"/>
      <c r="BO358" s="81"/>
      <c r="BP358" s="81"/>
    </row>
    <row r="359" spans="11:68" x14ac:dyDescent="0.3"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  <c r="AA359" s="82"/>
      <c r="AB359" s="82"/>
      <c r="AC359" s="82"/>
      <c r="AD359" s="82"/>
      <c r="AE359" s="82"/>
      <c r="AF359" s="82"/>
      <c r="AG359" s="82"/>
      <c r="AH359" s="82"/>
      <c r="AI359" s="82"/>
      <c r="AJ359" s="82"/>
      <c r="AK359" s="82"/>
      <c r="AL359" s="82"/>
      <c r="AM359" s="82"/>
      <c r="AN359" s="82"/>
      <c r="AO359" s="82"/>
      <c r="AP359" s="82"/>
      <c r="AQ359" s="82"/>
      <c r="AR359" s="82"/>
      <c r="AS359" s="82"/>
      <c r="AT359" s="82"/>
      <c r="AU359" s="82"/>
      <c r="AV359" s="82"/>
      <c r="AW359" s="82"/>
      <c r="AX359" s="82"/>
      <c r="AY359" s="82"/>
      <c r="AZ359" s="82"/>
      <c r="BA359" s="82"/>
      <c r="BB359" s="82"/>
      <c r="BC359" s="82"/>
      <c r="BD359" s="82"/>
      <c r="BE359" s="82"/>
      <c r="BF359" s="82"/>
      <c r="BG359" s="82"/>
      <c r="BH359" s="82"/>
      <c r="BI359" s="82"/>
      <c r="BJ359" s="82"/>
      <c r="BK359" s="82"/>
      <c r="BL359" s="82"/>
      <c r="BM359" s="82"/>
      <c r="BN359" s="82"/>
      <c r="BO359" s="81"/>
      <c r="BP359" s="81"/>
    </row>
    <row r="360" spans="11:68" x14ac:dyDescent="0.3"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  <c r="AA360" s="82"/>
      <c r="AB360" s="82"/>
      <c r="AC360" s="82"/>
      <c r="AD360" s="82"/>
      <c r="AE360" s="82"/>
      <c r="AF360" s="82"/>
      <c r="AG360" s="82"/>
      <c r="AH360" s="82"/>
      <c r="AI360" s="82"/>
      <c r="AJ360" s="82"/>
      <c r="AK360" s="82"/>
      <c r="AL360" s="82"/>
      <c r="AM360" s="82"/>
      <c r="AN360" s="82"/>
      <c r="AO360" s="82"/>
      <c r="AP360" s="82"/>
      <c r="AQ360" s="82"/>
      <c r="AR360" s="82"/>
      <c r="AS360" s="82"/>
      <c r="AT360" s="82"/>
      <c r="AU360" s="82"/>
      <c r="AV360" s="82"/>
      <c r="AW360" s="82"/>
      <c r="AX360" s="82"/>
      <c r="AY360" s="82"/>
      <c r="AZ360" s="82"/>
      <c r="BA360" s="82"/>
      <c r="BB360" s="82"/>
      <c r="BC360" s="82"/>
      <c r="BD360" s="82"/>
      <c r="BE360" s="82"/>
      <c r="BF360" s="82"/>
      <c r="BG360" s="82"/>
      <c r="BH360" s="82"/>
      <c r="BI360" s="82"/>
      <c r="BJ360" s="82"/>
      <c r="BK360" s="82"/>
      <c r="BL360" s="82"/>
      <c r="BM360" s="82"/>
      <c r="BN360" s="82"/>
      <c r="BO360" s="81"/>
      <c r="BP360" s="81"/>
    </row>
    <row r="361" spans="11:68" x14ac:dyDescent="0.3"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  <c r="AA361" s="82"/>
      <c r="AB361" s="82"/>
      <c r="AC361" s="82"/>
      <c r="AD361" s="82"/>
      <c r="AE361" s="82"/>
      <c r="AF361" s="82"/>
      <c r="AG361" s="82"/>
      <c r="AH361" s="82"/>
      <c r="AI361" s="82"/>
      <c r="AJ361" s="82"/>
      <c r="AK361" s="82"/>
      <c r="AL361" s="82"/>
      <c r="AM361" s="82"/>
      <c r="AN361" s="82"/>
      <c r="AO361" s="82"/>
      <c r="AP361" s="82"/>
      <c r="AQ361" s="82"/>
      <c r="AR361" s="82"/>
      <c r="AS361" s="82"/>
      <c r="AT361" s="82"/>
      <c r="AU361" s="82"/>
      <c r="AV361" s="82"/>
      <c r="AW361" s="82"/>
      <c r="AX361" s="82"/>
      <c r="AY361" s="82"/>
      <c r="AZ361" s="82"/>
      <c r="BA361" s="82"/>
      <c r="BB361" s="82"/>
      <c r="BC361" s="82"/>
      <c r="BD361" s="82"/>
      <c r="BE361" s="82"/>
      <c r="BF361" s="82"/>
      <c r="BG361" s="82"/>
      <c r="BH361" s="82"/>
      <c r="BI361" s="82"/>
      <c r="BJ361" s="82"/>
      <c r="BK361" s="82"/>
      <c r="BL361" s="82"/>
      <c r="BM361" s="82"/>
      <c r="BN361" s="82"/>
      <c r="BO361" s="81"/>
      <c r="BP361" s="81"/>
    </row>
    <row r="362" spans="11:68" x14ac:dyDescent="0.3">
      <c r="K362" s="81"/>
      <c r="L362" s="81"/>
      <c r="M362" s="81"/>
      <c r="N362" s="81"/>
      <c r="O362" s="81"/>
      <c r="P362" s="81"/>
      <c r="Q362" s="81"/>
      <c r="R362" s="81"/>
      <c r="S362" s="81"/>
      <c r="T362" s="81"/>
      <c r="U362" s="81"/>
      <c r="V362" s="81"/>
      <c r="W362" s="81"/>
      <c r="X362" s="81"/>
      <c r="Y362" s="81"/>
      <c r="Z362" s="81"/>
      <c r="AA362" s="81"/>
      <c r="AB362" s="81"/>
      <c r="AC362" s="81"/>
      <c r="AD362" s="81"/>
      <c r="AE362" s="81"/>
      <c r="AF362" s="81"/>
      <c r="AG362" s="81"/>
      <c r="AH362" s="81"/>
      <c r="AI362" s="81"/>
      <c r="AJ362" s="81"/>
      <c r="AK362" s="81"/>
      <c r="AL362" s="81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  <c r="BA362" s="81"/>
      <c r="BB362" s="81"/>
      <c r="BC362" s="81"/>
      <c r="BD362" s="81"/>
      <c r="BE362" s="81"/>
      <c r="BF362" s="81"/>
      <c r="BG362" s="81"/>
      <c r="BH362" s="81"/>
      <c r="BI362" s="81"/>
      <c r="BJ362" s="81"/>
      <c r="BK362" s="81"/>
      <c r="BL362" s="81"/>
      <c r="BM362" s="81"/>
      <c r="BN362" s="81"/>
      <c r="BO362" s="81"/>
      <c r="BP362" s="81"/>
    </row>
    <row r="363" spans="11:68" x14ac:dyDescent="0.3">
      <c r="K363" s="81"/>
      <c r="L363" s="81"/>
      <c r="M363" s="81"/>
      <c r="N363" s="81"/>
      <c r="O363" s="81"/>
      <c r="P363" s="81"/>
      <c r="Q363" s="81"/>
      <c r="R363" s="81"/>
      <c r="S363" s="81"/>
      <c r="T363" s="81"/>
      <c r="U363" s="81"/>
      <c r="V363" s="81"/>
      <c r="W363" s="81"/>
      <c r="X363" s="81"/>
      <c r="Y363" s="81"/>
      <c r="Z363" s="81"/>
      <c r="AA363" s="81"/>
      <c r="AB363" s="81"/>
      <c r="AC363" s="81"/>
      <c r="AD363" s="81"/>
      <c r="AE363" s="81"/>
      <c r="AF363" s="81"/>
      <c r="AG363" s="81"/>
      <c r="AH363" s="81"/>
      <c r="AI363" s="81"/>
      <c r="AJ363" s="81"/>
      <c r="AK363" s="81"/>
      <c r="AL363" s="81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  <c r="BA363" s="81"/>
      <c r="BB363" s="81"/>
      <c r="BC363" s="81"/>
      <c r="BD363" s="81"/>
      <c r="BE363" s="81"/>
      <c r="BF363" s="81"/>
      <c r="BG363" s="81"/>
      <c r="BH363" s="81"/>
      <c r="BI363" s="81"/>
      <c r="BJ363" s="81"/>
      <c r="BK363" s="81"/>
      <c r="BL363" s="81"/>
      <c r="BM363" s="81"/>
      <c r="BN363" s="81"/>
      <c r="BO363" s="81"/>
      <c r="BP363" s="81"/>
    </row>
    <row r="364" spans="11:68" x14ac:dyDescent="0.3">
      <c r="K364" s="81"/>
      <c r="L364" s="81"/>
      <c r="M364" s="81"/>
      <c r="N364" s="81"/>
      <c r="O364" s="81"/>
      <c r="P364" s="81"/>
      <c r="Q364" s="81"/>
      <c r="R364" s="81"/>
      <c r="S364" s="81"/>
      <c r="T364" s="81"/>
      <c r="U364" s="81"/>
      <c r="V364" s="81"/>
      <c r="W364" s="81"/>
      <c r="X364" s="81"/>
      <c r="Y364" s="81"/>
      <c r="Z364" s="81"/>
      <c r="AA364" s="81"/>
      <c r="AB364" s="81"/>
      <c r="AC364" s="81"/>
      <c r="AD364" s="81"/>
      <c r="AE364" s="81"/>
      <c r="AF364" s="81"/>
      <c r="AG364" s="81"/>
      <c r="AH364" s="81"/>
      <c r="AI364" s="81"/>
      <c r="AJ364" s="81"/>
      <c r="AK364" s="81"/>
      <c r="AL364" s="81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  <c r="BA364" s="81"/>
      <c r="BB364" s="81"/>
      <c r="BC364" s="81"/>
      <c r="BD364" s="81"/>
      <c r="BE364" s="81"/>
      <c r="BF364" s="81"/>
      <c r="BG364" s="81"/>
      <c r="BH364" s="81"/>
      <c r="BI364" s="81"/>
      <c r="BJ364" s="81"/>
      <c r="BK364" s="81"/>
      <c r="BL364" s="81"/>
      <c r="BM364" s="81"/>
      <c r="BN364" s="81"/>
      <c r="BO364" s="81"/>
      <c r="BP364" s="81"/>
    </row>
    <row r="365" spans="11:68" x14ac:dyDescent="0.3">
      <c r="K365" s="81"/>
      <c r="L365" s="81"/>
      <c r="M365" s="81"/>
      <c r="N365" s="81"/>
      <c r="O365" s="81"/>
      <c r="P365" s="81"/>
      <c r="Q365" s="81"/>
      <c r="R365" s="81"/>
      <c r="S365" s="81"/>
      <c r="T365" s="81"/>
      <c r="U365" s="81"/>
      <c r="V365" s="81"/>
      <c r="W365" s="81"/>
      <c r="X365" s="81"/>
      <c r="Y365" s="81"/>
      <c r="Z365" s="81"/>
      <c r="AA365" s="81"/>
      <c r="AB365" s="81"/>
      <c r="AC365" s="81"/>
      <c r="AD365" s="81"/>
      <c r="AE365" s="81"/>
      <c r="AF365" s="81"/>
      <c r="AG365" s="81"/>
      <c r="AH365" s="81"/>
      <c r="AI365" s="81"/>
      <c r="AJ365" s="81"/>
      <c r="AK365" s="81"/>
      <c r="AL365" s="81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  <c r="BA365" s="81"/>
      <c r="BB365" s="81"/>
      <c r="BC365" s="81"/>
      <c r="BD365" s="81"/>
      <c r="BE365" s="81"/>
      <c r="BF365" s="81"/>
      <c r="BG365" s="81"/>
      <c r="BH365" s="81"/>
      <c r="BI365" s="81"/>
      <c r="BJ365" s="81"/>
      <c r="BK365" s="81"/>
      <c r="BL365" s="81"/>
      <c r="BM365" s="81"/>
      <c r="BN365" s="81"/>
      <c r="BO365" s="81"/>
      <c r="BP365" s="81"/>
    </row>
    <row r="366" spans="11:68" x14ac:dyDescent="0.3">
      <c r="K366" s="81"/>
      <c r="L366" s="81"/>
      <c r="M366" s="81"/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E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  <c r="BE366" s="81"/>
      <c r="BF366" s="81"/>
      <c r="BG366" s="81"/>
      <c r="BH366" s="81"/>
      <c r="BI366" s="81"/>
      <c r="BJ366" s="81"/>
      <c r="BK366" s="81"/>
      <c r="BL366" s="81"/>
      <c r="BM366" s="81"/>
      <c r="BN366" s="81"/>
      <c r="BO366" s="81"/>
      <c r="BP366" s="81"/>
    </row>
    <row r="367" spans="11:68" x14ac:dyDescent="0.3">
      <c r="K367" s="81"/>
      <c r="L367" s="81"/>
      <c r="M367" s="81"/>
      <c r="N367" s="81"/>
      <c r="O367" s="81"/>
      <c r="P367" s="81"/>
      <c r="Q367" s="81"/>
      <c r="R367" s="81"/>
      <c r="S367" s="81"/>
      <c r="T367" s="81"/>
      <c r="U367" s="81"/>
      <c r="V367" s="81"/>
      <c r="W367" s="81"/>
      <c r="X367" s="81"/>
      <c r="Y367" s="81"/>
      <c r="Z367" s="81"/>
      <c r="AA367" s="81"/>
      <c r="AB367" s="81"/>
      <c r="AC367" s="81"/>
      <c r="AD367" s="81"/>
      <c r="AE367" s="81"/>
      <c r="AF367" s="81"/>
      <c r="AG367" s="81"/>
      <c r="AH367" s="81"/>
      <c r="AI367" s="81"/>
      <c r="AJ367" s="81"/>
      <c r="AK367" s="81"/>
      <c r="AL367" s="81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  <c r="BA367" s="81"/>
      <c r="BB367" s="81"/>
      <c r="BC367" s="81"/>
      <c r="BD367" s="81"/>
      <c r="BE367" s="81"/>
      <c r="BF367" s="81"/>
      <c r="BG367" s="81"/>
      <c r="BH367" s="81"/>
      <c r="BI367" s="81"/>
      <c r="BJ367" s="81"/>
      <c r="BK367" s="81"/>
      <c r="BL367" s="81"/>
      <c r="BM367" s="81"/>
      <c r="BN367" s="81"/>
      <c r="BO367" s="81"/>
      <c r="BP367" s="81"/>
    </row>
    <row r="368" spans="11:68" x14ac:dyDescent="0.3">
      <c r="K368" s="81"/>
      <c r="L368" s="81"/>
      <c r="M368" s="81"/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D368" s="81"/>
      <c r="AE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  <c r="BA368" s="81"/>
      <c r="BB368" s="81"/>
      <c r="BC368" s="81"/>
      <c r="BD368" s="81"/>
      <c r="BE368" s="81"/>
      <c r="BF368" s="81"/>
      <c r="BG368" s="81"/>
      <c r="BH368" s="81"/>
      <c r="BI368" s="81"/>
      <c r="BJ368" s="81"/>
      <c r="BK368" s="81"/>
      <c r="BL368" s="81"/>
      <c r="BM368" s="81"/>
      <c r="BN368" s="81"/>
      <c r="BO368" s="81"/>
      <c r="BP368" s="81"/>
    </row>
    <row r="369" spans="11:68" x14ac:dyDescent="0.3">
      <c r="K369" s="81"/>
      <c r="L369" s="81"/>
      <c r="M369" s="81"/>
      <c r="N369" s="81"/>
      <c r="O369" s="81"/>
      <c r="P369" s="81"/>
      <c r="Q369" s="81"/>
      <c r="R369" s="81"/>
      <c r="S369" s="81"/>
      <c r="T369" s="81"/>
      <c r="U369" s="81"/>
      <c r="V369" s="81"/>
      <c r="W369" s="81"/>
      <c r="X369" s="81"/>
      <c r="Y369" s="81"/>
      <c r="Z369" s="81"/>
      <c r="AA369" s="81"/>
      <c r="AB369" s="81"/>
      <c r="AC369" s="81"/>
      <c r="AD369" s="81"/>
      <c r="AE369" s="81"/>
      <c r="AF369" s="81"/>
      <c r="AG369" s="81"/>
      <c r="AH369" s="81"/>
      <c r="AI369" s="81"/>
      <c r="AJ369" s="81"/>
      <c r="AK369" s="81"/>
      <c r="AL369" s="81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  <c r="BA369" s="81"/>
      <c r="BB369" s="81"/>
      <c r="BC369" s="81"/>
      <c r="BD369" s="81"/>
      <c r="BE369" s="81"/>
      <c r="BF369" s="81"/>
      <c r="BG369" s="81"/>
      <c r="BH369" s="81"/>
      <c r="BI369" s="81"/>
      <c r="BJ369" s="81"/>
      <c r="BK369" s="81"/>
      <c r="BL369" s="81"/>
      <c r="BM369" s="81"/>
      <c r="BN369" s="81"/>
      <c r="BO369" s="81"/>
      <c r="BP369" s="81"/>
    </row>
    <row r="370" spans="11:68" x14ac:dyDescent="0.3">
      <c r="K370" s="81"/>
      <c r="L370" s="81"/>
      <c r="M370" s="81"/>
      <c r="N370" s="81"/>
      <c r="O370" s="81"/>
      <c r="P370" s="81"/>
      <c r="Q370" s="81"/>
      <c r="R370" s="81"/>
      <c r="S370" s="81"/>
      <c r="T370" s="81"/>
      <c r="U370" s="81"/>
      <c r="V370" s="81"/>
      <c r="W370" s="81"/>
      <c r="X370" s="81"/>
      <c r="Y370" s="81"/>
      <c r="Z370" s="81"/>
      <c r="AA370" s="81"/>
      <c r="AB370" s="81"/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</row>
    <row r="371" spans="11:68" x14ac:dyDescent="0.3">
      <c r="K371" s="81"/>
      <c r="L371" s="81"/>
      <c r="M371" s="81"/>
      <c r="N371" s="81"/>
      <c r="O371" s="81"/>
      <c r="P371" s="81"/>
      <c r="Q371" s="81"/>
      <c r="R371" s="81"/>
      <c r="S371" s="81"/>
      <c r="T371" s="81"/>
      <c r="U371" s="81"/>
      <c r="V371" s="81"/>
      <c r="W371" s="81"/>
      <c r="X371" s="81"/>
      <c r="Y371" s="81"/>
      <c r="Z371" s="81"/>
      <c r="AA371" s="81"/>
      <c r="AB371" s="81"/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</row>
    <row r="372" spans="11:68" x14ac:dyDescent="0.3">
      <c r="K372" s="81"/>
      <c r="L372" s="81"/>
      <c r="M372" s="81"/>
      <c r="N372" s="81"/>
      <c r="O372" s="81"/>
      <c r="P372" s="81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</row>
    <row r="373" spans="11:68" x14ac:dyDescent="0.3">
      <c r="K373" s="81"/>
      <c r="L373" s="81"/>
      <c r="M373" s="81"/>
      <c r="N373" s="81"/>
      <c r="O373" s="81"/>
      <c r="P373" s="81"/>
      <c r="Q373" s="81"/>
      <c r="R373" s="81"/>
      <c r="S373" s="81"/>
      <c r="T373" s="81"/>
      <c r="U373" s="81"/>
      <c r="V373" s="81"/>
      <c r="W373" s="81"/>
      <c r="X373" s="81"/>
      <c r="Y373" s="81"/>
      <c r="Z373" s="81"/>
      <c r="AA373" s="81"/>
      <c r="AB373" s="81"/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</row>
    <row r="374" spans="11:68" x14ac:dyDescent="0.3">
      <c r="K374" s="81"/>
      <c r="L374" s="81"/>
      <c r="M374" s="81"/>
      <c r="N374" s="81"/>
      <c r="O374" s="81"/>
      <c r="P374" s="81"/>
      <c r="Q374" s="81"/>
      <c r="R374" s="81"/>
      <c r="S374" s="81"/>
      <c r="T374" s="81"/>
      <c r="U374" s="81"/>
      <c r="V374" s="81"/>
      <c r="W374" s="81"/>
      <c r="X374" s="81"/>
      <c r="Y374" s="81"/>
      <c r="Z374" s="81"/>
      <c r="AA374" s="81"/>
      <c r="AB374" s="81"/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</row>
    <row r="375" spans="11:68" x14ac:dyDescent="0.3">
      <c r="K375" s="81"/>
      <c r="L375" s="81"/>
      <c r="M375" s="81"/>
      <c r="N375" s="81"/>
      <c r="O375" s="81"/>
      <c r="P375" s="81"/>
      <c r="Q375" s="81"/>
      <c r="R375" s="81"/>
      <c r="S375" s="81"/>
      <c r="T375" s="81"/>
      <c r="U375" s="81"/>
      <c r="V375" s="81"/>
      <c r="W375" s="81"/>
      <c r="X375" s="81"/>
      <c r="Y375" s="81"/>
      <c r="Z375" s="81"/>
      <c r="AA375" s="81"/>
      <c r="AB375" s="81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</row>
    <row r="376" spans="11:68" x14ac:dyDescent="0.3">
      <c r="K376" s="81"/>
      <c r="L376" s="81"/>
      <c r="M376" s="81"/>
      <c r="N376" s="81"/>
      <c r="O376" s="81"/>
      <c r="P376" s="81"/>
      <c r="Q376" s="81"/>
      <c r="R376" s="81"/>
      <c r="S376" s="81"/>
      <c r="T376" s="81"/>
      <c r="U376" s="81"/>
      <c r="V376" s="81"/>
      <c r="W376" s="81"/>
      <c r="X376" s="81"/>
      <c r="Y376" s="81"/>
      <c r="Z376" s="81"/>
      <c r="AA376" s="81"/>
      <c r="AB376" s="81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</row>
    <row r="377" spans="11:68" x14ac:dyDescent="0.3">
      <c r="K377" s="81"/>
      <c r="L377" s="81"/>
      <c r="M377" s="81"/>
      <c r="N377" s="81"/>
      <c r="O377" s="81"/>
      <c r="P377" s="81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</row>
    <row r="378" spans="11:68" x14ac:dyDescent="0.3">
      <c r="K378" s="81"/>
      <c r="L378" s="81"/>
      <c r="M378" s="81"/>
      <c r="N378" s="81"/>
      <c r="O378" s="81"/>
      <c r="P378" s="81"/>
      <c r="Q378" s="81"/>
      <c r="R378" s="81"/>
      <c r="S378" s="81"/>
      <c r="T378" s="81"/>
      <c r="U378" s="81"/>
      <c r="V378" s="81"/>
      <c r="W378" s="81"/>
      <c r="X378" s="81"/>
      <c r="Y378" s="81"/>
      <c r="Z378" s="81"/>
      <c r="AA378" s="81"/>
      <c r="AB378" s="81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</row>
    <row r="379" spans="11:68" x14ac:dyDescent="0.3">
      <c r="K379" s="81"/>
      <c r="L379" s="81"/>
      <c r="M379" s="81"/>
      <c r="N379" s="81"/>
      <c r="O379" s="81"/>
      <c r="P379" s="81"/>
      <c r="Q379" s="81"/>
      <c r="R379" s="81"/>
      <c r="S379" s="81"/>
      <c r="T379" s="81"/>
      <c r="U379" s="81"/>
      <c r="V379" s="81"/>
      <c r="W379" s="81"/>
      <c r="X379" s="81"/>
      <c r="Y379" s="81"/>
      <c r="Z379" s="81"/>
      <c r="AA379" s="81"/>
      <c r="AB379" s="81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</row>
    <row r="380" spans="11:68" x14ac:dyDescent="0.3">
      <c r="K380" s="81"/>
      <c r="L380" s="81"/>
      <c r="M380" s="81"/>
      <c r="N380" s="81"/>
      <c r="O380" s="81"/>
      <c r="P380" s="81"/>
      <c r="Q380" s="81"/>
      <c r="R380" s="81"/>
      <c r="S380" s="81"/>
      <c r="T380" s="81"/>
      <c r="U380" s="81"/>
      <c r="V380" s="81"/>
      <c r="W380" s="81"/>
      <c r="X380" s="81"/>
      <c r="Y380" s="81"/>
      <c r="Z380" s="81"/>
      <c r="AA380" s="81"/>
      <c r="AB380" s="81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</row>
    <row r="381" spans="11:68" x14ac:dyDescent="0.3">
      <c r="K381" s="81"/>
      <c r="L381" s="81"/>
      <c r="M381" s="81"/>
      <c r="N381" s="81"/>
      <c r="O381" s="81"/>
      <c r="P381" s="81"/>
      <c r="Q381" s="81"/>
      <c r="R381" s="81"/>
      <c r="S381" s="81"/>
      <c r="T381" s="81"/>
      <c r="U381" s="81"/>
      <c r="V381" s="81"/>
      <c r="W381" s="81"/>
      <c r="X381" s="81"/>
      <c r="Y381" s="81"/>
      <c r="Z381" s="81"/>
      <c r="AA381" s="81"/>
      <c r="AB381" s="81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</row>
    <row r="382" spans="11:68" x14ac:dyDescent="0.3">
      <c r="K382" s="81"/>
      <c r="L382" s="81"/>
      <c r="M382" s="81"/>
      <c r="N382" s="81"/>
      <c r="O382" s="81"/>
      <c r="P382" s="81"/>
      <c r="Q382" s="81"/>
      <c r="R382" s="81"/>
      <c r="S382" s="81"/>
      <c r="T382" s="81"/>
      <c r="U382" s="81"/>
      <c r="V382" s="81"/>
      <c r="W382" s="81"/>
      <c r="X382" s="81"/>
      <c r="Y382" s="81"/>
      <c r="Z382" s="81"/>
      <c r="AA382" s="81"/>
      <c r="AB382" s="81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</row>
    <row r="383" spans="11:68" x14ac:dyDescent="0.3">
      <c r="K383" s="81"/>
      <c r="L383" s="81"/>
      <c r="M383" s="81"/>
      <c r="N383" s="81"/>
      <c r="O383" s="81"/>
      <c r="P383" s="81"/>
      <c r="Q383" s="81"/>
      <c r="R383" s="81"/>
      <c r="S383" s="81"/>
      <c r="T383" s="81"/>
      <c r="U383" s="81"/>
      <c r="V383" s="81"/>
      <c r="W383" s="81"/>
      <c r="X383" s="81"/>
      <c r="Y383" s="81"/>
      <c r="Z383" s="81"/>
      <c r="AA383" s="81"/>
      <c r="AB383" s="81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</row>
    <row r="384" spans="11:68" x14ac:dyDescent="0.3">
      <c r="K384" s="81"/>
      <c r="L384" s="81"/>
      <c r="M384" s="81"/>
      <c r="N384" s="81"/>
      <c r="O384" s="81"/>
      <c r="P384" s="81"/>
      <c r="Q384" s="81"/>
      <c r="R384" s="81"/>
      <c r="S384" s="81"/>
      <c r="T384" s="81"/>
      <c r="U384" s="81"/>
      <c r="V384" s="81"/>
      <c r="W384" s="81"/>
      <c r="X384" s="81"/>
      <c r="Y384" s="81"/>
      <c r="Z384" s="81"/>
      <c r="AA384" s="81"/>
      <c r="AB384" s="81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</row>
    <row r="385" spans="11:68" x14ac:dyDescent="0.3">
      <c r="K385" s="81"/>
      <c r="L385" s="81"/>
      <c r="M385" s="81"/>
      <c r="N385" s="81"/>
      <c r="O385" s="81"/>
      <c r="P385" s="81"/>
      <c r="Q385" s="81"/>
      <c r="R385" s="81"/>
      <c r="S385" s="81"/>
      <c r="T385" s="81"/>
      <c r="U385" s="81"/>
      <c r="V385" s="81"/>
      <c r="W385" s="81"/>
      <c r="X385" s="81"/>
      <c r="Y385" s="81"/>
      <c r="Z385" s="81"/>
      <c r="AA385" s="81"/>
      <c r="AB385" s="81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</row>
    <row r="386" spans="11:68" x14ac:dyDescent="0.3">
      <c r="K386" s="81"/>
      <c r="L386" s="81"/>
      <c r="M386" s="81"/>
      <c r="N386" s="81"/>
      <c r="O386" s="81"/>
      <c r="P386" s="81"/>
      <c r="Q386" s="81"/>
      <c r="R386" s="81"/>
      <c r="S386" s="81"/>
      <c r="T386" s="81"/>
      <c r="U386" s="81"/>
      <c r="V386" s="81"/>
      <c r="W386" s="81"/>
      <c r="X386" s="81"/>
      <c r="Y386" s="81"/>
      <c r="Z386" s="81"/>
      <c r="AA386" s="81"/>
      <c r="AB386" s="81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</row>
    <row r="387" spans="11:68" x14ac:dyDescent="0.3">
      <c r="K387" s="81"/>
      <c r="L387" s="81"/>
      <c r="M387" s="81"/>
      <c r="N387" s="81"/>
      <c r="O387" s="81"/>
      <c r="P387" s="81"/>
      <c r="Q387" s="81"/>
      <c r="R387" s="81"/>
      <c r="S387" s="81"/>
      <c r="T387" s="81"/>
      <c r="U387" s="81"/>
      <c r="V387" s="81"/>
      <c r="W387" s="81"/>
      <c r="X387" s="81"/>
      <c r="Y387" s="81"/>
      <c r="Z387" s="81"/>
      <c r="AA387" s="81"/>
      <c r="AB387" s="81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</row>
    <row r="388" spans="11:68" x14ac:dyDescent="0.3">
      <c r="K388" s="81"/>
      <c r="L388" s="81"/>
      <c r="M388" s="81"/>
      <c r="N388" s="81"/>
      <c r="O388" s="81"/>
      <c r="P388" s="81"/>
      <c r="Q388" s="81"/>
      <c r="R388" s="81"/>
      <c r="S388" s="81"/>
      <c r="T388" s="81"/>
      <c r="U388" s="81"/>
      <c r="V388" s="81"/>
      <c r="W388" s="81"/>
      <c r="X388" s="81"/>
      <c r="Y388" s="81"/>
      <c r="Z388" s="81"/>
      <c r="AA388" s="81"/>
      <c r="AB388" s="81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</row>
    <row r="389" spans="11:68" x14ac:dyDescent="0.3">
      <c r="K389" s="81"/>
      <c r="L389" s="81"/>
      <c r="M389" s="81"/>
      <c r="N389" s="81"/>
      <c r="O389" s="81"/>
      <c r="P389" s="81"/>
      <c r="Q389" s="81"/>
      <c r="R389" s="81"/>
      <c r="S389" s="81"/>
      <c r="T389" s="81"/>
      <c r="U389" s="81"/>
      <c r="V389" s="81"/>
      <c r="W389" s="81"/>
      <c r="X389" s="81"/>
      <c r="Y389" s="81"/>
      <c r="Z389" s="81"/>
      <c r="AA389" s="81"/>
      <c r="AB389" s="81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</row>
    <row r="390" spans="11:68" x14ac:dyDescent="0.3">
      <c r="K390" s="81"/>
      <c r="L390" s="81"/>
      <c r="M390" s="81"/>
      <c r="N390" s="81"/>
      <c r="O390" s="81"/>
      <c r="P390" s="81"/>
      <c r="Q390" s="81"/>
      <c r="R390" s="81"/>
      <c r="S390" s="81"/>
      <c r="T390" s="81"/>
      <c r="U390" s="81"/>
      <c r="V390" s="81"/>
      <c r="W390" s="81"/>
      <c r="X390" s="81"/>
      <c r="Y390" s="81"/>
      <c r="Z390" s="81"/>
      <c r="AA390" s="81"/>
      <c r="AB390" s="81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</row>
    <row r="391" spans="11:68" x14ac:dyDescent="0.3">
      <c r="K391" s="81"/>
      <c r="L391" s="81"/>
      <c r="M391" s="81"/>
      <c r="N391" s="81"/>
      <c r="O391" s="81"/>
      <c r="P391" s="81"/>
      <c r="Q391" s="81"/>
      <c r="R391" s="81"/>
      <c r="S391" s="81"/>
      <c r="T391" s="81"/>
      <c r="U391" s="81"/>
      <c r="V391" s="81"/>
      <c r="W391" s="81"/>
      <c r="X391" s="81"/>
      <c r="Y391" s="81"/>
      <c r="Z391" s="81"/>
      <c r="AA391" s="81"/>
      <c r="AB391" s="81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</row>
    <row r="392" spans="11:68" x14ac:dyDescent="0.3">
      <c r="K392" s="81"/>
      <c r="L392" s="81"/>
      <c r="M392" s="81"/>
      <c r="N392" s="81"/>
      <c r="O392" s="81"/>
      <c r="P392" s="81"/>
      <c r="Q392" s="81"/>
      <c r="R392" s="81"/>
      <c r="S392" s="81"/>
      <c r="T392" s="81"/>
      <c r="U392" s="81"/>
      <c r="V392" s="81"/>
      <c r="W392" s="81"/>
      <c r="X392" s="81"/>
      <c r="Y392" s="81"/>
      <c r="Z392" s="81"/>
      <c r="AA392" s="81"/>
      <c r="AB392" s="81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</row>
    <row r="393" spans="11:68" x14ac:dyDescent="0.3">
      <c r="K393" s="81"/>
      <c r="L393" s="81"/>
      <c r="M393" s="81"/>
      <c r="N393" s="81"/>
      <c r="O393" s="81"/>
      <c r="P393" s="81"/>
      <c r="Q393" s="81"/>
      <c r="R393" s="81"/>
      <c r="S393" s="81"/>
      <c r="T393" s="81"/>
      <c r="U393" s="81"/>
      <c r="V393" s="81"/>
      <c r="W393" s="81"/>
      <c r="X393" s="81"/>
      <c r="Y393" s="81"/>
      <c r="Z393" s="81"/>
      <c r="AA393" s="81"/>
      <c r="AB393" s="81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</row>
    <row r="394" spans="11:68" x14ac:dyDescent="0.3">
      <c r="K394" s="81"/>
      <c r="L394" s="81"/>
      <c r="M394" s="81"/>
      <c r="N394" s="81"/>
      <c r="O394" s="81"/>
      <c r="P394" s="81"/>
      <c r="Q394" s="81"/>
      <c r="R394" s="81"/>
      <c r="S394" s="81"/>
      <c r="T394" s="81"/>
      <c r="U394" s="81"/>
      <c r="V394" s="81"/>
      <c r="W394" s="81"/>
      <c r="X394" s="81"/>
      <c r="Y394" s="81"/>
      <c r="Z394" s="81"/>
      <c r="AA394" s="81"/>
      <c r="AB394" s="81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</row>
    <row r="395" spans="11:68" x14ac:dyDescent="0.3">
      <c r="K395" s="81"/>
      <c r="L395" s="81"/>
      <c r="M395" s="81"/>
      <c r="N395" s="81"/>
      <c r="O395" s="81"/>
      <c r="P395" s="81"/>
      <c r="Q395" s="81"/>
      <c r="R395" s="81"/>
      <c r="S395" s="81"/>
      <c r="T395" s="81"/>
      <c r="U395" s="81"/>
      <c r="V395" s="81"/>
      <c r="W395" s="81"/>
      <c r="X395" s="81"/>
      <c r="Y395" s="81"/>
      <c r="Z395" s="81"/>
      <c r="AA395" s="81"/>
      <c r="AB395" s="81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</row>
    <row r="396" spans="11:68" x14ac:dyDescent="0.3">
      <c r="K396" s="81"/>
      <c r="L396" s="81"/>
      <c r="M396" s="81"/>
      <c r="N396" s="81"/>
      <c r="O396" s="81"/>
      <c r="P396" s="81"/>
      <c r="Q396" s="81"/>
      <c r="R396" s="81"/>
      <c r="S396" s="81"/>
      <c r="T396" s="81"/>
      <c r="U396" s="81"/>
      <c r="V396" s="81"/>
      <c r="W396" s="81"/>
      <c r="X396" s="81"/>
      <c r="Y396" s="81"/>
      <c r="Z396" s="81"/>
      <c r="AA396" s="81"/>
      <c r="AB396" s="81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</row>
    <row r="397" spans="11:68" x14ac:dyDescent="0.3">
      <c r="K397" s="81"/>
      <c r="L397" s="81"/>
      <c r="M397" s="81"/>
      <c r="N397" s="81"/>
      <c r="O397" s="81"/>
      <c r="P397" s="81"/>
      <c r="Q397" s="81"/>
      <c r="R397" s="81"/>
      <c r="S397" s="81"/>
      <c r="T397" s="81"/>
      <c r="U397" s="81"/>
      <c r="V397" s="81"/>
      <c r="W397" s="81"/>
      <c r="X397" s="81"/>
      <c r="Y397" s="81"/>
      <c r="Z397" s="81"/>
      <c r="AA397" s="81"/>
      <c r="AB397" s="81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</row>
    <row r="398" spans="11:68" x14ac:dyDescent="0.3">
      <c r="K398" s="81"/>
      <c r="L398" s="81"/>
      <c r="M398" s="81"/>
      <c r="N398" s="81"/>
      <c r="O398" s="81"/>
      <c r="P398" s="81"/>
      <c r="Q398" s="81"/>
      <c r="R398" s="81"/>
      <c r="S398" s="81"/>
      <c r="T398" s="81"/>
      <c r="U398" s="81"/>
      <c r="V398" s="81"/>
      <c r="W398" s="81"/>
      <c r="X398" s="81"/>
      <c r="Y398" s="81"/>
      <c r="Z398" s="81"/>
      <c r="AA398" s="81"/>
      <c r="AB398" s="81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</row>
    <row r="399" spans="11:68" x14ac:dyDescent="0.3">
      <c r="K399" s="81"/>
      <c r="L399" s="81"/>
      <c r="M399" s="81"/>
      <c r="N399" s="81"/>
      <c r="O399" s="81"/>
      <c r="P399" s="81"/>
      <c r="Q399" s="81"/>
      <c r="R399" s="81"/>
      <c r="S399" s="81"/>
      <c r="T399" s="81"/>
      <c r="U399" s="81"/>
      <c r="V399" s="81"/>
      <c r="W399" s="81"/>
      <c r="X399" s="81"/>
      <c r="Y399" s="81"/>
      <c r="Z399" s="81"/>
      <c r="AA399" s="81"/>
      <c r="AB399" s="81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</row>
    <row r="400" spans="11:68" x14ac:dyDescent="0.3">
      <c r="K400" s="81"/>
      <c r="L400" s="81"/>
      <c r="M400" s="81"/>
      <c r="N400" s="81"/>
      <c r="O400" s="81"/>
      <c r="P400" s="81"/>
      <c r="Q400" s="81"/>
      <c r="R400" s="81"/>
      <c r="S400" s="81"/>
      <c r="T400" s="81"/>
      <c r="U400" s="81"/>
      <c r="V400" s="81"/>
      <c r="W400" s="81"/>
      <c r="X400" s="81"/>
      <c r="Y400" s="81"/>
      <c r="Z400" s="81"/>
      <c r="AA400" s="81"/>
      <c r="AB400" s="81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</row>
    <row r="401" spans="11:68" x14ac:dyDescent="0.3">
      <c r="K401" s="81"/>
      <c r="L401" s="81"/>
      <c r="M401" s="81"/>
      <c r="N401" s="81"/>
      <c r="O401" s="81"/>
      <c r="P401" s="81"/>
      <c r="Q401" s="81"/>
      <c r="R401" s="81"/>
      <c r="S401" s="81"/>
      <c r="T401" s="81"/>
      <c r="U401" s="81"/>
      <c r="V401" s="81"/>
      <c r="W401" s="81"/>
      <c r="X401" s="81"/>
      <c r="Y401" s="81"/>
      <c r="Z401" s="81"/>
      <c r="AA401" s="81"/>
      <c r="AB401" s="81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</row>
    <row r="402" spans="11:68" x14ac:dyDescent="0.3">
      <c r="K402" s="81"/>
      <c r="L402" s="81"/>
      <c r="M402" s="81"/>
      <c r="N402" s="81"/>
      <c r="O402" s="81"/>
      <c r="P402" s="81"/>
      <c r="Q402" s="81"/>
      <c r="R402" s="81"/>
      <c r="S402" s="81"/>
      <c r="T402" s="81"/>
      <c r="U402" s="81"/>
      <c r="V402" s="81"/>
      <c r="W402" s="81"/>
      <c r="X402" s="81"/>
      <c r="Y402" s="81"/>
      <c r="Z402" s="81"/>
      <c r="AA402" s="81"/>
      <c r="AB402" s="81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</row>
    <row r="403" spans="11:68" x14ac:dyDescent="0.3">
      <c r="K403" s="81"/>
      <c r="L403" s="81"/>
      <c r="M403" s="81"/>
      <c r="N403" s="81"/>
      <c r="O403" s="81"/>
      <c r="P403" s="81"/>
      <c r="Q403" s="81"/>
      <c r="R403" s="81"/>
      <c r="S403" s="81"/>
      <c r="T403" s="81"/>
      <c r="U403" s="81"/>
      <c r="V403" s="81"/>
      <c r="W403" s="81"/>
      <c r="X403" s="81"/>
      <c r="Y403" s="81"/>
      <c r="Z403" s="81"/>
      <c r="AA403" s="81"/>
      <c r="AB403" s="81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</row>
    <row r="404" spans="11:68" x14ac:dyDescent="0.3">
      <c r="K404" s="81"/>
      <c r="L404" s="81"/>
      <c r="M404" s="81"/>
      <c r="N404" s="81"/>
      <c r="O404" s="81"/>
      <c r="P404" s="81"/>
      <c r="Q404" s="81"/>
      <c r="R404" s="81"/>
      <c r="S404" s="81"/>
      <c r="T404" s="81"/>
      <c r="U404" s="81"/>
      <c r="V404" s="81"/>
      <c r="W404" s="81"/>
      <c r="X404" s="81"/>
      <c r="Y404" s="81"/>
      <c r="Z404" s="81"/>
      <c r="AA404" s="81"/>
      <c r="AB404" s="81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</row>
    <row r="405" spans="11:68" x14ac:dyDescent="0.3">
      <c r="K405" s="81"/>
      <c r="L405" s="81"/>
      <c r="M405" s="81"/>
      <c r="N405" s="81"/>
      <c r="O405" s="81"/>
      <c r="P405" s="81"/>
      <c r="Q405" s="81"/>
      <c r="R405" s="81"/>
      <c r="S405" s="81"/>
      <c r="T405" s="81"/>
      <c r="U405" s="81"/>
      <c r="V405" s="81"/>
      <c r="W405" s="81"/>
      <c r="X405" s="81"/>
      <c r="Y405" s="81"/>
      <c r="Z405" s="81"/>
      <c r="AA405" s="81"/>
      <c r="AB405" s="81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</row>
    <row r="406" spans="11:68" x14ac:dyDescent="0.3">
      <c r="K406" s="81"/>
      <c r="L406" s="81"/>
      <c r="M406" s="81"/>
      <c r="N406" s="81"/>
      <c r="O406" s="81"/>
      <c r="P406" s="81"/>
      <c r="Q406" s="81"/>
      <c r="R406" s="81"/>
      <c r="S406" s="81"/>
      <c r="T406" s="81"/>
      <c r="U406" s="81"/>
      <c r="V406" s="81"/>
      <c r="W406" s="81"/>
      <c r="X406" s="81"/>
      <c r="Y406" s="81"/>
      <c r="Z406" s="81"/>
      <c r="AA406" s="81"/>
      <c r="AB406" s="81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</row>
    <row r="407" spans="11:68" x14ac:dyDescent="0.3">
      <c r="K407" s="81"/>
      <c r="L407" s="81"/>
      <c r="M407" s="81"/>
      <c r="N407" s="81"/>
      <c r="O407" s="81"/>
      <c r="P407" s="81"/>
      <c r="Q407" s="81"/>
      <c r="R407" s="81"/>
      <c r="S407" s="81"/>
      <c r="T407" s="81"/>
      <c r="U407" s="81"/>
      <c r="V407" s="81"/>
      <c r="W407" s="81"/>
      <c r="X407" s="81"/>
      <c r="Y407" s="81"/>
      <c r="Z407" s="81"/>
      <c r="AA407" s="81"/>
      <c r="AB407" s="81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</row>
    <row r="408" spans="11:68" x14ac:dyDescent="0.3">
      <c r="K408" s="81"/>
      <c r="L408" s="81"/>
      <c r="M408" s="81"/>
      <c r="N408" s="81"/>
      <c r="O408" s="81"/>
      <c r="P408" s="81"/>
      <c r="Q408" s="81"/>
      <c r="R408" s="81"/>
      <c r="S408" s="81"/>
      <c r="T408" s="81"/>
      <c r="U408" s="81"/>
      <c r="V408" s="81"/>
      <c r="W408" s="81"/>
      <c r="X408" s="81"/>
      <c r="Y408" s="81"/>
      <c r="Z408" s="81"/>
      <c r="AA408" s="81"/>
      <c r="AB408" s="81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</row>
    <row r="409" spans="11:68" x14ac:dyDescent="0.3"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</row>
    <row r="410" spans="11:68" x14ac:dyDescent="0.3">
      <c r="K410" s="81"/>
      <c r="L410" s="81"/>
      <c r="M410" s="81"/>
      <c r="N410" s="81"/>
      <c r="O410" s="81"/>
      <c r="P410" s="81"/>
      <c r="Q410" s="81"/>
      <c r="R410" s="81"/>
      <c r="S410" s="81"/>
      <c r="T410" s="81"/>
      <c r="U410" s="81"/>
      <c r="V410" s="81"/>
      <c r="W410" s="81"/>
      <c r="X410" s="81"/>
      <c r="Y410" s="81"/>
      <c r="Z410" s="81"/>
      <c r="AA410" s="81"/>
      <c r="AB410" s="81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</row>
    <row r="411" spans="11:68" x14ac:dyDescent="0.3">
      <c r="K411" s="81"/>
      <c r="L411" s="81"/>
      <c r="M411" s="81"/>
      <c r="N411" s="81"/>
      <c r="O411" s="81"/>
      <c r="P411" s="81"/>
      <c r="Q411" s="81"/>
      <c r="R411" s="81"/>
      <c r="S411" s="81"/>
      <c r="T411" s="81"/>
      <c r="U411" s="81"/>
      <c r="V411" s="81"/>
      <c r="W411" s="81"/>
      <c r="X411" s="81"/>
      <c r="Y411" s="81"/>
      <c r="Z411" s="81"/>
      <c r="AA411" s="81"/>
      <c r="AB411" s="81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</row>
    <row r="412" spans="11:68" x14ac:dyDescent="0.3">
      <c r="K412" s="81"/>
      <c r="L412" s="81"/>
      <c r="M412" s="81"/>
      <c r="N412" s="81"/>
      <c r="O412" s="81"/>
      <c r="P412" s="81"/>
      <c r="Q412" s="81"/>
      <c r="R412" s="81"/>
      <c r="S412" s="81"/>
      <c r="T412" s="81"/>
      <c r="U412" s="81"/>
      <c r="V412" s="81"/>
      <c r="W412" s="81"/>
      <c r="X412" s="81"/>
      <c r="Y412" s="81"/>
      <c r="Z412" s="81"/>
      <c r="AA412" s="81"/>
      <c r="AB412" s="81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</row>
    <row r="413" spans="11:68" x14ac:dyDescent="0.3">
      <c r="K413" s="81"/>
      <c r="L413" s="81"/>
      <c r="M413" s="81"/>
      <c r="N413" s="81"/>
      <c r="O413" s="81"/>
      <c r="P413" s="81"/>
      <c r="Q413" s="81"/>
      <c r="R413" s="81"/>
      <c r="S413" s="81"/>
      <c r="T413" s="81"/>
      <c r="U413" s="81"/>
      <c r="V413" s="81"/>
      <c r="W413" s="81"/>
      <c r="X413" s="81"/>
      <c r="Y413" s="81"/>
      <c r="Z413" s="81"/>
      <c r="AA413" s="81"/>
      <c r="AB413" s="81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</row>
    <row r="414" spans="11:68" x14ac:dyDescent="0.3">
      <c r="K414" s="81"/>
      <c r="L414" s="81"/>
      <c r="M414" s="81"/>
      <c r="N414" s="81"/>
      <c r="O414" s="81"/>
      <c r="P414" s="81"/>
      <c r="Q414" s="81"/>
      <c r="R414" s="81"/>
      <c r="S414" s="81"/>
      <c r="T414" s="81"/>
      <c r="U414" s="81"/>
      <c r="V414" s="81"/>
      <c r="W414" s="81"/>
      <c r="X414" s="81"/>
      <c r="Y414" s="81"/>
      <c r="Z414" s="81"/>
      <c r="AA414" s="81"/>
      <c r="AB414" s="81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</row>
    <row r="415" spans="11:68" x14ac:dyDescent="0.3">
      <c r="K415" s="81"/>
      <c r="L415" s="81"/>
      <c r="M415" s="81"/>
      <c r="N415" s="81"/>
      <c r="O415" s="81"/>
      <c r="P415" s="81"/>
      <c r="Q415" s="81"/>
      <c r="R415" s="81"/>
      <c r="S415" s="81"/>
      <c r="T415" s="81"/>
      <c r="U415" s="81"/>
      <c r="V415" s="81"/>
      <c r="W415" s="81"/>
      <c r="X415" s="81"/>
      <c r="Y415" s="81"/>
      <c r="Z415" s="81"/>
      <c r="AA415" s="81"/>
      <c r="AB415" s="81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</row>
    <row r="416" spans="11:68" x14ac:dyDescent="0.3">
      <c r="K416" s="81"/>
      <c r="L416" s="81"/>
      <c r="M416" s="81"/>
      <c r="N416" s="81"/>
      <c r="O416" s="81"/>
      <c r="P416" s="81"/>
      <c r="Q416" s="81"/>
      <c r="R416" s="81"/>
      <c r="S416" s="81"/>
      <c r="T416" s="81"/>
      <c r="U416" s="81"/>
      <c r="V416" s="81"/>
      <c r="W416" s="81"/>
      <c r="X416" s="81"/>
      <c r="Y416" s="81"/>
      <c r="Z416" s="81"/>
      <c r="AA416" s="81"/>
      <c r="AB416" s="81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</row>
    <row r="417" spans="11:68" x14ac:dyDescent="0.3">
      <c r="K417" s="81"/>
      <c r="L417" s="81"/>
      <c r="M417" s="81"/>
      <c r="N417" s="81"/>
      <c r="O417" s="81"/>
      <c r="P417" s="81"/>
      <c r="Q417" s="81"/>
      <c r="R417" s="81"/>
      <c r="S417" s="81"/>
      <c r="T417" s="81"/>
      <c r="U417" s="81"/>
      <c r="V417" s="81"/>
      <c r="W417" s="81"/>
      <c r="X417" s="81"/>
      <c r="Y417" s="81"/>
      <c r="Z417" s="81"/>
      <c r="AA417" s="81"/>
      <c r="AB417" s="81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</row>
    <row r="418" spans="11:68" x14ac:dyDescent="0.3">
      <c r="K418" s="81"/>
      <c r="L418" s="81"/>
      <c r="M418" s="81"/>
      <c r="N418" s="81"/>
      <c r="O418" s="81"/>
      <c r="P418" s="81"/>
      <c r="Q418" s="81"/>
      <c r="R418" s="81"/>
      <c r="S418" s="81"/>
      <c r="T418" s="81"/>
      <c r="U418" s="81"/>
      <c r="V418" s="81"/>
      <c r="W418" s="81"/>
      <c r="X418" s="81"/>
      <c r="Y418" s="81"/>
      <c r="Z418" s="81"/>
      <c r="AA418" s="81"/>
      <c r="AB418" s="81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</row>
    <row r="419" spans="11:68" x14ac:dyDescent="0.3"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81"/>
      <c r="Z419" s="81"/>
      <c r="AA419" s="81"/>
      <c r="AB419" s="81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</row>
    <row r="420" spans="11:68" x14ac:dyDescent="0.3">
      <c r="K420" s="81"/>
      <c r="L420" s="81"/>
      <c r="M420" s="81"/>
      <c r="N420" s="81"/>
      <c r="O420" s="81"/>
      <c r="P420" s="81"/>
      <c r="Q420" s="81"/>
      <c r="R420" s="81"/>
      <c r="S420" s="81"/>
      <c r="T420" s="81"/>
      <c r="U420" s="81"/>
      <c r="V420" s="81"/>
      <c r="W420" s="81"/>
      <c r="X420" s="81"/>
      <c r="Y420" s="81"/>
      <c r="Z420" s="81"/>
      <c r="AA420" s="81"/>
      <c r="AB420" s="81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</row>
    <row r="421" spans="11:68" x14ac:dyDescent="0.3">
      <c r="K421" s="81"/>
      <c r="L421" s="81"/>
      <c r="M421" s="81"/>
      <c r="N421" s="81"/>
      <c r="O421" s="81"/>
      <c r="P421" s="81"/>
      <c r="Q421" s="81"/>
      <c r="R421" s="81"/>
      <c r="S421" s="81"/>
      <c r="T421" s="81"/>
      <c r="U421" s="81"/>
      <c r="V421" s="81"/>
      <c r="W421" s="81"/>
      <c r="X421" s="81"/>
      <c r="Y421" s="81"/>
      <c r="Z421" s="81"/>
      <c r="AA421" s="81"/>
      <c r="AB421" s="81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</row>
    <row r="422" spans="11:68" x14ac:dyDescent="0.3">
      <c r="K422" s="81"/>
      <c r="L422" s="81"/>
      <c r="M422" s="81"/>
      <c r="N422" s="81"/>
      <c r="O422" s="81"/>
      <c r="P422" s="81"/>
      <c r="Q422" s="81"/>
      <c r="R422" s="81"/>
      <c r="S422" s="81"/>
      <c r="T422" s="81"/>
      <c r="U422" s="81"/>
      <c r="V422" s="81"/>
      <c r="W422" s="81"/>
      <c r="X422" s="81"/>
      <c r="Y422" s="81"/>
      <c r="Z422" s="81"/>
      <c r="AA422" s="81"/>
      <c r="AB422" s="81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</row>
    <row r="423" spans="11:68" x14ac:dyDescent="0.3">
      <c r="K423" s="81"/>
      <c r="L423" s="81"/>
      <c r="M423" s="81"/>
      <c r="N423" s="81"/>
      <c r="O423" s="81"/>
      <c r="P423" s="81"/>
      <c r="Q423" s="81"/>
      <c r="R423" s="81"/>
      <c r="S423" s="81"/>
      <c r="T423" s="81"/>
      <c r="U423" s="81"/>
      <c r="V423" s="81"/>
      <c r="W423" s="81"/>
      <c r="X423" s="81"/>
      <c r="Y423" s="81"/>
      <c r="Z423" s="81"/>
      <c r="AA423" s="81"/>
      <c r="AB423" s="81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</row>
    <row r="424" spans="11:68" x14ac:dyDescent="0.3">
      <c r="K424" s="81"/>
      <c r="L424" s="81"/>
      <c r="M424" s="81"/>
      <c r="N424" s="81"/>
      <c r="O424" s="81"/>
      <c r="P424" s="81"/>
      <c r="Q424" s="81"/>
      <c r="R424" s="81"/>
      <c r="S424" s="81"/>
      <c r="T424" s="81"/>
      <c r="U424" s="81"/>
      <c r="V424" s="81"/>
      <c r="W424" s="81"/>
      <c r="X424" s="81"/>
      <c r="Y424" s="81"/>
      <c r="Z424" s="81"/>
      <c r="AA424" s="81"/>
      <c r="AB424" s="81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</row>
    <row r="425" spans="11:68" x14ac:dyDescent="0.3">
      <c r="K425" s="81"/>
      <c r="L425" s="81"/>
      <c r="M425" s="81"/>
      <c r="N425" s="81"/>
      <c r="O425" s="81"/>
      <c r="P425" s="81"/>
      <c r="Q425" s="81"/>
      <c r="R425" s="81"/>
      <c r="S425" s="81"/>
      <c r="T425" s="81"/>
      <c r="U425" s="81"/>
      <c r="V425" s="81"/>
      <c r="W425" s="81"/>
      <c r="X425" s="81"/>
      <c r="Y425" s="81"/>
      <c r="Z425" s="81"/>
      <c r="AA425" s="81"/>
      <c r="AB425" s="81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</row>
    <row r="426" spans="11:68" x14ac:dyDescent="0.3">
      <c r="K426" s="81"/>
      <c r="L426" s="81"/>
      <c r="M426" s="81"/>
      <c r="N426" s="81"/>
      <c r="O426" s="81"/>
      <c r="P426" s="81"/>
      <c r="Q426" s="81"/>
      <c r="R426" s="81"/>
      <c r="S426" s="81"/>
      <c r="T426" s="81"/>
      <c r="U426" s="81"/>
      <c r="V426" s="81"/>
      <c r="W426" s="81"/>
      <c r="X426" s="81"/>
      <c r="Y426" s="81"/>
      <c r="Z426" s="81"/>
      <c r="AA426" s="81"/>
      <c r="AB426" s="81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</row>
    <row r="427" spans="11:68" x14ac:dyDescent="0.3">
      <c r="K427" s="81"/>
      <c r="L427" s="81"/>
      <c r="M427" s="81"/>
      <c r="N427" s="81"/>
      <c r="O427" s="81"/>
      <c r="P427" s="81"/>
      <c r="Q427" s="81"/>
      <c r="R427" s="81"/>
      <c r="S427" s="81"/>
      <c r="T427" s="81"/>
      <c r="U427" s="81"/>
      <c r="V427" s="81"/>
      <c r="W427" s="81"/>
      <c r="X427" s="81"/>
      <c r="Y427" s="81"/>
      <c r="Z427" s="81"/>
      <c r="AA427" s="81"/>
      <c r="AB427" s="81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</row>
    <row r="428" spans="11:68" x14ac:dyDescent="0.3">
      <c r="K428" s="81"/>
      <c r="L428" s="81"/>
      <c r="M428" s="81"/>
      <c r="N428" s="81"/>
      <c r="O428" s="81"/>
      <c r="P428" s="81"/>
      <c r="Q428" s="81"/>
      <c r="R428" s="81"/>
      <c r="S428" s="81"/>
      <c r="T428" s="81"/>
      <c r="U428" s="81"/>
      <c r="V428" s="81"/>
      <c r="W428" s="81"/>
      <c r="X428" s="81"/>
      <c r="Y428" s="81"/>
      <c r="Z428" s="81"/>
      <c r="AA428" s="81"/>
      <c r="AB428" s="81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</row>
    <row r="429" spans="11:68" x14ac:dyDescent="0.3">
      <c r="K429" s="81"/>
      <c r="L429" s="81"/>
      <c r="M429" s="81"/>
      <c r="N429" s="81"/>
      <c r="O429" s="81"/>
      <c r="P429" s="81"/>
      <c r="Q429" s="81"/>
      <c r="R429" s="81"/>
      <c r="S429" s="81"/>
      <c r="T429" s="81"/>
      <c r="U429" s="81"/>
      <c r="V429" s="81"/>
      <c r="W429" s="81"/>
      <c r="X429" s="81"/>
      <c r="Y429" s="81"/>
      <c r="Z429" s="81"/>
      <c r="AA429" s="81"/>
      <c r="AB429" s="81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</row>
    <row r="430" spans="11:68" x14ac:dyDescent="0.3">
      <c r="K430" s="81"/>
      <c r="L430" s="81"/>
      <c r="M430" s="81"/>
      <c r="N430" s="81"/>
      <c r="O430" s="81"/>
      <c r="P430" s="81"/>
      <c r="Q430" s="81"/>
      <c r="R430" s="81"/>
      <c r="S430" s="81"/>
      <c r="T430" s="81"/>
      <c r="U430" s="81"/>
      <c r="V430" s="81"/>
      <c r="W430" s="81"/>
      <c r="X430" s="81"/>
      <c r="Y430" s="81"/>
      <c r="Z430" s="81"/>
      <c r="AA430" s="81"/>
      <c r="AB430" s="81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</row>
    <row r="431" spans="11:68" x14ac:dyDescent="0.3">
      <c r="K431" s="81"/>
      <c r="L431" s="81"/>
      <c r="M431" s="81"/>
      <c r="N431" s="81"/>
      <c r="O431" s="81"/>
      <c r="P431" s="81"/>
      <c r="Q431" s="81"/>
      <c r="R431" s="81"/>
      <c r="S431" s="81"/>
      <c r="T431" s="81"/>
      <c r="U431" s="81"/>
      <c r="V431" s="81"/>
      <c r="W431" s="81"/>
      <c r="X431" s="81"/>
      <c r="Y431" s="81"/>
      <c r="Z431" s="81"/>
      <c r="AA431" s="81"/>
      <c r="AB431" s="81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</row>
    <row r="432" spans="11:68" x14ac:dyDescent="0.3">
      <c r="K432" s="81"/>
      <c r="L432" s="81"/>
      <c r="M432" s="81"/>
      <c r="N432" s="81"/>
      <c r="O432" s="81"/>
      <c r="P432" s="81"/>
      <c r="Q432" s="81"/>
      <c r="R432" s="81"/>
      <c r="S432" s="81"/>
      <c r="T432" s="81"/>
      <c r="U432" s="81"/>
      <c r="V432" s="81"/>
      <c r="W432" s="81"/>
      <c r="X432" s="81"/>
      <c r="Y432" s="81"/>
      <c r="Z432" s="81"/>
      <c r="AA432" s="81"/>
      <c r="AB432" s="81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</row>
    <row r="433" spans="11:68" x14ac:dyDescent="0.3">
      <c r="K433" s="81"/>
      <c r="L433" s="81"/>
      <c r="M433" s="81"/>
      <c r="N433" s="81"/>
      <c r="O433" s="81"/>
      <c r="P433" s="81"/>
      <c r="Q433" s="81"/>
      <c r="R433" s="81"/>
      <c r="S433" s="81"/>
      <c r="T433" s="81"/>
      <c r="U433" s="81"/>
      <c r="V433" s="81"/>
      <c r="W433" s="81"/>
      <c r="X433" s="81"/>
      <c r="Y433" s="81"/>
      <c r="Z433" s="81"/>
      <c r="AA433" s="81"/>
      <c r="AB433" s="81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</row>
    <row r="434" spans="11:68" x14ac:dyDescent="0.3">
      <c r="K434" s="81"/>
      <c r="L434" s="81"/>
      <c r="M434" s="81"/>
      <c r="N434" s="81"/>
      <c r="O434" s="81"/>
      <c r="P434" s="81"/>
      <c r="Q434" s="81"/>
      <c r="R434" s="81"/>
      <c r="S434" s="81"/>
      <c r="T434" s="81"/>
      <c r="U434" s="81"/>
      <c r="V434" s="81"/>
      <c r="W434" s="81"/>
      <c r="X434" s="81"/>
      <c r="Y434" s="81"/>
      <c r="Z434" s="81"/>
      <c r="AA434" s="81"/>
      <c r="AB434" s="81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</row>
    <row r="435" spans="11:68" x14ac:dyDescent="0.3">
      <c r="K435" s="81"/>
      <c r="L435" s="81"/>
      <c r="M435" s="81"/>
      <c r="N435" s="81"/>
      <c r="O435" s="81"/>
      <c r="P435" s="81"/>
      <c r="Q435" s="81"/>
      <c r="R435" s="81"/>
      <c r="S435" s="81"/>
      <c r="T435" s="81"/>
      <c r="U435" s="81"/>
      <c r="V435" s="81"/>
      <c r="W435" s="81"/>
      <c r="X435" s="81"/>
      <c r="Y435" s="81"/>
      <c r="Z435" s="81"/>
      <c r="AA435" s="81"/>
      <c r="AB435" s="81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</row>
    <row r="436" spans="11:68" x14ac:dyDescent="0.3">
      <c r="K436" s="81"/>
      <c r="L436" s="81"/>
      <c r="M436" s="81"/>
      <c r="N436" s="81"/>
      <c r="O436" s="81"/>
      <c r="P436" s="81"/>
      <c r="Q436" s="81"/>
      <c r="R436" s="81"/>
      <c r="S436" s="81"/>
      <c r="T436" s="81"/>
      <c r="U436" s="81"/>
      <c r="V436" s="81"/>
      <c r="W436" s="81"/>
      <c r="X436" s="81"/>
      <c r="Y436" s="81"/>
      <c r="Z436" s="81"/>
      <c r="AA436" s="81"/>
      <c r="AB436" s="81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</row>
    <row r="437" spans="11:68" x14ac:dyDescent="0.3">
      <c r="K437" s="81"/>
      <c r="L437" s="81"/>
      <c r="M437" s="81"/>
      <c r="N437" s="81"/>
      <c r="O437" s="81"/>
      <c r="P437" s="81"/>
      <c r="Q437" s="81"/>
      <c r="R437" s="81"/>
      <c r="S437" s="81"/>
      <c r="T437" s="81"/>
      <c r="U437" s="81"/>
      <c r="V437" s="81"/>
      <c r="W437" s="81"/>
      <c r="X437" s="81"/>
      <c r="Y437" s="81"/>
      <c r="Z437" s="81"/>
      <c r="AA437" s="81"/>
      <c r="AB437" s="81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</row>
    <row r="438" spans="11:68" x14ac:dyDescent="0.3">
      <c r="K438" s="81"/>
      <c r="L438" s="81"/>
      <c r="M438" s="81"/>
      <c r="N438" s="81"/>
      <c r="O438" s="81"/>
      <c r="P438" s="81"/>
      <c r="Q438" s="81"/>
      <c r="R438" s="81"/>
      <c r="S438" s="81"/>
      <c r="T438" s="81"/>
      <c r="U438" s="81"/>
      <c r="V438" s="81"/>
      <c r="W438" s="81"/>
      <c r="X438" s="81"/>
      <c r="Y438" s="81"/>
      <c r="Z438" s="81"/>
      <c r="AA438" s="81"/>
      <c r="AB438" s="81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</row>
    <row r="439" spans="11:68" x14ac:dyDescent="0.3">
      <c r="K439" s="81"/>
      <c r="L439" s="81"/>
      <c r="M439" s="81"/>
      <c r="N439" s="81"/>
      <c r="O439" s="81"/>
      <c r="P439" s="81"/>
      <c r="Q439" s="81"/>
      <c r="R439" s="81"/>
      <c r="S439" s="81"/>
      <c r="T439" s="81"/>
      <c r="U439" s="81"/>
      <c r="V439" s="81"/>
      <c r="W439" s="81"/>
      <c r="X439" s="81"/>
      <c r="Y439" s="81"/>
      <c r="Z439" s="81"/>
      <c r="AA439" s="81"/>
      <c r="AB439" s="81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</row>
    <row r="440" spans="11:68" x14ac:dyDescent="0.3">
      <c r="K440" s="81"/>
      <c r="L440" s="81"/>
      <c r="M440" s="81"/>
      <c r="N440" s="81"/>
      <c r="O440" s="81"/>
      <c r="P440" s="81"/>
      <c r="Q440" s="81"/>
      <c r="R440" s="81"/>
      <c r="S440" s="81"/>
      <c r="T440" s="81"/>
      <c r="U440" s="81"/>
      <c r="V440" s="81"/>
      <c r="W440" s="81"/>
      <c r="X440" s="81"/>
      <c r="Y440" s="81"/>
      <c r="Z440" s="81"/>
      <c r="AA440" s="81"/>
      <c r="AB440" s="81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</row>
    <row r="441" spans="11:68" x14ac:dyDescent="0.3">
      <c r="K441" s="81"/>
      <c r="L441" s="81"/>
      <c r="M441" s="81"/>
      <c r="N441" s="81"/>
      <c r="O441" s="81"/>
      <c r="P441" s="81"/>
      <c r="Q441" s="81"/>
      <c r="R441" s="81"/>
      <c r="S441" s="81"/>
      <c r="T441" s="81"/>
      <c r="U441" s="81"/>
      <c r="V441" s="81"/>
      <c r="W441" s="81"/>
      <c r="X441" s="81"/>
      <c r="Y441" s="81"/>
      <c r="Z441" s="81"/>
      <c r="AA441" s="81"/>
      <c r="AB441" s="81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</row>
    <row r="442" spans="11:68" x14ac:dyDescent="0.3">
      <c r="K442" s="81"/>
      <c r="L442" s="81"/>
      <c r="M442" s="81"/>
      <c r="N442" s="81"/>
      <c r="O442" s="81"/>
      <c r="P442" s="81"/>
      <c r="Q442" s="81"/>
      <c r="R442" s="81"/>
      <c r="S442" s="81"/>
      <c r="T442" s="81"/>
      <c r="U442" s="81"/>
      <c r="V442" s="81"/>
      <c r="W442" s="81"/>
      <c r="X442" s="81"/>
      <c r="Y442" s="81"/>
      <c r="Z442" s="81"/>
      <c r="AA442" s="81"/>
      <c r="AB442" s="81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</row>
    <row r="443" spans="11:68" x14ac:dyDescent="0.3">
      <c r="K443" s="81"/>
      <c r="L443" s="81"/>
      <c r="M443" s="81"/>
      <c r="N443" s="81"/>
      <c r="O443" s="81"/>
      <c r="P443" s="81"/>
      <c r="Q443" s="81"/>
      <c r="R443" s="81"/>
      <c r="S443" s="81"/>
      <c r="T443" s="81"/>
      <c r="U443" s="81"/>
      <c r="V443" s="81"/>
      <c r="W443" s="81"/>
      <c r="X443" s="81"/>
      <c r="Y443" s="81"/>
      <c r="Z443" s="81"/>
      <c r="AA443" s="81"/>
      <c r="AB443" s="81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</row>
    <row r="444" spans="11:68" x14ac:dyDescent="0.3">
      <c r="K444" s="81"/>
      <c r="L444" s="81"/>
      <c r="M444" s="81"/>
      <c r="N444" s="81"/>
      <c r="O444" s="81"/>
      <c r="P444" s="81"/>
      <c r="Q444" s="81"/>
      <c r="R444" s="81"/>
      <c r="S444" s="81"/>
      <c r="T444" s="81"/>
      <c r="U444" s="81"/>
      <c r="V444" s="81"/>
      <c r="W444" s="81"/>
      <c r="X444" s="81"/>
      <c r="Y444" s="81"/>
      <c r="Z444" s="81"/>
      <c r="AA444" s="81"/>
      <c r="AB444" s="81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</row>
    <row r="445" spans="11:68" x14ac:dyDescent="0.3">
      <c r="K445" s="81"/>
      <c r="L445" s="81"/>
      <c r="M445" s="81"/>
      <c r="N445" s="81"/>
      <c r="O445" s="81"/>
      <c r="P445" s="81"/>
      <c r="Q445" s="81"/>
      <c r="R445" s="81"/>
      <c r="S445" s="81"/>
      <c r="T445" s="81"/>
      <c r="U445" s="81"/>
      <c r="V445" s="81"/>
      <c r="W445" s="81"/>
      <c r="X445" s="81"/>
      <c r="Y445" s="81"/>
      <c r="Z445" s="81"/>
      <c r="AA445" s="81"/>
      <c r="AB445" s="81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</row>
    <row r="446" spans="11:68" x14ac:dyDescent="0.3">
      <c r="K446" s="81"/>
      <c r="L446" s="81"/>
      <c r="M446" s="81"/>
      <c r="N446" s="81"/>
      <c r="O446" s="81"/>
      <c r="P446" s="81"/>
      <c r="Q446" s="81"/>
      <c r="R446" s="81"/>
      <c r="S446" s="81"/>
      <c r="T446" s="81"/>
      <c r="U446" s="81"/>
      <c r="V446" s="81"/>
      <c r="W446" s="81"/>
      <c r="X446" s="81"/>
      <c r="Y446" s="81"/>
      <c r="Z446" s="81"/>
      <c r="AA446" s="81"/>
      <c r="AB446" s="81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</row>
    <row r="447" spans="11:68" x14ac:dyDescent="0.3">
      <c r="K447" s="81"/>
      <c r="L447" s="81"/>
      <c r="M447" s="81"/>
      <c r="N447" s="81"/>
      <c r="O447" s="81"/>
      <c r="P447" s="81"/>
      <c r="Q447" s="81"/>
      <c r="R447" s="81"/>
      <c r="S447" s="81"/>
      <c r="T447" s="81"/>
      <c r="U447" s="81"/>
      <c r="V447" s="81"/>
      <c r="W447" s="81"/>
      <c r="X447" s="81"/>
      <c r="Y447" s="81"/>
      <c r="Z447" s="81"/>
      <c r="AA447" s="81"/>
      <c r="AB447" s="81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</row>
    <row r="448" spans="11:68" x14ac:dyDescent="0.3">
      <c r="K448" s="81"/>
      <c r="L448" s="81"/>
      <c r="M448" s="81"/>
      <c r="N448" s="81"/>
      <c r="O448" s="81"/>
      <c r="P448" s="81"/>
      <c r="Q448" s="81"/>
      <c r="R448" s="81"/>
      <c r="S448" s="81"/>
      <c r="T448" s="81"/>
      <c r="U448" s="81"/>
      <c r="V448" s="81"/>
      <c r="W448" s="81"/>
      <c r="X448" s="81"/>
      <c r="Y448" s="81"/>
      <c r="Z448" s="81"/>
      <c r="AA448" s="81"/>
      <c r="AB448" s="81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</row>
    <row r="449" spans="11:68" x14ac:dyDescent="0.3">
      <c r="K449" s="81"/>
      <c r="L449" s="81"/>
      <c r="M449" s="81"/>
      <c r="N449" s="81"/>
      <c r="O449" s="81"/>
      <c r="P449" s="81"/>
      <c r="Q449" s="81"/>
      <c r="R449" s="81"/>
      <c r="S449" s="81"/>
      <c r="T449" s="81"/>
      <c r="U449" s="81"/>
      <c r="V449" s="81"/>
      <c r="W449" s="81"/>
      <c r="X449" s="81"/>
      <c r="Y449" s="81"/>
      <c r="Z449" s="81"/>
      <c r="AA449" s="81"/>
      <c r="AB449" s="81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</row>
    <row r="450" spans="11:68" x14ac:dyDescent="0.3">
      <c r="K450" s="81"/>
      <c r="L450" s="81"/>
      <c r="M450" s="81"/>
      <c r="N450" s="81"/>
      <c r="O450" s="81"/>
      <c r="P450" s="81"/>
      <c r="Q450" s="81"/>
      <c r="R450" s="81"/>
      <c r="S450" s="81"/>
      <c r="T450" s="81"/>
      <c r="U450" s="81"/>
      <c r="V450" s="81"/>
      <c r="W450" s="81"/>
      <c r="X450" s="81"/>
      <c r="Y450" s="81"/>
      <c r="Z450" s="81"/>
      <c r="AA450" s="81"/>
      <c r="AB450" s="81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</row>
    <row r="451" spans="11:68" x14ac:dyDescent="0.3">
      <c r="K451" s="81"/>
      <c r="L451" s="81"/>
      <c r="M451" s="81"/>
      <c r="N451" s="81"/>
      <c r="O451" s="81"/>
      <c r="P451" s="81"/>
      <c r="Q451" s="81"/>
      <c r="R451" s="81"/>
      <c r="S451" s="81"/>
      <c r="T451" s="81"/>
      <c r="U451" s="81"/>
      <c r="V451" s="81"/>
      <c r="W451" s="81"/>
      <c r="X451" s="81"/>
      <c r="Y451" s="81"/>
      <c r="Z451" s="81"/>
      <c r="AA451" s="81"/>
      <c r="AB451" s="81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</row>
    <row r="452" spans="11:68" x14ac:dyDescent="0.3">
      <c r="K452" s="81"/>
      <c r="L452" s="81"/>
      <c r="M452" s="81"/>
      <c r="N452" s="81"/>
      <c r="O452" s="81"/>
      <c r="P452" s="81"/>
      <c r="Q452" s="81"/>
      <c r="R452" s="81"/>
      <c r="S452" s="81"/>
      <c r="T452" s="81"/>
      <c r="U452" s="81"/>
      <c r="V452" s="81"/>
      <c r="W452" s="81"/>
      <c r="X452" s="81"/>
      <c r="Y452" s="81"/>
      <c r="Z452" s="81"/>
      <c r="AA452" s="81"/>
      <c r="AB452" s="81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</row>
    <row r="453" spans="11:68" x14ac:dyDescent="0.3">
      <c r="K453" s="81"/>
      <c r="L453" s="81"/>
      <c r="M453" s="81"/>
      <c r="N453" s="81"/>
      <c r="O453" s="81"/>
      <c r="P453" s="81"/>
      <c r="Q453" s="81"/>
      <c r="R453" s="81"/>
      <c r="S453" s="81"/>
      <c r="T453" s="81"/>
      <c r="U453" s="81"/>
      <c r="V453" s="81"/>
      <c r="W453" s="81"/>
      <c r="X453" s="81"/>
      <c r="Y453" s="81"/>
      <c r="Z453" s="81"/>
      <c r="AA453" s="81"/>
      <c r="AB453" s="81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</row>
    <row r="454" spans="11:68" x14ac:dyDescent="0.3">
      <c r="K454" s="81"/>
      <c r="L454" s="81"/>
      <c r="M454" s="81"/>
      <c r="N454" s="81"/>
      <c r="O454" s="81"/>
      <c r="P454" s="81"/>
      <c r="Q454" s="81"/>
      <c r="R454" s="81"/>
      <c r="S454" s="81"/>
      <c r="T454" s="81"/>
      <c r="U454" s="81"/>
      <c r="V454" s="81"/>
      <c r="W454" s="81"/>
      <c r="X454" s="81"/>
      <c r="Y454" s="81"/>
      <c r="Z454" s="81"/>
      <c r="AA454" s="81"/>
      <c r="AB454" s="81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</row>
    <row r="455" spans="11:68" x14ac:dyDescent="0.3">
      <c r="K455" s="81"/>
      <c r="L455" s="81"/>
      <c r="M455" s="81"/>
      <c r="N455" s="81"/>
      <c r="O455" s="81"/>
      <c r="P455" s="81"/>
      <c r="Q455" s="81"/>
      <c r="R455" s="81"/>
      <c r="S455" s="81"/>
      <c r="T455" s="81"/>
      <c r="U455" s="81"/>
      <c r="V455" s="81"/>
      <c r="W455" s="81"/>
      <c r="X455" s="81"/>
      <c r="Y455" s="81"/>
      <c r="Z455" s="81"/>
      <c r="AA455" s="81"/>
      <c r="AB455" s="81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</row>
    <row r="456" spans="11:68" x14ac:dyDescent="0.3">
      <c r="K456" s="81"/>
      <c r="L456" s="81"/>
      <c r="M456" s="81"/>
      <c r="N456" s="81"/>
      <c r="O456" s="81"/>
      <c r="P456" s="81"/>
      <c r="Q456" s="81"/>
      <c r="R456" s="81"/>
      <c r="S456" s="81"/>
      <c r="T456" s="81"/>
      <c r="U456" s="81"/>
      <c r="V456" s="81"/>
      <c r="W456" s="81"/>
      <c r="X456" s="81"/>
      <c r="Y456" s="81"/>
      <c r="Z456" s="81"/>
      <c r="AA456" s="81"/>
      <c r="AB456" s="81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</row>
    <row r="457" spans="11:68" x14ac:dyDescent="0.3">
      <c r="K457" s="81"/>
      <c r="L457" s="81"/>
      <c r="M457" s="81"/>
      <c r="N457" s="81"/>
      <c r="O457" s="81"/>
      <c r="P457" s="81"/>
      <c r="Q457" s="81"/>
      <c r="R457" s="81"/>
      <c r="S457" s="81"/>
      <c r="T457" s="81"/>
      <c r="U457" s="81"/>
      <c r="V457" s="81"/>
      <c r="W457" s="81"/>
      <c r="X457" s="81"/>
      <c r="Y457" s="81"/>
      <c r="Z457" s="81"/>
      <c r="AA457" s="81"/>
      <c r="AB457" s="81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</row>
    <row r="458" spans="11:68" x14ac:dyDescent="0.3">
      <c r="BO458" s="81"/>
      <c r="BP458" s="81"/>
    </row>
    <row r="459" spans="11:68" x14ac:dyDescent="0.3">
      <c r="BO459" s="81"/>
      <c r="BP459" s="81"/>
    </row>
    <row r="460" spans="11:68" x14ac:dyDescent="0.3">
      <c r="BO460" s="81"/>
      <c r="BP460" s="81"/>
    </row>
  </sheetData>
  <sheetProtection sheet="1" formatCells="0" formatColumns="0" formatRows="0" insertColumns="0" insertRows="0" insertHyperlinks="0" deleteColumns="0" deleteRows="0" sort="0" autoFilter="0" pivotTables="0"/>
  <mergeCells count="15">
    <mergeCell ref="H1:I1"/>
    <mergeCell ref="H2:I2"/>
    <mergeCell ref="J1:L1"/>
    <mergeCell ref="J2:L2"/>
    <mergeCell ref="W1:AD1"/>
    <mergeCell ref="W2:AD2"/>
    <mergeCell ref="N1:U1"/>
    <mergeCell ref="N2:U2"/>
    <mergeCell ref="AK2:AP2"/>
    <mergeCell ref="AK3:AP3"/>
    <mergeCell ref="AC4:AG4"/>
    <mergeCell ref="AQ1:AU1"/>
    <mergeCell ref="AQ2:AU2"/>
    <mergeCell ref="AQ3:AU3"/>
    <mergeCell ref="AK1:AP1"/>
  </mergeCells>
  <phoneticPr fontId="1" type="noConversion"/>
  <conditionalFormatting sqref="B14:J36">
    <cfRule type="expression" dxfId="99" priority="5" stopIfTrue="1">
      <formula>$C14&lt;&gt;""</formula>
    </cfRule>
    <cfRule type="expression" dxfId="98" priority="6" stopIfTrue="1">
      <formula>$F14&lt;&gt;""</formula>
    </cfRule>
  </conditionalFormatting>
  <conditionalFormatting sqref="K14:BN36">
    <cfRule type="expression" dxfId="97" priority="43">
      <formula>AND(_xlfn.ISOWEEKNUM(TODAY())&gt;=K$9,_xlfn.ISOWEEKNUM(TODAY())&lt;L$9)</formula>
    </cfRule>
    <cfRule type="expression" dxfId="96" priority="44">
      <formula>OR(AND(K$8&gt;=$H14,$C14 = "X", $H14 &lt;&gt; "", K$8&lt;=$J14), AND(YEAR($H14) = YEAR(K$8),$C14 = "X",_xlfn.ISOWEEKNUM(K$8) = _xlfn.ISOWEEKNUM($H14)))</formula>
    </cfRule>
    <cfRule type="expression" dxfId="95" priority="45">
      <formula>OR(AND(K$8&gt;=$H14,$F14 &lt;&gt; "X", $H14 &lt;&gt; "", K$8&lt;=$J14), AND($F14 &lt;&gt; "X",YEAR($H14) = YEAR(K$8),_xlfn.ISOWEEKNUM(K$8) = _xlfn.ISOWEEKNUM($H14)))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change_langue">
                <anchor moveWithCells="1">
                  <from>
                    <xdr:col>7</xdr:col>
                    <xdr:colOff>624840</xdr:colOff>
                    <xdr:row>3</xdr:row>
                    <xdr:rowOff>76200</xdr:rowOff>
                  </from>
                  <to>
                    <xdr:col>9</xdr:col>
                    <xdr:colOff>701040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FB2327CB-D1B6-4F6F-B80B-EB2BB044B652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3Flags" iconId="2"/>
            </x14:iconSet>
          </x14:cfRule>
          <xm:sqref>K14:BN36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6282A-657C-4491-A69C-87248F170530}">
  <sheetPr codeName="ShLangue"/>
  <dimension ref="A1:F169"/>
  <sheetViews>
    <sheetView showGridLines="0" topLeftCell="A26" workbookViewId="0">
      <selection activeCell="A46" sqref="A46:B47"/>
    </sheetView>
  </sheetViews>
  <sheetFormatPr defaultColWidth="9.109375" defaultRowHeight="14.4" x14ac:dyDescent="0.3"/>
  <cols>
    <col min="1" max="1" width="47.5546875" customWidth="1"/>
    <col min="2" max="2" width="57.33203125" bestFit="1" customWidth="1"/>
    <col min="6" max="6" width="15" customWidth="1"/>
  </cols>
  <sheetData>
    <row r="1" spans="1:6" x14ac:dyDescent="0.3">
      <c r="A1" s="1" t="s">
        <v>158</v>
      </c>
      <c r="B1" s="1" t="s">
        <v>159</v>
      </c>
      <c r="F1" t="s">
        <v>160</v>
      </c>
    </row>
    <row r="2" spans="1:6" x14ac:dyDescent="0.3">
      <c r="A2" s="12" t="s">
        <v>131</v>
      </c>
      <c r="B2" s="40" t="s">
        <v>188</v>
      </c>
      <c r="F2" t="s">
        <v>159</v>
      </c>
    </row>
    <row r="3" spans="1:6" x14ac:dyDescent="0.3">
      <c r="A3" s="12" t="s">
        <v>138</v>
      </c>
      <c r="B3" s="40" t="s">
        <v>189</v>
      </c>
      <c r="F3" t="s">
        <v>158</v>
      </c>
    </row>
    <row r="4" spans="1:6" x14ac:dyDescent="0.3">
      <c r="A4" s="12" t="s">
        <v>153</v>
      </c>
      <c r="B4" s="40" t="s">
        <v>190</v>
      </c>
    </row>
    <row r="5" spans="1:6" x14ac:dyDescent="0.3">
      <c r="A5" s="12" t="s">
        <v>154</v>
      </c>
      <c r="B5" s="40" t="s">
        <v>166</v>
      </c>
    </row>
    <row r="6" spans="1:6" x14ac:dyDescent="0.3">
      <c r="A6" s="12" t="s">
        <v>75</v>
      </c>
      <c r="B6" s="40" t="s">
        <v>167</v>
      </c>
    </row>
    <row r="7" spans="1:6" x14ac:dyDescent="0.3">
      <c r="A7" s="12" t="s">
        <v>139</v>
      </c>
      <c r="B7" s="40" t="s">
        <v>191</v>
      </c>
    </row>
    <row r="8" spans="1:6" x14ac:dyDescent="0.3">
      <c r="A8" s="12" t="s">
        <v>140</v>
      </c>
      <c r="B8" s="40" t="s">
        <v>192</v>
      </c>
    </row>
    <row r="9" spans="1:6" x14ac:dyDescent="0.3">
      <c r="A9" s="12" t="s">
        <v>132</v>
      </c>
      <c r="B9" s="40" t="s">
        <v>193</v>
      </c>
    </row>
    <row r="10" spans="1:6" x14ac:dyDescent="0.3">
      <c r="A10" s="12" t="s">
        <v>141</v>
      </c>
      <c r="B10" s="40" t="s">
        <v>194</v>
      </c>
    </row>
    <row r="11" spans="1:6" x14ac:dyDescent="0.3">
      <c r="A11" s="12" t="s">
        <v>155</v>
      </c>
      <c r="B11" s="40" t="s">
        <v>195</v>
      </c>
    </row>
    <row r="12" spans="1:6" x14ac:dyDescent="0.3">
      <c r="A12" s="12" t="s">
        <v>142</v>
      </c>
      <c r="B12" s="40" t="s">
        <v>196</v>
      </c>
    </row>
    <row r="13" spans="1:6" x14ac:dyDescent="0.3">
      <c r="A13" s="12" t="s">
        <v>133</v>
      </c>
      <c r="B13" s="40" t="s">
        <v>197</v>
      </c>
    </row>
    <row r="14" spans="1:6" x14ac:dyDescent="0.3">
      <c r="A14" s="12" t="s">
        <v>143</v>
      </c>
      <c r="B14" s="40" t="s">
        <v>168</v>
      </c>
    </row>
    <row r="15" spans="1:6" x14ac:dyDescent="0.3">
      <c r="A15" s="12" t="s">
        <v>144</v>
      </c>
      <c r="B15" s="40" t="s">
        <v>198</v>
      </c>
    </row>
    <row r="16" spans="1:6" x14ac:dyDescent="0.3">
      <c r="A16" s="12" t="s">
        <v>76</v>
      </c>
      <c r="B16" s="40" t="s">
        <v>169</v>
      </c>
    </row>
    <row r="17" spans="1:2" x14ac:dyDescent="0.3">
      <c r="A17" s="12" t="s">
        <v>77</v>
      </c>
      <c r="B17" s="40" t="s">
        <v>170</v>
      </c>
    </row>
    <row r="18" spans="1:2" x14ac:dyDescent="0.3">
      <c r="A18" s="12" t="s">
        <v>145</v>
      </c>
      <c r="B18" s="40" t="s">
        <v>199</v>
      </c>
    </row>
    <row r="19" spans="1:2" x14ac:dyDescent="0.3">
      <c r="A19" s="12" t="s">
        <v>134</v>
      </c>
      <c r="B19" s="40" t="s">
        <v>200</v>
      </c>
    </row>
    <row r="20" spans="1:2" x14ac:dyDescent="0.3">
      <c r="A20" s="12" t="s">
        <v>78</v>
      </c>
      <c r="B20" s="40" t="s">
        <v>201</v>
      </c>
    </row>
    <row r="21" spans="1:2" x14ac:dyDescent="0.3">
      <c r="A21" s="12" t="s">
        <v>79</v>
      </c>
      <c r="B21" s="40" t="s">
        <v>171</v>
      </c>
    </row>
    <row r="22" spans="1:2" x14ac:dyDescent="0.3">
      <c r="A22" s="12" t="s">
        <v>80</v>
      </c>
      <c r="B22" s="40" t="s">
        <v>172</v>
      </c>
    </row>
    <row r="23" spans="1:2" x14ac:dyDescent="0.3">
      <c r="A23" s="12" t="s">
        <v>146</v>
      </c>
      <c r="B23" s="40" t="s">
        <v>173</v>
      </c>
    </row>
    <row r="24" spans="1:2" x14ac:dyDescent="0.3">
      <c r="A24" s="12" t="s">
        <v>0</v>
      </c>
      <c r="B24" s="40" t="s">
        <v>0</v>
      </c>
    </row>
    <row r="25" spans="1:2" x14ac:dyDescent="0.3">
      <c r="A25" s="12" t="s">
        <v>127</v>
      </c>
      <c r="B25" s="40" t="s">
        <v>202</v>
      </c>
    </row>
    <row r="26" spans="1:2" x14ac:dyDescent="0.3">
      <c r="A26" s="12" t="s">
        <v>2</v>
      </c>
      <c r="B26" s="40" t="s">
        <v>182</v>
      </c>
    </row>
    <row r="27" spans="1:2" x14ac:dyDescent="0.3">
      <c r="A27" s="12" t="s">
        <v>156</v>
      </c>
      <c r="B27" s="40" t="s">
        <v>183</v>
      </c>
    </row>
    <row r="28" spans="1:2" x14ac:dyDescent="0.3">
      <c r="A28" s="12" t="s">
        <v>3</v>
      </c>
      <c r="B28" s="40" t="s">
        <v>3</v>
      </c>
    </row>
    <row r="29" spans="1:2" x14ac:dyDescent="0.3">
      <c r="A29" s="12" t="s">
        <v>157</v>
      </c>
      <c r="B29" s="40" t="s">
        <v>181</v>
      </c>
    </row>
    <row r="30" spans="1:2" x14ac:dyDescent="0.3">
      <c r="A30" s="12" t="s">
        <v>184</v>
      </c>
      <c r="B30" s="40" t="s">
        <v>203</v>
      </c>
    </row>
    <row r="31" spans="1:2" x14ac:dyDescent="0.3">
      <c r="A31" s="12" t="s">
        <v>175</v>
      </c>
      <c r="B31" s="40" t="s">
        <v>176</v>
      </c>
    </row>
    <row r="32" spans="1:2" x14ac:dyDescent="0.3">
      <c r="A32" s="12" t="s">
        <v>185</v>
      </c>
      <c r="B32" s="40" t="s">
        <v>204</v>
      </c>
    </row>
    <row r="33" spans="1:2" x14ac:dyDescent="0.3">
      <c r="A33" s="12" t="s">
        <v>186</v>
      </c>
      <c r="B33" s="40" t="s">
        <v>205</v>
      </c>
    </row>
    <row r="34" spans="1:2" x14ac:dyDescent="0.3">
      <c r="A34" s="12" t="s">
        <v>177</v>
      </c>
      <c r="B34" s="40" t="s">
        <v>178</v>
      </c>
    </row>
    <row r="35" spans="1:2" x14ac:dyDescent="0.3">
      <c r="A35" s="12" t="s">
        <v>160</v>
      </c>
      <c r="B35" s="40" t="s">
        <v>165</v>
      </c>
    </row>
    <row r="36" spans="1:2" x14ac:dyDescent="0.3">
      <c r="A36" s="12" t="s">
        <v>187</v>
      </c>
      <c r="B36" s="40" t="s">
        <v>206</v>
      </c>
    </row>
    <row r="37" spans="1:2" x14ac:dyDescent="0.3">
      <c r="A37" s="12" t="s">
        <v>66</v>
      </c>
      <c r="B37" s="40" t="s">
        <v>179</v>
      </c>
    </row>
    <row r="38" spans="1:2" x14ac:dyDescent="0.3">
      <c r="A38" s="12" t="s">
        <v>67</v>
      </c>
      <c r="B38" s="40" t="s">
        <v>180</v>
      </c>
    </row>
    <row r="39" spans="1:2" x14ac:dyDescent="0.3">
      <c r="A39" s="12" t="s">
        <v>147</v>
      </c>
      <c r="B39" s="40" t="s">
        <v>164</v>
      </c>
    </row>
    <row r="40" spans="1:2" x14ac:dyDescent="0.3">
      <c r="A40" s="12" t="s">
        <v>148</v>
      </c>
      <c r="B40" s="40" t="s">
        <v>207</v>
      </c>
    </row>
    <row r="41" spans="1:2" x14ac:dyDescent="0.3">
      <c r="A41" s="12" t="s">
        <v>68</v>
      </c>
      <c r="B41" s="40" t="s">
        <v>161</v>
      </c>
    </row>
    <row r="42" spans="1:2" x14ac:dyDescent="0.3">
      <c r="A42" s="12" t="s">
        <v>69</v>
      </c>
      <c r="B42" s="40" t="s">
        <v>162</v>
      </c>
    </row>
    <row r="43" spans="1:2" x14ac:dyDescent="0.3">
      <c r="A43" s="12" t="s">
        <v>70</v>
      </c>
      <c r="B43" s="40" t="s">
        <v>163</v>
      </c>
    </row>
    <row r="44" spans="1:2" x14ac:dyDescent="0.3">
      <c r="A44" s="38" t="s">
        <v>74</v>
      </c>
      <c r="B44" s="11" t="s">
        <v>208</v>
      </c>
    </row>
    <row r="45" spans="1:2" x14ac:dyDescent="0.3">
      <c r="A45" s="38" t="s">
        <v>174</v>
      </c>
      <c r="B45" s="11" t="s">
        <v>84</v>
      </c>
    </row>
    <row r="46" spans="1:2" x14ac:dyDescent="0.3">
      <c r="A46" s="38" t="s">
        <v>209</v>
      </c>
      <c r="B46" s="11" t="s">
        <v>210</v>
      </c>
    </row>
    <row r="47" spans="1:2" x14ac:dyDescent="0.3">
      <c r="A47" s="38" t="s">
        <v>211</v>
      </c>
      <c r="B47" s="11" t="s">
        <v>212</v>
      </c>
    </row>
    <row r="48" spans="1:2" x14ac:dyDescent="0.3">
      <c r="A48" s="12"/>
      <c r="B48" s="39"/>
    </row>
    <row r="49" spans="1:2" x14ac:dyDescent="0.3">
      <c r="A49" s="12"/>
      <c r="B49" s="39"/>
    </row>
    <row r="50" spans="1:2" x14ac:dyDescent="0.3">
      <c r="A50" s="12"/>
      <c r="B50" s="39"/>
    </row>
    <row r="51" spans="1:2" x14ac:dyDescent="0.3">
      <c r="A51" s="12"/>
      <c r="B51" s="39"/>
    </row>
    <row r="52" spans="1:2" x14ac:dyDescent="0.3">
      <c r="A52" s="12"/>
      <c r="B52" s="39"/>
    </row>
    <row r="53" spans="1:2" x14ac:dyDescent="0.3">
      <c r="A53" s="12"/>
      <c r="B53" s="39"/>
    </row>
    <row r="54" spans="1:2" x14ac:dyDescent="0.3">
      <c r="A54" s="12"/>
      <c r="B54" s="39"/>
    </row>
    <row r="55" spans="1:2" x14ac:dyDescent="0.3">
      <c r="A55" s="12"/>
      <c r="B55" s="39"/>
    </row>
    <row r="56" spans="1:2" x14ac:dyDescent="0.3">
      <c r="A56" s="12"/>
      <c r="B56" s="39"/>
    </row>
    <row r="57" spans="1:2" x14ac:dyDescent="0.3">
      <c r="A57" s="12"/>
      <c r="B57" s="39"/>
    </row>
    <row r="58" spans="1:2" x14ac:dyDescent="0.3">
      <c r="A58" s="12"/>
      <c r="B58" s="39"/>
    </row>
    <row r="59" spans="1:2" x14ac:dyDescent="0.3">
      <c r="A59" s="12"/>
      <c r="B59" s="39"/>
    </row>
    <row r="60" spans="1:2" x14ac:dyDescent="0.3">
      <c r="A60" s="12"/>
      <c r="B60" s="39"/>
    </row>
    <row r="61" spans="1:2" x14ac:dyDescent="0.3">
      <c r="A61" s="12"/>
      <c r="B61" s="39"/>
    </row>
    <row r="62" spans="1:2" x14ac:dyDescent="0.3">
      <c r="A62" s="12"/>
      <c r="B62" s="39"/>
    </row>
    <row r="63" spans="1:2" x14ac:dyDescent="0.3">
      <c r="A63" s="12"/>
      <c r="B63" s="39"/>
    </row>
    <row r="64" spans="1:2" x14ac:dyDescent="0.3">
      <c r="A64" s="12"/>
      <c r="B64" s="39"/>
    </row>
    <row r="65" spans="1:2" x14ac:dyDescent="0.3">
      <c r="A65" s="12"/>
      <c r="B65" s="39"/>
    </row>
    <row r="66" spans="1:2" x14ac:dyDescent="0.3">
      <c r="A66" s="12"/>
      <c r="B66" s="39"/>
    </row>
    <row r="67" spans="1:2" x14ac:dyDescent="0.3">
      <c r="A67" s="12"/>
      <c r="B67" s="39"/>
    </row>
    <row r="68" spans="1:2" x14ac:dyDescent="0.3">
      <c r="A68" s="12"/>
      <c r="B68" s="39"/>
    </row>
    <row r="69" spans="1:2" x14ac:dyDescent="0.3">
      <c r="A69" s="12"/>
      <c r="B69" s="39"/>
    </row>
    <row r="70" spans="1:2" x14ac:dyDescent="0.3">
      <c r="A70" s="12"/>
      <c r="B70" s="39"/>
    </row>
    <row r="71" spans="1:2" x14ac:dyDescent="0.3">
      <c r="A71" s="12"/>
      <c r="B71" s="35"/>
    </row>
    <row r="72" spans="1:2" x14ac:dyDescent="0.3">
      <c r="A72" s="12"/>
      <c r="B72" s="35"/>
    </row>
    <row r="73" spans="1:2" x14ac:dyDescent="0.3">
      <c r="A73" s="12"/>
      <c r="B73" s="35"/>
    </row>
    <row r="74" spans="1:2" x14ac:dyDescent="0.3">
      <c r="A74" s="12"/>
      <c r="B74" s="35"/>
    </row>
    <row r="75" spans="1:2" x14ac:dyDescent="0.3">
      <c r="A75" s="36"/>
      <c r="B75" s="35"/>
    </row>
    <row r="76" spans="1:2" x14ac:dyDescent="0.3">
      <c r="A76" s="12"/>
      <c r="B76" s="35"/>
    </row>
    <row r="77" spans="1:2" x14ac:dyDescent="0.3">
      <c r="A77" s="12"/>
      <c r="B77" s="35"/>
    </row>
    <row r="78" spans="1:2" x14ac:dyDescent="0.3">
      <c r="A78" s="12"/>
      <c r="B78" s="35"/>
    </row>
    <row r="79" spans="1:2" x14ac:dyDescent="0.3">
      <c r="A79" s="12"/>
      <c r="B79" s="35"/>
    </row>
    <row r="80" spans="1:2" x14ac:dyDescent="0.3">
      <c r="A80" s="12"/>
      <c r="B80" s="35"/>
    </row>
    <row r="81" spans="1:2" x14ac:dyDescent="0.3">
      <c r="A81" s="12"/>
      <c r="B81" s="35"/>
    </row>
    <row r="82" spans="1:2" x14ac:dyDescent="0.3">
      <c r="A82" s="12"/>
      <c r="B82" s="35"/>
    </row>
    <row r="83" spans="1:2" x14ac:dyDescent="0.3">
      <c r="A83" s="12"/>
      <c r="B83" s="35"/>
    </row>
    <row r="84" spans="1:2" x14ac:dyDescent="0.3">
      <c r="A84" s="12"/>
      <c r="B84" s="35"/>
    </row>
    <row r="85" spans="1:2" x14ac:dyDescent="0.3">
      <c r="A85" s="12"/>
      <c r="B85" s="35"/>
    </row>
    <row r="86" spans="1:2" x14ac:dyDescent="0.3">
      <c r="A86" s="12"/>
      <c r="B86" s="35"/>
    </row>
    <row r="87" spans="1:2" x14ac:dyDescent="0.3">
      <c r="A87" s="12"/>
      <c r="B87" s="35"/>
    </row>
    <row r="88" spans="1:2" x14ac:dyDescent="0.3">
      <c r="A88" s="12"/>
      <c r="B88" s="35"/>
    </row>
    <row r="89" spans="1:2" x14ac:dyDescent="0.3">
      <c r="A89" s="12"/>
      <c r="B89" s="35"/>
    </row>
    <row r="90" spans="1:2" x14ac:dyDescent="0.3">
      <c r="A90" s="12"/>
      <c r="B90" s="35"/>
    </row>
    <row r="91" spans="1:2" x14ac:dyDescent="0.3">
      <c r="A91" s="12"/>
      <c r="B91" s="35"/>
    </row>
    <row r="92" spans="1:2" x14ac:dyDescent="0.3">
      <c r="A92" s="12"/>
      <c r="B92" s="35"/>
    </row>
    <row r="93" spans="1:2" x14ac:dyDescent="0.3">
      <c r="A93" s="12"/>
      <c r="B93" s="35"/>
    </row>
    <row r="94" spans="1:2" x14ac:dyDescent="0.3">
      <c r="A94" s="35"/>
      <c r="B94" s="35"/>
    </row>
    <row r="95" spans="1:2" x14ac:dyDescent="0.3">
      <c r="A95" s="35"/>
      <c r="B95" s="35"/>
    </row>
    <row r="96" spans="1:2" x14ac:dyDescent="0.3">
      <c r="A96" s="35"/>
      <c r="B96" s="35"/>
    </row>
    <row r="97" spans="1:2" x14ac:dyDescent="0.3">
      <c r="A97" s="35"/>
      <c r="B97" s="35"/>
    </row>
    <row r="98" spans="1:2" x14ac:dyDescent="0.3">
      <c r="A98" s="35"/>
      <c r="B98" s="35"/>
    </row>
    <row r="99" spans="1:2" x14ac:dyDescent="0.3">
      <c r="A99" s="35"/>
      <c r="B99" s="35"/>
    </row>
    <row r="100" spans="1:2" x14ac:dyDescent="0.3">
      <c r="A100" s="35"/>
      <c r="B100" s="35"/>
    </row>
    <row r="101" spans="1:2" x14ac:dyDescent="0.3">
      <c r="A101" s="35"/>
      <c r="B101" s="35"/>
    </row>
    <row r="102" spans="1:2" x14ac:dyDescent="0.3">
      <c r="A102" s="35"/>
      <c r="B102" s="35"/>
    </row>
    <row r="103" spans="1:2" x14ac:dyDescent="0.3">
      <c r="A103" s="35"/>
      <c r="B103" s="35"/>
    </row>
    <row r="104" spans="1:2" x14ac:dyDescent="0.3">
      <c r="A104" s="35"/>
      <c r="B104" s="35"/>
    </row>
    <row r="105" spans="1:2" x14ac:dyDescent="0.3">
      <c r="A105" s="35"/>
      <c r="B105" s="35"/>
    </row>
    <row r="106" spans="1:2" x14ac:dyDescent="0.3">
      <c r="A106" s="35"/>
      <c r="B106" s="35"/>
    </row>
    <row r="107" spans="1:2" x14ac:dyDescent="0.3">
      <c r="A107" s="35"/>
      <c r="B107" s="35"/>
    </row>
    <row r="108" spans="1:2" x14ac:dyDescent="0.3">
      <c r="A108" s="35"/>
      <c r="B108" s="35"/>
    </row>
    <row r="109" spans="1:2" x14ac:dyDescent="0.3">
      <c r="A109" s="35"/>
      <c r="B109" s="35"/>
    </row>
    <row r="110" spans="1:2" x14ac:dyDescent="0.3">
      <c r="A110" s="35"/>
      <c r="B110" s="35"/>
    </row>
    <row r="111" spans="1:2" x14ac:dyDescent="0.3">
      <c r="A111" s="35"/>
      <c r="B111" s="35"/>
    </row>
    <row r="112" spans="1:2" x14ac:dyDescent="0.3">
      <c r="A112" s="35"/>
      <c r="B112" s="35"/>
    </row>
    <row r="113" spans="1:2" x14ac:dyDescent="0.3">
      <c r="A113" s="35"/>
      <c r="B113" s="35"/>
    </row>
    <row r="114" spans="1:2" x14ac:dyDescent="0.3">
      <c r="A114" s="35"/>
      <c r="B114" s="35"/>
    </row>
    <row r="115" spans="1:2" x14ac:dyDescent="0.3">
      <c r="A115" s="35"/>
      <c r="B115" s="35"/>
    </row>
    <row r="116" spans="1:2" x14ac:dyDescent="0.3">
      <c r="A116" s="35"/>
      <c r="B116" s="35"/>
    </row>
    <row r="117" spans="1:2" x14ac:dyDescent="0.3">
      <c r="A117" s="35"/>
      <c r="B117" s="35"/>
    </row>
    <row r="118" spans="1:2" x14ac:dyDescent="0.3">
      <c r="A118" s="35"/>
      <c r="B118" s="35"/>
    </row>
    <row r="119" spans="1:2" x14ac:dyDescent="0.3">
      <c r="A119" s="35"/>
      <c r="B119" s="35"/>
    </row>
    <row r="120" spans="1:2" x14ac:dyDescent="0.3">
      <c r="A120" s="35"/>
      <c r="B120" s="35"/>
    </row>
    <row r="121" spans="1:2" x14ac:dyDescent="0.3">
      <c r="A121" s="35"/>
      <c r="B121" s="35"/>
    </row>
    <row r="122" spans="1:2" x14ac:dyDescent="0.3">
      <c r="A122" s="35"/>
      <c r="B122" s="35"/>
    </row>
    <row r="123" spans="1:2" x14ac:dyDescent="0.3">
      <c r="A123" s="35"/>
      <c r="B123" s="35"/>
    </row>
    <row r="124" spans="1:2" x14ac:dyDescent="0.3">
      <c r="A124" s="35"/>
      <c r="B124" s="35"/>
    </row>
    <row r="125" spans="1:2" x14ac:dyDescent="0.3">
      <c r="A125" s="35"/>
      <c r="B125" s="35"/>
    </row>
    <row r="126" spans="1:2" x14ac:dyDescent="0.3">
      <c r="A126" s="35"/>
      <c r="B126" s="35"/>
    </row>
    <row r="127" spans="1:2" x14ac:dyDescent="0.3">
      <c r="A127" s="35"/>
      <c r="B127" s="35"/>
    </row>
    <row r="128" spans="1:2" x14ac:dyDescent="0.3">
      <c r="A128" s="35"/>
      <c r="B128" s="35"/>
    </row>
    <row r="129" spans="1:2" x14ac:dyDescent="0.3">
      <c r="A129" s="35"/>
      <c r="B129" s="35"/>
    </row>
    <row r="130" spans="1:2" x14ac:dyDescent="0.3">
      <c r="A130" s="35"/>
      <c r="B130" s="35"/>
    </row>
    <row r="131" spans="1:2" x14ac:dyDescent="0.3">
      <c r="A131" s="35"/>
      <c r="B131" s="35"/>
    </row>
    <row r="132" spans="1:2" x14ac:dyDescent="0.3">
      <c r="A132" s="35"/>
      <c r="B132" s="35"/>
    </row>
    <row r="133" spans="1:2" x14ac:dyDescent="0.3">
      <c r="A133" s="35"/>
      <c r="B133" s="35"/>
    </row>
    <row r="134" spans="1:2" x14ac:dyDescent="0.3">
      <c r="A134" s="35"/>
      <c r="B134" s="35"/>
    </row>
    <row r="135" spans="1:2" x14ac:dyDescent="0.3">
      <c r="A135" s="35"/>
      <c r="B135" s="35"/>
    </row>
    <row r="136" spans="1:2" x14ac:dyDescent="0.3">
      <c r="A136" s="35"/>
      <c r="B136" s="35"/>
    </row>
    <row r="137" spans="1:2" x14ac:dyDescent="0.3">
      <c r="A137" s="35"/>
      <c r="B137" s="35"/>
    </row>
    <row r="138" spans="1:2" x14ac:dyDescent="0.3">
      <c r="A138" s="35"/>
      <c r="B138" s="35"/>
    </row>
    <row r="139" spans="1:2" x14ac:dyDescent="0.3">
      <c r="A139" s="35"/>
      <c r="B139" s="35"/>
    </row>
    <row r="140" spans="1:2" x14ac:dyDescent="0.3">
      <c r="A140" s="35"/>
      <c r="B140" s="35"/>
    </row>
    <row r="141" spans="1:2" x14ac:dyDescent="0.3">
      <c r="A141" s="35"/>
      <c r="B141" s="35"/>
    </row>
    <row r="142" spans="1:2" x14ac:dyDescent="0.3">
      <c r="A142" s="35"/>
      <c r="B142" s="35"/>
    </row>
    <row r="143" spans="1:2" x14ac:dyDescent="0.3">
      <c r="A143" s="35"/>
      <c r="B143" s="35"/>
    </row>
    <row r="144" spans="1:2" x14ac:dyDescent="0.3">
      <c r="A144" s="35"/>
      <c r="B144" s="35"/>
    </row>
    <row r="145" spans="1:2" x14ac:dyDescent="0.3">
      <c r="A145" s="35"/>
      <c r="B145" s="35"/>
    </row>
    <row r="146" spans="1:2" x14ac:dyDescent="0.3">
      <c r="A146" s="35"/>
      <c r="B146" s="35"/>
    </row>
    <row r="147" spans="1:2" x14ac:dyDescent="0.3">
      <c r="A147" s="35"/>
      <c r="B147" s="35"/>
    </row>
    <row r="148" spans="1:2" x14ac:dyDescent="0.3">
      <c r="A148" s="35"/>
      <c r="B148" s="35"/>
    </row>
    <row r="149" spans="1:2" x14ac:dyDescent="0.3">
      <c r="A149" s="35"/>
      <c r="B149" s="35"/>
    </row>
    <row r="150" spans="1:2" x14ac:dyDescent="0.3">
      <c r="A150" s="35"/>
      <c r="B150" s="35"/>
    </row>
    <row r="151" spans="1:2" x14ac:dyDescent="0.3">
      <c r="A151" s="35"/>
      <c r="B151" s="35"/>
    </row>
    <row r="152" spans="1:2" x14ac:dyDescent="0.3">
      <c r="A152" s="35"/>
      <c r="B152" s="35"/>
    </row>
    <row r="153" spans="1:2" x14ac:dyDescent="0.3">
      <c r="A153" s="35"/>
      <c r="B153" s="35"/>
    </row>
    <row r="154" spans="1:2" x14ac:dyDescent="0.3">
      <c r="A154" s="35"/>
      <c r="B154" s="35"/>
    </row>
    <row r="155" spans="1:2" x14ac:dyDescent="0.3">
      <c r="A155" s="35"/>
      <c r="B155" s="35"/>
    </row>
    <row r="156" spans="1:2" x14ac:dyDescent="0.3">
      <c r="A156" s="35"/>
      <c r="B156" s="35"/>
    </row>
    <row r="157" spans="1:2" x14ac:dyDescent="0.3">
      <c r="A157" s="35"/>
      <c r="B157" s="35"/>
    </row>
    <row r="158" spans="1:2" x14ac:dyDescent="0.3">
      <c r="A158" s="35"/>
      <c r="B158" s="35"/>
    </row>
    <row r="159" spans="1:2" x14ac:dyDescent="0.3">
      <c r="A159" s="35"/>
      <c r="B159" s="35"/>
    </row>
    <row r="160" spans="1:2" x14ac:dyDescent="0.3">
      <c r="A160" s="35"/>
      <c r="B160" s="1"/>
    </row>
    <row r="161" spans="1:2" x14ac:dyDescent="0.3">
      <c r="A161" s="35"/>
      <c r="B161" s="1"/>
    </row>
    <row r="162" spans="1:2" x14ac:dyDescent="0.3">
      <c r="A162" s="35"/>
      <c r="B162" s="1"/>
    </row>
    <row r="163" spans="1:2" x14ac:dyDescent="0.3">
      <c r="A163" s="35"/>
      <c r="B163" s="1"/>
    </row>
    <row r="164" spans="1:2" x14ac:dyDescent="0.3">
      <c r="A164" s="35"/>
      <c r="B164" s="1"/>
    </row>
    <row r="165" spans="1:2" x14ac:dyDescent="0.3">
      <c r="A165" s="35"/>
      <c r="B165" s="1"/>
    </row>
    <row r="166" spans="1:2" x14ac:dyDescent="0.3">
      <c r="A166" s="35"/>
      <c r="B166" s="1"/>
    </row>
    <row r="167" spans="1:2" x14ac:dyDescent="0.3">
      <c r="A167" s="35"/>
      <c r="B167" s="1"/>
    </row>
    <row r="168" spans="1:2" x14ac:dyDescent="0.3">
      <c r="A168" s="35"/>
      <c r="B168" s="1"/>
    </row>
    <row r="169" spans="1:2" x14ac:dyDescent="0.3">
      <c r="A169" s="35"/>
      <c r="B169" s="1"/>
    </row>
  </sheetData>
  <conditionalFormatting sqref="A116:A169">
    <cfRule type="duplicateValues" dxfId="27" priority="12"/>
  </conditionalFormatting>
  <conditionalFormatting sqref="B54:B93 B117:B169">
    <cfRule type="duplicateValues" dxfId="26" priority="13"/>
  </conditionalFormatting>
  <conditionalFormatting sqref="A29 A34:A36 A39:A40 A44:A53">
    <cfRule type="duplicateValues" dxfId="25" priority="14"/>
  </conditionalFormatting>
  <conditionalFormatting sqref="A54:A93">
    <cfRule type="expression" dxfId="24" priority="11" stopIfTrue="1">
      <formula>$C55&lt;&gt;""</formula>
    </cfRule>
  </conditionalFormatting>
  <conditionalFormatting sqref="A94:A97">
    <cfRule type="duplicateValues" dxfId="23" priority="9"/>
  </conditionalFormatting>
  <conditionalFormatting sqref="B94:B97">
    <cfRule type="duplicateValues" dxfId="22" priority="10"/>
  </conditionalFormatting>
  <conditionalFormatting sqref="A98:A106">
    <cfRule type="duplicateValues" dxfId="21" priority="7"/>
  </conditionalFormatting>
  <conditionalFormatting sqref="B98:B106">
    <cfRule type="duplicateValues" dxfId="20" priority="8"/>
  </conditionalFormatting>
  <conditionalFormatting sqref="A107:A115">
    <cfRule type="duplicateValues" dxfId="19" priority="5"/>
  </conditionalFormatting>
  <conditionalFormatting sqref="B107:B115">
    <cfRule type="duplicateValues" dxfId="18" priority="6"/>
  </conditionalFormatting>
  <conditionalFormatting sqref="B116">
    <cfRule type="duplicateValues" dxfId="17" priority="4"/>
  </conditionalFormatting>
  <conditionalFormatting sqref="B46:B53 B2:B36">
    <cfRule type="duplicateValues" dxfId="16" priority="19"/>
  </conditionalFormatting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7030A0"/>
  </sheetPr>
  <dimension ref="B1:AP20"/>
  <sheetViews>
    <sheetView showGridLines="0" workbookViewId="0">
      <selection activeCell="Z26" sqref="Z26"/>
    </sheetView>
  </sheetViews>
  <sheetFormatPr defaultColWidth="8.88671875" defaultRowHeight="14.4" x14ac:dyDescent="0.3"/>
  <cols>
    <col min="1" max="1" width="2.6640625" customWidth="1"/>
    <col min="2" max="2" width="17.44140625" customWidth="1"/>
    <col min="3" max="3" width="15.5546875" customWidth="1"/>
    <col min="4" max="4" width="15.88671875" customWidth="1"/>
    <col min="5" max="5" width="7.88671875" customWidth="1"/>
    <col min="6" max="6" width="25.6640625" customWidth="1"/>
    <col min="7" max="7" width="17.88671875" bestFit="1" customWidth="1"/>
    <col min="8" max="8" width="4.6640625" customWidth="1"/>
    <col min="9" max="9" width="7.6640625" customWidth="1"/>
    <col min="10" max="10" width="5.33203125" customWidth="1"/>
    <col min="11" max="11" width="6.109375" customWidth="1"/>
    <col min="12" max="12" width="3.88671875" customWidth="1"/>
    <col min="13" max="13" width="15.33203125" customWidth="1"/>
    <col min="14" max="14" width="26.109375" customWidth="1"/>
    <col min="15" max="15" width="6.6640625" customWidth="1"/>
    <col min="16" max="16" width="12.33203125" customWidth="1"/>
    <col min="17" max="17" width="3.6640625" customWidth="1"/>
    <col min="18" max="18" width="8.88671875" customWidth="1"/>
    <col min="19" max="19" width="15.33203125" customWidth="1"/>
    <col min="33" max="33" width="16.109375" bestFit="1" customWidth="1"/>
  </cols>
  <sheetData>
    <row r="1" spans="2:42" ht="18" customHeight="1" x14ac:dyDescent="0.3">
      <c r="C1" s="1"/>
      <c r="D1" s="1"/>
      <c r="E1" s="1"/>
      <c r="F1" s="1"/>
      <c r="G1" s="1"/>
      <c r="H1" s="1"/>
      <c r="I1" s="1"/>
      <c r="J1" s="1"/>
      <c r="K1" s="1"/>
      <c r="L1" s="1"/>
      <c r="M1" s="7" t="s">
        <v>68</v>
      </c>
      <c r="N1" s="5">
        <v>44893</v>
      </c>
    </row>
    <row r="2" spans="2:42" ht="18" customHeight="1" x14ac:dyDescent="0.3">
      <c r="C2" s="1"/>
      <c r="D2" s="1"/>
      <c r="E2" s="1"/>
      <c r="F2" s="1"/>
      <c r="G2" s="1"/>
      <c r="H2" s="1"/>
      <c r="I2" s="1"/>
      <c r="J2" s="1"/>
      <c r="K2" s="1"/>
      <c r="L2" s="1"/>
      <c r="M2" s="7" t="s">
        <v>69</v>
      </c>
      <c r="N2" s="4"/>
    </row>
    <row r="3" spans="2:42" ht="18" customHeight="1" thickBot="1" x14ac:dyDescent="0.35">
      <c r="C3" s="1"/>
      <c r="D3" s="1"/>
      <c r="E3" s="1"/>
      <c r="F3" s="1"/>
      <c r="G3" s="1"/>
      <c r="H3" s="1"/>
      <c r="I3" s="1"/>
      <c r="J3" s="1"/>
      <c r="K3" s="1"/>
      <c r="L3" s="1"/>
      <c r="M3" s="6" t="s">
        <v>70</v>
      </c>
      <c r="N3" s="4" t="s">
        <v>71</v>
      </c>
      <c r="AO3" t="s">
        <v>62</v>
      </c>
      <c r="AP3" s="2">
        <v>54</v>
      </c>
    </row>
    <row r="4" spans="2:42" ht="28.95" customHeight="1" thickTop="1" thickBot="1" x14ac:dyDescent="0.35">
      <c r="B4" s="3" t="s">
        <v>73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2:42" ht="15" thickTop="1" x14ac:dyDescent="0.3">
      <c r="AH5" s="99" t="s">
        <v>87</v>
      </c>
      <c r="AI5" s="100"/>
      <c r="AJ5" s="101"/>
      <c r="AL5" s="99" t="s">
        <v>85</v>
      </c>
      <c r="AM5" s="100"/>
      <c r="AN5" s="100"/>
      <c r="AO5" s="100"/>
      <c r="AP5" s="101"/>
    </row>
    <row r="7" spans="2:42" ht="13.2" customHeight="1" x14ac:dyDescent="0.3">
      <c r="AJ7" s="102" t="s">
        <v>88</v>
      </c>
      <c r="AK7" s="103"/>
      <c r="AL7" s="104"/>
      <c r="AM7" s="19"/>
      <c r="AN7" s="2" t="s">
        <v>86</v>
      </c>
    </row>
    <row r="8" spans="2:42" x14ac:dyDescent="0.3">
      <c r="B8" s="2" t="s">
        <v>130</v>
      </c>
      <c r="C8" s="30"/>
      <c r="AH8" s="2"/>
      <c r="AK8" s="18" t="s">
        <v>84</v>
      </c>
      <c r="AN8" s="20">
        <v>2</v>
      </c>
    </row>
    <row r="9" spans="2:42" x14ac:dyDescent="0.3">
      <c r="B9" s="31" t="s">
        <v>129</v>
      </c>
      <c r="C9" s="30"/>
      <c r="AG9" s="33" t="s">
        <v>130</v>
      </c>
      <c r="AI9" s="8"/>
      <c r="AJ9" s="8"/>
      <c r="AN9" s="21">
        <v>1</v>
      </c>
    </row>
    <row r="10" spans="2:42" ht="16.95" customHeight="1" x14ac:dyDescent="0.3">
      <c r="B10" s="32" t="s">
        <v>128</v>
      </c>
      <c r="C10" s="30"/>
      <c r="AG10" s="34" t="s">
        <v>136</v>
      </c>
    </row>
    <row r="11" spans="2:42" ht="16.95" customHeight="1" x14ac:dyDescent="0.3">
      <c r="B11" s="30"/>
      <c r="C11" s="30"/>
      <c r="AG11" s="9" t="s">
        <v>137</v>
      </c>
    </row>
    <row r="12" spans="2:42" ht="16.95" customHeight="1" x14ac:dyDescent="0.3">
      <c r="B12" s="30"/>
      <c r="C12" s="30"/>
    </row>
    <row r="13" spans="2:42" x14ac:dyDescent="0.3">
      <c r="B13" s="30"/>
      <c r="C13" s="30"/>
    </row>
    <row r="14" spans="2:42" x14ac:dyDescent="0.3">
      <c r="B14" s="30"/>
      <c r="C14" s="30"/>
    </row>
    <row r="15" spans="2:42" x14ac:dyDescent="0.3">
      <c r="B15" s="30"/>
      <c r="C15" s="30"/>
    </row>
    <row r="16" spans="2:42" x14ac:dyDescent="0.3">
      <c r="B16" s="30"/>
      <c r="C16" s="30"/>
    </row>
    <row r="17" spans="3:12" x14ac:dyDescent="0.3">
      <c r="C17" s="30"/>
    </row>
    <row r="18" spans="3:12" x14ac:dyDescent="0.3">
      <c r="C18" s="30"/>
      <c r="F18" s="16"/>
      <c r="G18" s="16"/>
      <c r="H18" s="16"/>
    </row>
    <row r="20" spans="3:12" x14ac:dyDescent="0.3">
      <c r="H20" s="17"/>
      <c r="I20" s="17"/>
      <c r="J20" s="17"/>
      <c r="K20" s="17"/>
      <c r="L20" s="17"/>
    </row>
  </sheetData>
  <mergeCells count="3">
    <mergeCell ref="AL5:AP5"/>
    <mergeCell ref="AJ7:AL7"/>
    <mergeCell ref="AH5:AJ5"/>
  </mergeCells>
  <conditionalFormatting sqref="AG11">
    <cfRule type="expression" dxfId="11" priority="1" stopIfTrue="1">
      <formula>$C11&lt;&gt;""</formula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/>
  <dimension ref="A1:C5"/>
  <sheetViews>
    <sheetView showGridLines="0" workbookViewId="0">
      <selection activeCell="C13" sqref="C13"/>
    </sheetView>
  </sheetViews>
  <sheetFormatPr defaultColWidth="8.88671875" defaultRowHeight="14.4" x14ac:dyDescent="0.3"/>
  <cols>
    <col min="1" max="1" width="18.33203125" customWidth="1"/>
    <col min="4" max="4" width="12.33203125" customWidth="1"/>
  </cols>
  <sheetData>
    <row r="1" spans="1:3" x14ac:dyDescent="0.3">
      <c r="A1" s="15" t="s">
        <v>65</v>
      </c>
      <c r="B1" s="1" cm="1">
        <f t="array" ref="B1">_xlfn.IFS(IsDaysGantt,1,IsWeeksGant,7,IsMonthsGantt,30)</f>
        <v>7</v>
      </c>
      <c r="C1" s="1">
        <v>2</v>
      </c>
    </row>
    <row r="2" spans="1:3" x14ac:dyDescent="0.3">
      <c r="A2" s="15" t="s">
        <v>72</v>
      </c>
      <c r="B2" t="b">
        <v>0</v>
      </c>
    </row>
    <row r="3" spans="1:3" x14ac:dyDescent="0.3">
      <c r="A3" s="15" t="s">
        <v>83</v>
      </c>
      <c r="B3" t="b">
        <f>RadioBtnResult=1</f>
        <v>0</v>
      </c>
    </row>
    <row r="4" spans="1:3" x14ac:dyDescent="0.3">
      <c r="A4" s="15" t="s">
        <v>81</v>
      </c>
      <c r="B4" s="2" t="b">
        <f>RadioBtnResult=2</f>
        <v>1</v>
      </c>
    </row>
    <row r="5" spans="1:3" x14ac:dyDescent="0.3">
      <c r="A5" s="15" t="s">
        <v>82</v>
      </c>
      <c r="B5" t="b">
        <f>RadioBtnResult=3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</vt:i4>
      </vt:variant>
    </vt:vector>
  </HeadingPairs>
  <TitlesOfParts>
    <vt:vector size="20" baseType="lpstr">
      <vt:lpstr>Macro-planing projet</vt:lpstr>
      <vt:lpstr>DaysToIncrement</vt:lpstr>
      <vt:lpstr>FirstMonthTheme</vt:lpstr>
      <vt:lpstr>GanttColor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ProjectStart</vt:lpstr>
      <vt:lpstr>RadioBtnResult</vt:lpstr>
      <vt:lpstr>ScrollingIncrement</vt:lpstr>
      <vt:lpstr>SecondMonthTheme</vt:lpstr>
      <vt:lpstr>TodayFormat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Sara AIT TALEB</cp:lastModifiedBy>
  <cp:lastPrinted>2023-04-05T10:50:05Z</cp:lastPrinted>
  <dcterms:created xsi:type="dcterms:W3CDTF">2023-04-01T16:52:07Z</dcterms:created>
  <dcterms:modified xsi:type="dcterms:W3CDTF">2024-12-23T15:21:00Z</dcterms:modified>
</cp:coreProperties>
</file>
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D:\BGDP\Kit du chef de projet\KitManagementProjet301224\05-Contrôle\"/>
    </mc:Choice>
  </mc:AlternateContent>
  <xr:revisionPtr revIDLastSave="0" documentId="13_ncr:1_{6E327B67-2D74-4FF9-8450-68C0FA9B08DE}" xr6:coauthVersionLast="47" xr6:coauthVersionMax="47" xr10:uidLastSave="{00000000-0000-0000-0000-000000000000}"/>
  <bookViews>
    <workbookView xWindow="-108" yWindow="-108" windowWidth="23256" windowHeight="12576" tabRatio="654" firstSheet="1" activeTab="4" xr2:uid="{00000000-000D-0000-FFFF-FFFF00000000}"/>
  </bookViews>
  <sheets>
    <sheet name="Guide d'utilisation" sheetId="6" state="veryHidden" r:id="rId1"/>
    <sheet name="VP" sheetId="7" r:id="rId2"/>
    <sheet name="CR" sheetId="4" r:id="rId3"/>
    <sheet name="VA" sheetId="3" r:id="rId4"/>
    <sheet name="Suivi Budget - Rapport VA" sheetId="2" r:id="rId5"/>
    <sheet name="Rapport Avancement Projet" sheetId="8" r:id="rId6"/>
    <sheet name="Langue" sheetId="9" state="veryHidden" r:id="rId7"/>
  </sheets>
  <definedNames>
    <definedName name="holidays" localSheetId="5">OFFSET(#REF!,1,0,COUNTA(#REF!),1)</definedName>
    <definedName name="holidays">OFFSET(#REF!,1,0,COUNTA(#REF!),1)</definedName>
    <definedName name="Langue">VP!$O$5</definedName>
    <definedName name="liste1">#REF!</definedName>
    <definedName name="_xlnm.Print_Area" localSheetId="2">CR!$B$6:$P$32</definedName>
    <definedName name="_xlnm.Print_Area" localSheetId="5">'Rapport Avancement Projet'!$B$9:$S$207</definedName>
    <definedName name="_xlnm.Print_Area" localSheetId="4">'Suivi Budget - Rapport VA'!$B$6:$P$37</definedName>
    <definedName name="_xlnm.Print_Area" localSheetId="3">VA!$B$7:$P$32</definedName>
    <definedName name="_xlnm.Print_Area" localSheetId="1">VP!$B$9:$P$31</definedName>
    <definedName name="risk">#REF!</definedName>
    <definedName name="valuevx">42.314159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78" i="8" l="1"/>
  <c r="F79" i="8"/>
  <c r="K79" i="8" s="1"/>
  <c r="F78" i="8"/>
  <c r="K78" i="8" s="1"/>
  <c r="G79" i="8"/>
  <c r="G80" i="8"/>
  <c r="G81" i="8"/>
  <c r="G82" i="8"/>
  <c r="G83" i="8"/>
  <c r="G84" i="8"/>
  <c r="G85" i="8"/>
  <c r="G86" i="8"/>
  <c r="G87" i="8"/>
  <c r="G88" i="8"/>
  <c r="G89" i="8"/>
  <c r="G90" i="8"/>
  <c r="G91" i="8"/>
  <c r="G92" i="8"/>
  <c r="G93" i="8"/>
  <c r="G94" i="8"/>
  <c r="G95" i="8"/>
  <c r="F80" i="8"/>
  <c r="F81" i="8"/>
  <c r="F82" i="8"/>
  <c r="K82" i="8" s="1"/>
  <c r="Q82" i="8" s="1"/>
  <c r="F83" i="8"/>
  <c r="K83" i="8" s="1"/>
  <c r="F84" i="8"/>
  <c r="K84" i="8" s="1"/>
  <c r="F85" i="8"/>
  <c r="F86" i="8"/>
  <c r="K86" i="8" s="1"/>
  <c r="F87" i="8"/>
  <c r="K87" i="8" s="1"/>
  <c r="F88" i="8"/>
  <c r="F89" i="8"/>
  <c r="F90" i="8"/>
  <c r="K90" i="8" s="1"/>
  <c r="F91" i="8"/>
  <c r="K91" i="8" s="1"/>
  <c r="F92" i="8"/>
  <c r="F93" i="8"/>
  <c r="F94" i="8"/>
  <c r="K94" i="8" s="1"/>
  <c r="F95" i="8"/>
  <c r="D11" i="7"/>
  <c r="E78" i="8" s="1"/>
  <c r="E30" i="4"/>
  <c r="E31" i="4" s="1"/>
  <c r="K80" i="8"/>
  <c r="Q13" i="3"/>
  <c r="Q14" i="3"/>
  <c r="Q15" i="3"/>
  <c r="Q16" i="3"/>
  <c r="Q17" i="3"/>
  <c r="Q18" i="3"/>
  <c r="Q19" i="3"/>
  <c r="Q20" i="3"/>
  <c r="Q21" i="3"/>
  <c r="Q22" i="3"/>
  <c r="Q23" i="3"/>
  <c r="Q24" i="3"/>
  <c r="Q25" i="3"/>
  <c r="Q26" i="3"/>
  <c r="Q27" i="3"/>
  <c r="Q28" i="3"/>
  <c r="K85" i="8"/>
  <c r="K92" i="8"/>
  <c r="K93" i="8"/>
  <c r="E94" i="8"/>
  <c r="B94" i="8"/>
  <c r="B78" i="8"/>
  <c r="B79" i="8"/>
  <c r="B80" i="8"/>
  <c r="B81" i="8"/>
  <c r="B82" i="8"/>
  <c r="B83" i="8"/>
  <c r="B84" i="8"/>
  <c r="B85" i="8"/>
  <c r="B86" i="8"/>
  <c r="B87" i="8"/>
  <c r="B88" i="8"/>
  <c r="B89" i="8"/>
  <c r="B90" i="8"/>
  <c r="B91" i="8"/>
  <c r="B92" i="8"/>
  <c r="B93" i="8"/>
  <c r="K81" i="8"/>
  <c r="O81" i="8" s="1"/>
  <c r="K88" i="8"/>
  <c r="K89" i="8"/>
  <c r="I95" i="8"/>
  <c r="D24" i="4"/>
  <c r="D20" i="7"/>
  <c r="D22" i="3" s="1"/>
  <c r="O85" i="8" l="1"/>
  <c r="D13" i="3"/>
  <c r="Q78" i="8"/>
  <c r="Q83" i="8"/>
  <c r="Q87" i="8"/>
  <c r="S82" i="8"/>
  <c r="S88" i="8"/>
  <c r="Q88" i="8"/>
  <c r="Q81" i="8"/>
  <c r="S83" i="8"/>
  <c r="S89" i="8"/>
  <c r="S86" i="8"/>
  <c r="S84" i="8"/>
  <c r="S94" i="8"/>
  <c r="S93" i="8"/>
  <c r="S78" i="8"/>
  <c r="M92" i="8"/>
  <c r="S91" i="8"/>
  <c r="S90" i="8"/>
  <c r="S79" i="8"/>
  <c r="S80" i="8"/>
  <c r="Q80" i="8"/>
  <c r="Q86" i="8"/>
  <c r="S87" i="8"/>
  <c r="Q85" i="8"/>
  <c r="Q84" i="8"/>
  <c r="S85" i="8"/>
  <c r="Q79" i="8"/>
  <c r="S81" i="8"/>
  <c r="Q94" i="8"/>
  <c r="Q93" i="8"/>
  <c r="Q92" i="8"/>
  <c r="Q91" i="8"/>
  <c r="S92" i="8"/>
  <c r="Q90" i="8"/>
  <c r="Q89" i="8"/>
  <c r="M89" i="8"/>
  <c r="O93" i="8"/>
  <c r="M93" i="8"/>
  <c r="M91" i="8"/>
  <c r="O91" i="8"/>
  <c r="O94" i="8"/>
  <c r="M94" i="8"/>
  <c r="M90" i="8"/>
  <c r="O90" i="8"/>
  <c r="E87" i="8"/>
  <c r="O89" i="8"/>
  <c r="O92" i="8"/>
  <c r="M82" i="8"/>
  <c r="K95" i="8"/>
  <c r="M86" i="8"/>
  <c r="M78" i="8"/>
  <c r="M83" i="8"/>
  <c r="M79" i="8"/>
  <c r="M87" i="8"/>
  <c r="O78" i="8"/>
  <c r="O79" i="8"/>
  <c r="O86" i="8"/>
  <c r="O87" i="8"/>
  <c r="O82" i="8"/>
  <c r="O83" i="8"/>
  <c r="M80" i="8"/>
  <c r="M84" i="8"/>
  <c r="M88" i="8"/>
  <c r="O80" i="8"/>
  <c r="M81" i="8"/>
  <c r="O84" i="8"/>
  <c r="M85" i="8"/>
  <c r="O88" i="8"/>
  <c r="D13" i="4"/>
  <c r="D14" i="4"/>
  <c r="D15" i="4"/>
  <c r="D16" i="4"/>
  <c r="D17" i="4"/>
  <c r="D18" i="4"/>
  <c r="D19" i="4"/>
  <c r="D20" i="4"/>
  <c r="D21" i="4"/>
  <c r="D22" i="4"/>
  <c r="D23" i="4"/>
  <c r="D25" i="4"/>
  <c r="D26" i="4"/>
  <c r="D27" i="4"/>
  <c r="D12" i="4"/>
  <c r="P29" i="7"/>
  <c r="O29" i="7"/>
  <c r="N29" i="7"/>
  <c r="M29" i="7"/>
  <c r="L29" i="7"/>
  <c r="K29" i="7"/>
  <c r="J29" i="7"/>
  <c r="I29" i="7"/>
  <c r="H29" i="7"/>
  <c r="G29" i="7"/>
  <c r="F29" i="7"/>
  <c r="E29" i="7"/>
  <c r="D26" i="7"/>
  <c r="D25" i="7"/>
  <c r="D24" i="7"/>
  <c r="D23" i="7"/>
  <c r="D22" i="7"/>
  <c r="D21" i="7"/>
  <c r="D19" i="7"/>
  <c r="D18" i="7"/>
  <c r="D17" i="7"/>
  <c r="D16" i="7"/>
  <c r="D15" i="7"/>
  <c r="D14" i="7"/>
  <c r="D13" i="7"/>
  <c r="D12" i="7"/>
  <c r="E79" i="8" s="1"/>
  <c r="F30" i="4"/>
  <c r="F31" i="4" s="1"/>
  <c r="F27" i="2" s="1"/>
  <c r="E27" i="2"/>
  <c r="G30" i="4"/>
  <c r="O30" i="4"/>
  <c r="M30" i="4"/>
  <c r="K30" i="4"/>
  <c r="S95" i="8" l="1"/>
  <c r="Q95" i="8"/>
  <c r="D19" i="3"/>
  <c r="E84" i="8"/>
  <c r="D28" i="3"/>
  <c r="E93" i="8"/>
  <c r="D20" i="3"/>
  <c r="E85" i="8"/>
  <c r="D17" i="3"/>
  <c r="E82" i="8"/>
  <c r="D21" i="3"/>
  <c r="E86" i="8"/>
  <c r="D26" i="3"/>
  <c r="E91" i="8"/>
  <c r="D15" i="3"/>
  <c r="E80" i="8"/>
  <c r="D24" i="3"/>
  <c r="E89" i="8"/>
  <c r="D16" i="3"/>
  <c r="E81" i="8"/>
  <c r="D25" i="3"/>
  <c r="E90" i="8"/>
  <c r="D14" i="3"/>
  <c r="D18" i="3"/>
  <c r="E83" i="8"/>
  <c r="D23" i="3"/>
  <c r="E88" i="8"/>
  <c r="D27" i="3"/>
  <c r="E92" i="8"/>
  <c r="O95" i="8"/>
  <c r="M95" i="8"/>
  <c r="E30" i="7"/>
  <c r="E29" i="2" s="1"/>
  <c r="D29" i="7"/>
  <c r="E30" i="2" s="1"/>
  <c r="P30" i="7"/>
  <c r="P29" i="2" s="1"/>
  <c r="F30" i="7"/>
  <c r="F29" i="2" s="1"/>
  <c r="J30" i="7"/>
  <c r="J29" i="2" s="1"/>
  <c r="N30" i="7"/>
  <c r="N29" i="2" s="1"/>
  <c r="I30" i="7"/>
  <c r="I29" i="2" s="1"/>
  <c r="G30" i="7"/>
  <c r="G29" i="2" s="1"/>
  <c r="K30" i="7"/>
  <c r="K29" i="2" s="1"/>
  <c r="O30" i="7"/>
  <c r="O29" i="2" s="1"/>
  <c r="M30" i="7"/>
  <c r="M29" i="2" s="1"/>
  <c r="H30" i="7"/>
  <c r="H29" i="2" s="1"/>
  <c r="L30" i="7"/>
  <c r="L29" i="2" s="1"/>
  <c r="G31" i="4"/>
  <c r="E31" i="3" l="1"/>
  <c r="E32" i="3" s="1"/>
  <c r="E28" i="2" s="1"/>
  <c r="F31" i="3"/>
  <c r="E95" i="8"/>
  <c r="E36" i="2" l="1"/>
  <c r="E33" i="2"/>
  <c r="E34" i="2"/>
  <c r="E35" i="2"/>
  <c r="E37" i="2" s="1"/>
  <c r="H31" i="3" l="1"/>
  <c r="J31" i="3"/>
  <c r="H30" i="4"/>
  <c r="I30" i="4"/>
  <c r="J30" i="4"/>
  <c r="L30" i="4"/>
  <c r="N30" i="4"/>
  <c r="P30" i="4"/>
  <c r="I31" i="4" l="1"/>
  <c r="L31" i="4"/>
  <c r="H31" i="4"/>
  <c r="G27" i="2"/>
  <c r="J31" i="4"/>
  <c r="P31" i="4"/>
  <c r="O31" i="4"/>
  <c r="K31" i="4"/>
  <c r="M31" i="3"/>
  <c r="N31" i="4"/>
  <c r="M31" i="4"/>
  <c r="I27" i="2" l="1"/>
  <c r="K27" i="2"/>
  <c r="N27" i="2"/>
  <c r="L27" i="2"/>
  <c r="P27" i="2"/>
  <c r="O27" i="2"/>
  <c r="M27" i="2"/>
  <c r="J27" i="2"/>
  <c r="H27" i="2"/>
  <c r="K31" i="3"/>
  <c r="I31" i="3"/>
  <c r="G31" i="3"/>
  <c r="L31" i="3"/>
  <c r="P31" i="3"/>
  <c r="O31" i="3"/>
  <c r="N31" i="3"/>
  <c r="N32" i="3" l="1"/>
  <c r="G32" i="3"/>
  <c r="J32" i="3"/>
  <c r="I32" i="3"/>
  <c r="P32" i="3"/>
  <c r="O32" i="3"/>
  <c r="F32" i="3"/>
  <c r="L32" i="3"/>
  <c r="K32" i="3"/>
  <c r="H32" i="3"/>
  <c r="M32" i="3"/>
  <c r="Q31" i="3"/>
  <c r="P28" i="2" l="1"/>
  <c r="L28" i="2"/>
  <c r="L33" i="2" s="1"/>
  <c r="M28" i="2"/>
  <c r="M33" i="2" s="1"/>
  <c r="F28" i="2"/>
  <c r="J28" i="2"/>
  <c r="K28" i="2"/>
  <c r="I28" i="2"/>
  <c r="H28" i="2"/>
  <c r="O28" i="2"/>
  <c r="G28" i="2"/>
  <c r="G33" i="2" s="1"/>
  <c r="N28" i="2"/>
  <c r="F36" i="2" l="1"/>
  <c r="G35" i="2"/>
  <c r="G37" i="2" s="1"/>
  <c r="N36" i="2"/>
  <c r="O36" i="2"/>
  <c r="M36" i="2"/>
  <c r="P36" i="2"/>
  <c r="H36" i="2"/>
  <c r="G34" i="2"/>
  <c r="G36" i="2"/>
  <c r="K34" i="2"/>
  <c r="K36" i="2"/>
  <c r="L34" i="2"/>
  <c r="L36" i="2"/>
  <c r="I35" i="2"/>
  <c r="I37" i="2" s="1"/>
  <c r="I36" i="2"/>
  <c r="J34" i="2"/>
  <c r="J36" i="2"/>
  <c r="H34" i="2"/>
  <c r="F33" i="2"/>
  <c r="F34" i="2"/>
  <c r="N33" i="2"/>
  <c r="N34" i="2"/>
  <c r="O33" i="2"/>
  <c r="O34" i="2"/>
  <c r="I33" i="2"/>
  <c r="I34" i="2"/>
  <c r="M35" i="2"/>
  <c r="M37" i="2" s="1"/>
  <c r="M34" i="2"/>
  <c r="P35" i="2"/>
  <c r="P37" i="2" s="1"/>
  <c r="P34" i="2"/>
  <c r="P33" i="2"/>
  <c r="H35" i="2"/>
  <c r="H37" i="2" s="1"/>
  <c r="J35" i="2"/>
  <c r="J37" i="2" s="1"/>
  <c r="L35" i="2"/>
  <c r="L37" i="2" s="1"/>
  <c r="J33" i="2"/>
  <c r="H33" i="2"/>
  <c r="K33" i="2"/>
  <c r="K35" i="2"/>
  <c r="K37" i="2" s="1"/>
  <c r="F35" i="2"/>
  <c r="F37" i="2" s="1"/>
  <c r="N35" i="2"/>
  <c r="N37" i="2" s="1"/>
  <c r="O35" i="2"/>
  <c r="O3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10" authorId="0" shapeId="0" xr:uid="{14BBAAAD-EFAE-4AA0-81AA-73A79B9E4C7D}">
      <text>
        <r>
          <rPr>
            <sz val="8"/>
            <color indexed="81"/>
            <rFont val="Tahoma"/>
            <family val="2"/>
          </rPr>
          <t>Work Breakdown Structure (WBS)</t>
        </r>
      </text>
    </comment>
    <comment ref="D10" authorId="0" shapeId="0" xr:uid="{1C1703A4-DEE5-48B2-8692-D2AB37EC651B}">
      <text>
        <r>
          <rPr>
            <sz val="8"/>
            <color indexed="81"/>
            <rFont val="Tahoma"/>
            <family val="2"/>
          </rPr>
          <t xml:space="preserve">Budget estimé à l'achévement de la tâche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11" authorId="0" shapeId="0" xr:uid="{00000000-0006-0000-0100-000001000000}">
      <text>
        <r>
          <rPr>
            <sz val="8"/>
            <color indexed="81"/>
            <rFont val="Tahoma"/>
            <family val="2"/>
          </rPr>
          <t>Work Breakdown Structure (WBS) ou Sturcture de Découpage du Projet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12" authorId="0" shapeId="0" xr:uid="{00000000-0006-0000-0200-000001000000}">
      <text>
        <r>
          <rPr>
            <sz val="8"/>
            <color indexed="81"/>
            <rFont val="Tahoma"/>
            <family val="2"/>
          </rPr>
          <t>Work Breakdown Structure (WBS)</t>
        </r>
      </text>
    </comment>
    <comment ref="D12" authorId="0" shapeId="0" xr:uid="{00000000-0006-0000-0200-000002000000}">
      <text>
        <r>
          <rPr>
            <sz val="8"/>
            <color indexed="81"/>
            <rFont val="Tahoma"/>
            <family val="2"/>
          </rPr>
          <t>Budget estimé à l'achévement de la tâche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25" authorId="0" shapeId="0" xr:uid="{00000000-0006-0000-0300-000001000000}">
      <text>
        <r>
          <rPr>
            <sz val="8"/>
            <color indexed="81"/>
            <rFont val="Tahoma"/>
            <family val="2"/>
          </rPr>
          <t>Work Breakdown Structure (WBS)</t>
        </r>
      </text>
    </comment>
    <comment ref="D25" authorId="0" shapeId="0" xr:uid="{00000000-0006-0000-0300-000002000000}">
      <text>
        <r>
          <rPr>
            <sz val="8"/>
            <color indexed="81"/>
            <rFont val="Tahoma"/>
            <family val="2"/>
          </rPr>
          <t xml:space="preserve">Budget à l'achevement de la tâche </t>
        </r>
      </text>
    </comment>
  </commentList>
</comments>
</file>

<file path=xl/sharedStrings.xml><?xml version="1.0" encoding="utf-8"?>
<sst xmlns="http://schemas.openxmlformats.org/spreadsheetml/2006/main" count="1124" uniqueCount="544">
  <si>
    <t>Coût Final Estimé (CFE) = BAA/IPC</t>
  </si>
  <si>
    <t>Indicateur de Performance des Coûts(IPC = VA/CR)</t>
  </si>
  <si>
    <t>Ecart de Délais (ED = VA - VP)</t>
  </si>
  <si>
    <t>Ecart de Coût (EC = VA - CR)</t>
  </si>
  <si>
    <t>Métriques de performance du projet</t>
  </si>
  <si>
    <t>Valeur acquise cumulée (VA)</t>
  </si>
  <si>
    <t>Coût Réel cumulé  (CR)</t>
  </si>
  <si>
    <t>Coût Réel et Valeur Acquise</t>
  </si>
  <si>
    <t>VP cumulée</t>
  </si>
  <si>
    <t>← Vous pouvez changer les étiquettes pour les périodes (par exemple la Semaine 1/2/3, Jan / Fév / Mar, etc.)</t>
  </si>
  <si>
    <t>Nom tâche</t>
  </si>
  <si>
    <t>SDP</t>
  </si>
  <si>
    <t>Observations:</t>
  </si>
  <si>
    <t>Pour la période:</t>
  </si>
  <si>
    <t>[42]</t>
  </si>
  <si>
    <t>Date:</t>
  </si>
  <si>
    <t>Préparé par:</t>
  </si>
  <si>
    <t>[Nom du projet]</t>
  </si>
  <si>
    <t>Valeur Acquise Cumulée (VA)</t>
  </si>
  <si>
    <t>VP=Coût budgétisé du travail prévu</t>
  </si>
  <si>
    <t>CR=Coût réellement consommé pour le travail effectué</t>
  </si>
  <si>
    <t>Pour suivre le budget et les délais, il faut maîtriser les notions suivantes:</t>
  </si>
  <si>
    <t>Planification</t>
  </si>
  <si>
    <t>Paramétrage et tests Finances</t>
  </si>
  <si>
    <t>Paramétrage et tests Ventes</t>
  </si>
  <si>
    <t>Paramétrage et tests Achats</t>
  </si>
  <si>
    <t>Paramétrage et tests Logistique</t>
  </si>
  <si>
    <t>Paramétrage et tests Production</t>
  </si>
  <si>
    <t>Préparation Master Data</t>
  </si>
  <si>
    <t>Formation utilisateurs</t>
  </si>
  <si>
    <t>Basculement opérationnel</t>
  </si>
  <si>
    <t>Support utilisateurs</t>
  </si>
  <si>
    <t>Support opérationnel</t>
  </si>
  <si>
    <t>Clôture du projet</t>
  </si>
  <si>
    <t xml:space="preserve"> - </t>
  </si>
  <si>
    <t xml:space="preserve"> </t>
  </si>
  <si>
    <t>Documentation leçons apprises</t>
  </si>
  <si>
    <t>-</t>
  </si>
  <si>
    <t>Indicateur de Performance des Délais (IPD= VA/VP)</t>
  </si>
  <si>
    <t>Chantal DUPONT</t>
  </si>
  <si>
    <t>Expression des besoins</t>
  </si>
  <si>
    <t>Préalables à l'enregistrement des données</t>
  </si>
  <si>
    <t xml:space="preserve">La valeur planifiée(VP): </t>
  </si>
  <si>
    <t>Coût budgétisé du travail prévu</t>
  </si>
  <si>
    <t xml:space="preserve">Le coût réel(CR): </t>
  </si>
  <si>
    <t>Coût réellement consommé pour le travail effectué</t>
  </si>
  <si>
    <t>Graphique de données</t>
  </si>
  <si>
    <t>Valeur acquise (VA)/Coût Réel (CR)</t>
  </si>
  <si>
    <t> Valeur acquise (VA)/Valeur planifiée(VP)</t>
  </si>
  <si>
    <t>Indice de performance des coûts (IPC):</t>
  </si>
  <si>
    <t>Indice de performance des délais (IPD):</t>
  </si>
  <si>
    <t>← Entrez ou modifiez les valeurs dans les cellules blanches.</t>
  </si>
  <si>
    <t>Le BAA (budget à l'achèvement du projet)</t>
  </si>
  <si>
    <t>Budget prévu à l'achèvement du projet pour chaque tâche</t>
  </si>
  <si>
    <t>% d'achèvement</t>
  </si>
  <si>
    <t xml:space="preserve">Coût Réel du travail Effectué </t>
  </si>
  <si>
    <t>Utilisation du template de suivi du budget de projet</t>
  </si>
  <si>
    <t xml:space="preserve">La valeur acquise (VA): </t>
  </si>
  <si>
    <t>Coût Réel Projet par mois</t>
  </si>
  <si>
    <t>Coût Réel Projet Cumulé (CR)</t>
  </si>
  <si>
    <t>Coût budgétisé du travail effectué à date (Le coût que nous étions prêts à payer pour le travail réalisé à date)</t>
  </si>
  <si>
    <t>Cette feuille est utilisée pour renseigner le Coût Réel Consommé (CR) de chaque tâche, appelé aussi le Coût Réel du travail effectué (CRTE).</t>
  </si>
  <si>
    <t>Coût réel par tâche à date</t>
  </si>
  <si>
    <t>Budget planifié pour la tâche</t>
  </si>
  <si>
    <t>Cette feuille est utilisée pour calculer la Valeur Acquise (VA) à date, c'est le coût budgété du travail réellement effectué à date.</t>
  </si>
  <si>
    <t>Valeur Acquise Projet par mois</t>
  </si>
  <si>
    <t>Valeur Planifiée cumulée (VP)</t>
  </si>
  <si>
    <t>Récapitulatif des valeurs CR, VP, VA et BAA</t>
  </si>
  <si>
    <t>Si IPC &lt; 1, alors le budget est sur-consommé</t>
  </si>
  <si>
    <t>Si IPC &gt; 1, alors le budget est sous-consommé</t>
  </si>
  <si>
    <t>1. Rendez-vous dans la feuille "VP"</t>
  </si>
  <si>
    <t>Le BAA (budget à l'achèvement du projet) est la somme des budgets mensuels prévus pour chaque tâche. Il est calculé automatiquement à partir des données saisies</t>
  </si>
  <si>
    <t>Remplissez la valeur planifiée ou le coût budgété du travail prévu, de chaque tâche, chaque mois.</t>
  </si>
  <si>
    <t>Le Coût Réel du Projet à date est calculé automatiquement</t>
  </si>
  <si>
    <t>Renseignez le budgété du travail prévu, de chaque tâche, chaque mois.</t>
  </si>
  <si>
    <t>Renseignez le coût réel de chaque tâche, chaque mois.</t>
  </si>
  <si>
    <t>La Valeur acquise est calculée automaiquement en multipliant le % d'achévement par le budget planifié</t>
  </si>
  <si>
    <t>2. Rendez-vous dans la feuille "CR"</t>
  </si>
  <si>
    <t>3. Rendez-vous dans la feuille "VA"</t>
  </si>
  <si>
    <t>4. Rendez-vous dans la feuille "Suivi Budget"</t>
  </si>
  <si>
    <t>← Pour ajouter d'autres tâches, insérer des lignes au dessus de celle-ci.</t>
  </si>
  <si>
    <t>Les métriques de performances sont ensuite calculées automatiquement</t>
  </si>
  <si>
    <t>1. Renseignements généraux</t>
  </si>
  <si>
    <t>Nom du projet:</t>
  </si>
  <si>
    <t>Implémentation SAP au Centre de Montage Régional Lillois</t>
  </si>
  <si>
    <t>No. du rapport:</t>
  </si>
  <si>
    <t>Chef de projet :</t>
  </si>
  <si>
    <t>Chantal Dupont</t>
  </si>
  <si>
    <t>Code du projet:</t>
  </si>
  <si>
    <t>SAP30/CMRL</t>
  </si>
  <si>
    <t>Période couverte par le rapport:</t>
  </si>
  <si>
    <t>Date du rapport:</t>
  </si>
  <si>
    <t>Destinataires:</t>
  </si>
  <si>
    <t>Comité de pilotage et Comité de Direction</t>
  </si>
  <si>
    <t>2. Statut global du projet</t>
  </si>
  <si>
    <t>Statut global du projet</t>
  </si>
  <si>
    <t>V</t>
  </si>
  <si>
    <t>Respect de la qualité</t>
  </si>
  <si>
    <t>Légende:</t>
  </si>
  <si>
    <t>Clôture</t>
  </si>
  <si>
    <t>Risques</t>
  </si>
  <si>
    <t>Sous-contrôle</t>
  </si>
  <si>
    <t>Respect de l'échéancier</t>
  </si>
  <si>
    <t xml:space="preserve">Etat de l'équipe </t>
  </si>
  <si>
    <t>J</t>
  </si>
  <si>
    <t>Actions requises</t>
  </si>
  <si>
    <t>Respect du budget</t>
  </si>
  <si>
    <t xml:space="preserve">Indicateurs de résultats </t>
  </si>
  <si>
    <t>R</t>
  </si>
  <si>
    <t>Problème majeur</t>
  </si>
  <si>
    <t>3. Travail réalisé durant la dernière période</t>
  </si>
  <si>
    <t>Date</t>
  </si>
  <si>
    <t>Support utilisateurs et correction de problèmes mineurs</t>
  </si>
  <si>
    <t>Tout le mois de janvier</t>
  </si>
  <si>
    <t>Réunions spéciales et documentation des leçons apprises durant le projet</t>
  </si>
  <si>
    <t>Réunion de clôture officielle</t>
  </si>
  <si>
    <t>Date prévue</t>
  </si>
  <si>
    <t>Bilan de projet</t>
  </si>
  <si>
    <t>Finalisation documentation</t>
  </si>
  <si>
    <t>Comité de direction final</t>
  </si>
  <si>
    <t>5. Point (s) en suspens et préoccupation (s)</t>
  </si>
  <si>
    <t>Une des raisons principales de ce projet était de se mettre à l'abri de contrôles sur les anciens systèmes. Le comité de projet propose de faire appel à nos auditeurs internes pour faire une évaluation détaillée des capacités et de la cohérence du système SAP mis à la disposition du CMRL. Ceci nous permettrait de valider la conformité de notre mise en place et l'amélioration de la cohérence et de la qualité des données. Au cas peu probable qu'une correction s'avérerait nécessaire, le rapport nous permettrait de connaître en détail les réglages à adapter en priorité et ainsi éviter tout souci lors de contrôles ultérieurs.</t>
  </si>
  <si>
    <t>RAPPORT D'AVANCEMENT (2/2)</t>
  </si>
  <si>
    <t>6. Point (s) en suspens résolu (s) depuis le dernier rapport</t>
  </si>
  <si>
    <t>Les dernières corrections de données identifiées ont été réalisées avec succès. Les quelques améliorations identifiées pour les clôtures ont-elles aussi été mises en place. Il reste une liste de 4 corrections mineures qui ont été communiquées au centre d'excellence et qui sont en cours de correction.</t>
  </si>
  <si>
    <t>Lot du projet</t>
  </si>
  <si>
    <t>Budget à l'achèvement (BAC)</t>
  </si>
  <si>
    <t>% avancement</t>
  </si>
  <si>
    <t xml:space="preserve">IPC </t>
  </si>
  <si>
    <t>IPD</t>
  </si>
  <si>
    <t>Initiation</t>
  </si>
  <si>
    <t>Master Data</t>
  </si>
  <si>
    <t>Analyse des écarts et mesures correctives:</t>
  </si>
  <si>
    <t>Aucune mesure corrective: le projet est clôturé dans les délais et selon le budget.</t>
  </si>
  <si>
    <t>Suivi des Livrables du projet :</t>
  </si>
  <si>
    <t>Livrables du projet</t>
  </si>
  <si>
    <t>Type de livrable</t>
  </si>
  <si>
    <t>Acteur</t>
  </si>
  <si>
    <t>Description</t>
  </si>
  <si>
    <t>Lot</t>
  </si>
  <si>
    <t>Valideur</t>
  </si>
  <si>
    <t>Version validée</t>
  </si>
  <si>
    <t>Commentaire</t>
  </si>
  <si>
    <t>Etude d'opportunité</t>
  </si>
  <si>
    <t>Support décisionnel</t>
  </si>
  <si>
    <t>Chantal / Olivier</t>
  </si>
  <si>
    <t>Justification du projet et sa place dans la stratégie d'entreprise</t>
  </si>
  <si>
    <t>Lot 0</t>
  </si>
  <si>
    <t>Comité de direction</t>
  </si>
  <si>
    <t>1.3</t>
  </si>
  <si>
    <t>Charte projet</t>
  </si>
  <si>
    <t>Chantal / Olivier / Coordinateurs</t>
  </si>
  <si>
    <t>Charte de projet détaillée y inclus délais et coûts estimés</t>
  </si>
  <si>
    <t>Macro planning</t>
  </si>
  <si>
    <t>Estimation des phases principales</t>
  </si>
  <si>
    <t>1.2</t>
  </si>
  <si>
    <t>Support réunion de lancement</t>
  </si>
  <si>
    <t>Chantal</t>
  </si>
  <si>
    <t>Présentation du projet destinée à l'équipe dès que la charte sera approuvée</t>
  </si>
  <si>
    <t>Lot 1</t>
  </si>
  <si>
    <t>Résumé des besoins exprimés lors des réunions de découverte</t>
  </si>
  <si>
    <t>Sponsor / intégrateur</t>
  </si>
  <si>
    <t>Matrice des exigences</t>
  </si>
  <si>
    <t>Enregistrement des différentes exigences des parties prenantes clés</t>
  </si>
  <si>
    <t>Cahier des charges</t>
  </si>
  <si>
    <t>Rapport détaillé des attentes du projet</t>
  </si>
  <si>
    <t>Plan de projet</t>
  </si>
  <si>
    <t>Plan détaillé de tous les aspects planification du projet</t>
  </si>
  <si>
    <t>Plan de charge</t>
  </si>
  <si>
    <t>Liste des tâches à effectuer et estimation de la charge sur les ressources</t>
  </si>
  <si>
    <t>Registre des problèmes et risques</t>
  </si>
  <si>
    <t>Suivi scrupuleux des risques et problèmes</t>
  </si>
  <si>
    <t>Registre des parties prenantes</t>
  </si>
  <si>
    <t>Ce registre est la base de la communication réussie</t>
  </si>
  <si>
    <t>Matrice des compétences</t>
  </si>
  <si>
    <t>Avons-nous les compétences nécessaires dans nos équipes?</t>
  </si>
  <si>
    <t>Plan de communication</t>
  </si>
  <si>
    <t>Document essentiel dont l'exécution doit être suivie de près. Ne pas oublier le retour d'information.</t>
  </si>
  <si>
    <t>Suivi des actions</t>
  </si>
  <si>
    <t>Visualiser ce qu'il reste à faire</t>
  </si>
  <si>
    <t>Suivi des livrables</t>
  </si>
  <si>
    <t>Respectons-nous le périmètre et les délais?</t>
  </si>
  <si>
    <t>Registre des demandes de changement</t>
  </si>
  <si>
    <t>Réalisation</t>
  </si>
  <si>
    <t>Chantal / Coordinateurs</t>
  </si>
  <si>
    <t>Qu'est-ce qui a changé depuis la charte projet? Tout changement doit être approuvé par le comité de projet et/ou le comité de pilotage.</t>
  </si>
  <si>
    <t>Lot 2</t>
  </si>
  <si>
    <t>Sponsor / Communication</t>
  </si>
  <si>
    <t>Tableau de bord</t>
  </si>
  <si>
    <t>Rapports</t>
  </si>
  <si>
    <t>Indicateurs d'avancement du projet</t>
  </si>
  <si>
    <t>Rapport de suivi de projet</t>
  </si>
  <si>
    <t>Rapport détaillé régulier sur l'état d'avancement du projet</t>
  </si>
  <si>
    <t>Rapport Flash</t>
  </si>
  <si>
    <t>Indicateurs résumés sur une seule page</t>
  </si>
  <si>
    <t>Minutes comité technique</t>
  </si>
  <si>
    <t>Membre tournant de l'équipe projet</t>
  </si>
  <si>
    <t>Chaque réunion doit être documentée: qui était présent et quelles décisions ont été prises?</t>
  </si>
  <si>
    <t>Minutes comité projet</t>
  </si>
  <si>
    <t>Minutes comité de pilotage</t>
  </si>
  <si>
    <t>Infrastructure informatique</t>
  </si>
  <si>
    <t>Informatique</t>
  </si>
  <si>
    <t>Daniel</t>
  </si>
  <si>
    <t>Le réseau informatique et les serveurs doivent pouvoir supporter la charge d'utilisateurs et de données supplémentaires.</t>
  </si>
  <si>
    <t>Equipe projet / Intégrateur / Sponsor</t>
  </si>
  <si>
    <t>Preuve de concept Finances</t>
  </si>
  <si>
    <t>PoC</t>
  </si>
  <si>
    <t>Monique</t>
  </si>
  <si>
    <t>Une solution très réduite pour prouver que tout va fonctionner tel que prévu.</t>
  </si>
  <si>
    <t>Intégrateur</t>
  </si>
  <si>
    <t>Preuve de concept  Ventes</t>
  </si>
  <si>
    <t>Denise</t>
  </si>
  <si>
    <t>Preuve de concept  Achats</t>
  </si>
  <si>
    <t>Jean</t>
  </si>
  <si>
    <t>Preuve de concept  Logistique</t>
  </si>
  <si>
    <t>Eric</t>
  </si>
  <si>
    <t>Preuve de concept  Production</t>
  </si>
  <si>
    <t>Georges</t>
  </si>
  <si>
    <t>Preuve de concept Master Data</t>
  </si>
  <si>
    <t>Juliette</t>
  </si>
  <si>
    <t>Configuration et test unitaires Finances</t>
  </si>
  <si>
    <t>Finances</t>
  </si>
  <si>
    <t>Mise en place: le cœur de notre projet</t>
  </si>
  <si>
    <t>Utilisateurs-clés</t>
  </si>
  <si>
    <t>Configuration et test unitaires Ventes</t>
  </si>
  <si>
    <t>Ventes</t>
  </si>
  <si>
    <t>Configuration et test unitaires Achats</t>
  </si>
  <si>
    <t>Achats</t>
  </si>
  <si>
    <t>Configuration et test unitaires Logistique</t>
  </si>
  <si>
    <t>Logistique</t>
  </si>
  <si>
    <t>Configuration et test unitaires Production</t>
  </si>
  <si>
    <t>Production</t>
  </si>
  <si>
    <t>Tests et corrections d'intégration et de consolidation Finances</t>
  </si>
  <si>
    <t>Ici, les solutions sont testées et validées par nos utilisateurs-clés.</t>
  </si>
  <si>
    <t>Tests et corrections d'intégration et de consolidation Ventes</t>
  </si>
  <si>
    <t>Tests et corrections d'intégration et de consolidation Achats</t>
  </si>
  <si>
    <t>Tests et corrections d'intégration et de consolidation Logistique</t>
  </si>
  <si>
    <t>Tests et corrections d'intégration et de consolidation Production</t>
  </si>
  <si>
    <t>Tests et corrections d'intégration et de consolidation Master Data</t>
  </si>
  <si>
    <t>Environnement productif Finances</t>
  </si>
  <si>
    <t>On déploie les solutions validées</t>
  </si>
  <si>
    <t>Lot 3</t>
  </si>
  <si>
    <t>Environnement productif Ventes</t>
  </si>
  <si>
    <t>Environnement productif Achats</t>
  </si>
  <si>
    <t>Environnement productif Logistique</t>
  </si>
  <si>
    <t>Environnement productif Production</t>
  </si>
  <si>
    <t>Migration des données</t>
  </si>
  <si>
    <t>Les données nettoyées et corrigées sont injectées dans le nouveau système</t>
  </si>
  <si>
    <t>Formation Finances</t>
  </si>
  <si>
    <t>On déploie les documentations par thèmes et on forme TOUS les utilisateurs</t>
  </si>
  <si>
    <t>Lot 4</t>
  </si>
  <si>
    <t>Changement</t>
  </si>
  <si>
    <t>Formation Ventes</t>
  </si>
  <si>
    <t>Formation Achats</t>
  </si>
  <si>
    <t>Formation Logistique</t>
  </si>
  <si>
    <t>Formation Production</t>
  </si>
  <si>
    <t>Réception des livrables</t>
  </si>
  <si>
    <t>Recette</t>
  </si>
  <si>
    <t>Tous les livrables font l'objet d'une recette officielle</t>
  </si>
  <si>
    <t>Lot 5</t>
  </si>
  <si>
    <t>28-11-211</t>
  </si>
  <si>
    <t>Intégrateur / Sponsor</t>
  </si>
  <si>
    <t>Basculement</t>
  </si>
  <si>
    <t>Démarrage</t>
  </si>
  <si>
    <t>Equipe projet et tous les utilisateurs</t>
  </si>
  <si>
    <t>Dernière validation avant démarrage opérationnel. Comité de pilotage exceptionnel.</t>
  </si>
  <si>
    <t>Démarrage du nouveau système</t>
  </si>
  <si>
    <t>Equipe projet et utilisateurs clés</t>
  </si>
  <si>
    <t>Démarrage et observation/support des utilisateurs</t>
  </si>
  <si>
    <t>Comité de pilotage</t>
  </si>
  <si>
    <t>Cahier de recette</t>
  </si>
  <si>
    <t xml:space="preserve">Chantal / Olivier / Jacques </t>
  </si>
  <si>
    <t>L'ensemble du projet est approuvé après une période de traitements réels</t>
  </si>
  <si>
    <t>Réunion de clôture</t>
  </si>
  <si>
    <t>TOUS</t>
  </si>
  <si>
    <t>La réunion de clôture se passe en deux étapes: une réunion de tous pour documenter ce qui reste à faire et quelles sont les leçons apprises - et une partie beaucoup moins formelle pour fêter la réussite du projet et déclarer celui-ci terminé.</t>
  </si>
  <si>
    <t>Bilan</t>
  </si>
  <si>
    <t>Chantal / Olivier / Jacques / Coordinateurs</t>
  </si>
  <si>
    <t>On documente ici les leçons apprise et on refait un dernier point. Ce document sera archivé pour référence ultérieure.</t>
  </si>
  <si>
    <t>8. Suivi des Risques</t>
  </si>
  <si>
    <t>No.</t>
  </si>
  <si>
    <t>Risques / opportunités</t>
  </si>
  <si>
    <t>Impact</t>
  </si>
  <si>
    <t>Probabilités</t>
  </si>
  <si>
    <t>Poids</t>
  </si>
  <si>
    <t>Mesures préventives</t>
  </si>
  <si>
    <t>statut du risque</t>
  </si>
  <si>
    <t>Audit négatif</t>
  </si>
  <si>
    <t>Moyen</t>
  </si>
  <si>
    <t>Faible</t>
  </si>
  <si>
    <t>Demander aux auditeurs internes de valider le nouveau système dans le détail - avec un accent sur la qualité des données</t>
  </si>
  <si>
    <t>Stable</t>
  </si>
  <si>
    <t>Risque ouvert</t>
  </si>
  <si>
    <t>Chef de projet et sponsor</t>
  </si>
  <si>
    <t>Anciens contrats</t>
  </si>
  <si>
    <t>Revérifier que les contrats des anciens systèmes sont bien annulés pour éviter tout paiement inutile</t>
  </si>
  <si>
    <t xml:space="preserve">Diminue </t>
  </si>
  <si>
    <t>Directeur informatique</t>
  </si>
  <si>
    <t>9. Leçons apprises et recommandations</t>
  </si>
  <si>
    <t>Le chef de projet et son équipe compilent les leçons apprises au cours du projet et présentent des recommandations pour des projets similaires:</t>
  </si>
  <si>
    <t>Recommandations</t>
  </si>
  <si>
    <t xml:space="preserve">Communications </t>
  </si>
  <si>
    <t xml:space="preserve">Importance de tenir compte de la perspective des parties prenantes </t>
  </si>
  <si>
    <t>Sonder l'ensemble du personnel et comprendre les perceptions par rapport au projet</t>
  </si>
  <si>
    <t>L'intranet n'est pas accessible par/pour tout le monde</t>
  </si>
  <si>
    <t>Utiliser TOUS les panneaux d'information, y compris dans l'usine et à l'extérieur</t>
  </si>
  <si>
    <t>Ne pas négliger l'après-projet</t>
  </si>
  <si>
    <t>Prévoir des communications ultérieures pendant au moins trois mois</t>
  </si>
  <si>
    <t>Contenu et intégration</t>
  </si>
  <si>
    <t xml:space="preserve">Une usine d'assemblage est administrativement et fonctionnellement plus complexe </t>
  </si>
  <si>
    <t>Garder toute la documentation de ce projet pour la prochaine mise à niveau SAP prévue l'année prochaine</t>
  </si>
  <si>
    <t xml:space="preserve">Achats / Contrats </t>
  </si>
  <si>
    <t>Grosses différences entre petits/moyens et très gros clients</t>
  </si>
  <si>
    <t>Les nouveaux paramétrage devraient permettre de faire face à ce défi</t>
  </si>
  <si>
    <t>Importance de prévoir l'imprévisible</t>
  </si>
  <si>
    <t>Prévoir un coussin de sécurité de 5 à 10%</t>
  </si>
  <si>
    <t xml:space="preserve">Délais
</t>
  </si>
  <si>
    <t>Les périodes de congés sont sacrées</t>
  </si>
  <si>
    <t>Prévoir des ressources de secours</t>
  </si>
  <si>
    <t>Qualité parfois médiocre des données</t>
  </si>
  <si>
    <t>Faire une pré-étude de qualité et ne pas sous-estimer l'impact</t>
  </si>
  <si>
    <t>L'absentéisme n'est pas une science exacte</t>
  </si>
  <si>
    <t>Prévoir le remplacement rapide de malades ou excusés</t>
  </si>
  <si>
    <t>La revue régulière des risques est primordiales</t>
  </si>
  <si>
    <t>Ne jamais retirer cette revue de l'agenda des réunions</t>
  </si>
  <si>
    <t>Inventaires imparfaits</t>
  </si>
  <si>
    <t>Ne pas oublier les coins les plus éloignés du centre de montage. Mettre à jour l'inventaire</t>
  </si>
  <si>
    <t>Divers</t>
  </si>
  <si>
    <t>Les supports de formation doivent être taillés sur mesure</t>
  </si>
  <si>
    <t>Faire valider les supports de formation par les utilisateurs-clés</t>
  </si>
  <si>
    <t>Renseignez le % d'achévement de chaque tâche à date afin de calculer la Valeur Acquise Cumulée</t>
  </si>
  <si>
    <t>Dans le but de contrôler la performance du projet, il faut suivre l'avancement de la réalisation du périmètre, le budget consommé, et dans quels délais.
Vous commencerez donc par renseigner la liste des tâches du projet, en vous référant à votre planning projet.</t>
  </si>
  <si>
    <t>Renseignez pour chaque tâche et pour chaque mois, le coût réellement consommé.</t>
  </si>
  <si>
    <t>Dans la feuille "VA", remplissez le taux d'achèvement de chaque tâche par mois. La Valeur acquise est calculée automatiquement en multipliant le % d'achévement par le budget planifié</t>
  </si>
  <si>
    <t>Dans cette feuille, vous avez un récapitulatif des valeurs cumulées du projet : VP, CR et VA.  L'analyse de la valeur acquise est illustrée par le graphe</t>
  </si>
  <si>
    <t>Le coût réel cumulé (CR) et la Valeur acquise cumulée (VA) sont copiés automatiquement à partir des feuilles "CR" et "VA" et servent à calculer les écarts</t>
  </si>
  <si>
    <t>Les écarts des coûts (EC), des délais (ED) et les indicateurs de performance de coût (IPC) et des délais (IPD) sont calculés automatiquement</t>
  </si>
  <si>
    <t>Le graphe des CR, VP et VA est dressé automatiquement</t>
  </si>
  <si>
    <t>Ce tableau représente le résultat final du projet SAP30/CMRL. 
Le projet a bénéficié de l'expérience des projets SAP précédents et les estimations se sont avérées exactes en termes de coût et de valeur acquise. Une légère hausse des besoins de corrections en Master Data a été assumée par les services concernés et n'a pas influencé le budget. C'est pourquoi les courbes sont cohérentes entre Planifié et Réel.</t>
  </si>
  <si>
    <t>Clôture novembre 2022</t>
  </si>
  <si>
    <t>Clôture décembre 2022</t>
  </si>
  <si>
    <t>Mars 2022 à janvier 2022</t>
  </si>
  <si>
    <t>Clôture de fin de mois décembre 2022 et clôture de fin d'année 2022</t>
  </si>
  <si>
    <t>7. Statut d'avancement à date (28-Juillet-2022)</t>
  </si>
  <si>
    <t>Nom / Code projet</t>
  </si>
  <si>
    <t>SAP30 / CMRL</t>
  </si>
  <si>
    <t>Chef de projet</t>
  </si>
  <si>
    <t>Mme Dupont</t>
  </si>
  <si>
    <t>Date de création</t>
  </si>
  <si>
    <t>Référence</t>
  </si>
  <si>
    <t>Service/Organisation</t>
  </si>
  <si>
    <t>Confassis S.A.</t>
  </si>
  <si>
    <t>Date de la version</t>
  </si>
  <si>
    <t>Numéro de version</t>
  </si>
  <si>
    <t>V2.3</t>
  </si>
  <si>
    <t xml:space="preserve">    Feuille de calcul de la valeur planifiée</t>
  </si>
  <si>
    <t>Stratégie2022/CMRL</t>
  </si>
  <si>
    <t xml:space="preserve">    Feuille de calcul du Coût Réel</t>
  </si>
  <si>
    <t xml:space="preserve">    Feuille de calcul de la valeur Acquise</t>
  </si>
  <si>
    <t xml:space="preserve">    Rapport d'analyse de la valeur Acquise</t>
  </si>
  <si>
    <t xml:space="preserve">             VA= Coût budgétisé du travail effectué</t>
  </si>
  <si>
    <t>Qualité</t>
  </si>
  <si>
    <t>Technologies</t>
  </si>
  <si>
    <t>Ressources humaines</t>
  </si>
  <si>
    <t>Coûts</t>
  </si>
  <si>
    <t>RAPPORT D'AVANCEMENT (1/2)</t>
  </si>
  <si>
    <t xml:space="preserve">    RAPPORT D'AVANCEMENT</t>
  </si>
  <si>
    <t xml:space="preserve">    Guide d'utilisation</t>
  </si>
  <si>
    <t>Français</t>
  </si>
  <si>
    <t>Anglais</t>
  </si>
  <si>
    <t>Langue</t>
  </si>
  <si>
    <t>Yes-No</t>
  </si>
  <si>
    <t>Oui</t>
  </si>
  <si>
    <t>Non</t>
  </si>
  <si>
    <t>Guide d'utilisation</t>
  </si>
  <si>
    <t>User Guide</t>
  </si>
  <si>
    <t>Creation Date</t>
  </si>
  <si>
    <t>Version Date</t>
  </si>
  <si>
    <t>Version Number</t>
  </si>
  <si>
    <t>Project Name / Code</t>
  </si>
  <si>
    <t>Reference</t>
  </si>
  <si>
    <t>Insérer de nouvelles lignes au-dessus</t>
  </si>
  <si>
    <t>Budget planifié à l'achévement du projet (BAA)</t>
  </si>
  <si>
    <t>Suivi Budget - Rapport VA</t>
  </si>
  <si>
    <t>Rapport Avancement Projet</t>
  </si>
  <si>
    <t>Cette feuille est utilisée pour renseigner la valeur planifiée (VP)</t>
  </si>
  <si>
    <t>Budget Tracking - EV Report</t>
  </si>
  <si>
    <t>Project Progress Report</t>
  </si>
  <si>
    <t>Project Manager</t>
  </si>
  <si>
    <t>Service/Organization</t>
  </si>
  <si>
    <t>This sheet is used to enter the Planned Value (PV)</t>
  </si>
  <si>
    <t>Enter the budgeted amount for the planned work of each task, each month.</t>
  </si>
  <si>
    <t>WBS</t>
  </si>
  <si>
    <t>Task Name</t>
  </si>
  <si>
    <t>Planned Budget for the Task</t>
  </si>
  <si>
    <t>Needs Expression</t>
  </si>
  <si>
    <t>Planning</t>
  </si>
  <si>
    <t>Configuration and Testing Finance</t>
  </si>
  <si>
    <t>Configuration and Testing Sales</t>
  </si>
  <si>
    <t>Configuration and Testing Purchasing</t>
  </si>
  <si>
    <t>Configuration and Testing Logistics</t>
  </si>
  <si>
    <t>Configuration and Testing Production</t>
  </si>
  <si>
    <t>Master Data Preparation</t>
  </si>
  <si>
    <t>User Training</t>
  </si>
  <si>
    <t>Operational Switch</t>
  </si>
  <si>
    <t>User Support</t>
  </si>
  <si>
    <t>Closure November 2022</t>
  </si>
  <si>
    <t>Operational Support</t>
  </si>
  <si>
    <t>Closure December 2022</t>
  </si>
  <si>
    <t>Documentation Lessons Learned</t>
  </si>
  <si>
    <t>Project Closure</t>
  </si>
  <si>
    <t>Insert new rows above</t>
  </si>
  <si>
    <t>Planned Budget at Project Completion (BAC)</t>
  </si>
  <si>
    <t>Cumulative PV</t>
  </si>
  <si>
    <t>This sheet is used to enter the Actual Cost Consumed (AC) of each task, also known as the Actual Cost of Work Performed (ACWP).</t>
  </si>
  <si>
    <t>Enter the actual cost for each task, each month.</t>
  </si>
  <si>
    <t>Actual Cost of Work Performed</t>
  </si>
  <si>
    <t>Actual cost per task to date</t>
  </si>
  <si>
    <t>Actual Project Cost per Month</t>
  </si>
  <si>
    <t>Cumulative Actual Project Cost (ACWP)</t>
  </si>
  <si>
    <t xml:space="preserve">    Actual Cost Calculation Worksheet</t>
  </si>
  <si>
    <t xml:space="preserve">    Planned Value Calculation Worksheet</t>
  </si>
  <si>
    <t>Language</t>
  </si>
  <si>
    <t>Earned Value Project per Month</t>
  </si>
  <si>
    <t>Cumulative Earned Value (EV)</t>
  </si>
  <si>
    <t>This sheet is used to calculate Earned Value (EV) to date, which is the budgeted cost of the actual work performed to date.</t>
  </si>
  <si>
    <t>Enter the % completion of each task to date to calculate Cumulative Earned Value.</t>
  </si>
  <si>
    <t>Earned Value is automatically calculated by multiplying the % completion by the budgeted cost.</t>
  </si>
  <si>
    <t>Description des activités réalisées pendant la dernière période</t>
  </si>
  <si>
    <t>4. Travail planifié pour la prochaine période</t>
  </si>
  <si>
    <t>Description des activités qui restent à faire</t>
  </si>
  <si>
    <t>Total projet</t>
  </si>
  <si>
    <t>Leçons apprises</t>
  </si>
  <si>
    <t>Domaines</t>
  </si>
  <si>
    <t>Etat de l'équipe</t>
  </si>
  <si>
    <t>Indicateurs de résultats</t>
  </si>
  <si>
    <t>PROGRESS REPORT</t>
  </si>
  <si>
    <t>PROGRESS REPORT (1/2)</t>
  </si>
  <si>
    <t>1. General Information</t>
  </si>
  <si>
    <t>Project Name:</t>
  </si>
  <si>
    <t>Project Manager:</t>
  </si>
  <si>
    <t>Reporting Period:</t>
  </si>
  <si>
    <t>SAP Implementation at Regional Assembly Center Lille</t>
  </si>
  <si>
    <t>March 2022 to January 2022</t>
  </si>
  <si>
    <t>Report No.:</t>
  </si>
  <si>
    <t>Project Code:</t>
  </si>
  <si>
    <t>Report Date:</t>
  </si>
  <si>
    <t>Recipients:</t>
  </si>
  <si>
    <t>Steering Committee and Management Committee</t>
  </si>
  <si>
    <t>2. Overall Project Status</t>
  </si>
  <si>
    <t>Overall Project Status</t>
  </si>
  <si>
    <t>Schedule Adherence</t>
  </si>
  <si>
    <t>Budget Adherence</t>
  </si>
  <si>
    <t>Quality Adherence</t>
  </si>
  <si>
    <t>Risks</t>
  </si>
  <si>
    <t>Team Status</t>
  </si>
  <si>
    <t>Performance Indicators</t>
  </si>
  <si>
    <t>Legend:</t>
  </si>
  <si>
    <t>Under Control</t>
  </si>
  <si>
    <t>Action Required</t>
  </si>
  <si>
    <t>Major Issue</t>
  </si>
  <si>
    <t>3. Work Accomplished During the Last Period</t>
  </si>
  <si>
    <t>Description of activities carried out during the last period</t>
  </si>
  <si>
    <t>Closure of December 2022 and year-end 2022</t>
  </si>
  <si>
    <t>User support and minor issue correction</t>
  </si>
  <si>
    <t>Special meetings and documentation of lessons learned during the project</t>
  </si>
  <si>
    <t>Official closing meeting</t>
  </si>
  <si>
    <t>Throughout January</t>
  </si>
  <si>
    <t>4. Planned Work for the Next Period</t>
  </si>
  <si>
    <t>Description of remaining activities</t>
  </si>
  <si>
    <t>Project Summary</t>
  </si>
  <si>
    <t>Finalization of documentation</t>
  </si>
  <si>
    <t>Final management committee meeting</t>
  </si>
  <si>
    <t>Expected Date</t>
  </si>
  <si>
    <t>5. Outstanding Points and Concerns</t>
  </si>
  <si>
    <t>One of the main objectives of this project was to safeguard against audits on the old systems. The project committee proposes engaging our internal auditors to conduct a detailed assessment of the capabilities and consistency of the SAP system provided to CMRL. This would allow us to validate the conformity of our implementation and improve data consistency and quality. In the unlikely event that any adjustments are needed, the report would provide detailed guidance on priority adjustments to make, thus avoiding any issues in subsequent audits.</t>
  </si>
  <si>
    <t>PROGRESS REPORT (2/2)</t>
  </si>
  <si>
    <t>6. Outstanding Points Resolved Since the Last Report</t>
  </si>
  <si>
    <t>The last identified data corrections have been successfully completed. The few improvements identified for the closures have also been implemented. There remains a list of 4 minor corrections that have been communicated to the center of excellence and are currently being addressed.</t>
  </si>
  <si>
    <t>Evolution du risque</t>
  </si>
  <si>
    <t>Suivi du risque</t>
  </si>
  <si>
    <t>Date de livraison</t>
  </si>
  <si>
    <t>Valeur planifiée (VP)</t>
  </si>
  <si>
    <t>Cout réel (CR)</t>
  </si>
  <si>
    <t>Valeur Acquise (VA)</t>
  </si>
  <si>
    <t>Ecart Délai (ED)</t>
  </si>
  <si>
    <t>Ecart Coût (EC)</t>
  </si>
  <si>
    <t>Project Phase</t>
  </si>
  <si>
    <t>Budget at Completion (BAC)</t>
  </si>
  <si>
    <t>Planned Value (PV)</t>
  </si>
  <si>
    <t>Actual Cost (AC)</t>
  </si>
  <si>
    <t>Earned Value (EV)</t>
  </si>
  <si>
    <t>Schedule Variance (SV)</t>
  </si>
  <si>
    <t>Cost Variance (CV)</t>
  </si>
  <si>
    <t>Analysis of Variances and Corrective Measures:</t>
  </si>
  <si>
    <t>No corrective measures: the project is completed on time and within budget.</t>
  </si>
  <si>
    <t>Project Deliverables Tracking:</t>
  </si>
  <si>
    <t>Project Deliverables</t>
  </si>
  <si>
    <t>Deliverable Type</t>
  </si>
  <si>
    <t>Responsible</t>
  </si>
  <si>
    <t>% Completion</t>
  </si>
  <si>
    <t>Delivery Date</t>
  </si>
  <si>
    <t>Approver</t>
  </si>
  <si>
    <t>Approved Version</t>
  </si>
  <si>
    <t>Comment</t>
  </si>
  <si>
    <t>Risk Monitoring</t>
  </si>
  <si>
    <t>Risks / Opportunities</t>
  </si>
  <si>
    <t>Probability</t>
  </si>
  <si>
    <t>Weight</t>
  </si>
  <si>
    <t>Preventive Measures</t>
  </si>
  <si>
    <t>Risk Evolution</t>
  </si>
  <si>
    <t>Risk Status</t>
  </si>
  <si>
    <t>The project manager and the team compile lessons learned throughout the project and provide recommendations for similar projects:</t>
  </si>
  <si>
    <t>Areas</t>
  </si>
  <si>
    <t>Lessons Learned</t>
  </si>
  <si>
    <t>Recommendations</t>
  </si>
  <si>
    <t>7. Progress Status as of July 28, 2022</t>
  </si>
  <si>
    <t>8. Risk Monitoring</t>
  </si>
  <si>
    <t>9. Lessons Learned and Recommendations</t>
  </si>
  <si>
    <t>Budget à l'achevement du projet (BAA)</t>
  </si>
  <si>
    <t>Summary of CR, VP, VA, and BAC Values</t>
  </si>
  <si>
    <t>Cumulative Actual Cost (CR)</t>
  </si>
  <si>
    <t>Cumulative Planned Value (VP)</t>
  </si>
  <si>
    <t>Project Performance Metrics</t>
  </si>
  <si>
    <t>Cost Variance (CV = EV - AC)</t>
  </si>
  <si>
    <t>Schedule Variance (SV = EV - PV)</t>
  </si>
  <si>
    <t>Cost Performance Index (CPI = EV/AC)</t>
  </si>
  <si>
    <t>Schedule Performance Index (SPI = EV/PV)</t>
  </si>
  <si>
    <t>Estimated Final Cost (EFC) = BAC/CPI</t>
  </si>
  <si>
    <t>If CPI &lt; 1, then the budget is over-consumed</t>
  </si>
  <si>
    <t>If CPI &gt; 1, then the budget is under-consumed</t>
  </si>
  <si>
    <t xml:space="preserve">         EV = Budgeted Cost of Work Performed (BCWP)</t>
  </si>
  <si>
    <t>PV = Budgeted Cost of Work Scheduled (BCWS)</t>
  </si>
  <si>
    <t>AC = Actual Cost of Work Performed (ACWP)</t>
  </si>
  <si>
    <t>[Project Name]</t>
  </si>
  <si>
    <t>Prepared by:</t>
  </si>
  <si>
    <t>For the period:</t>
  </si>
  <si>
    <t xml:space="preserve">    Earned Value Analysis Report</t>
  </si>
  <si>
    <t>Valeur Acquise SAP30/CMRL</t>
  </si>
  <si>
    <t>This table represents the final outcome of the SAP30/CMRL project.
The project benefited from the experience of previous SAP projects, and the estimates proved accurate in terms of cost and earned value. A slight increase in Master Data correction needs was accommodated by the respective departments and did not affect the budget. Hence, the curves are consistent between Planned and Actual.</t>
  </si>
  <si>
    <t>Earned Value SAP30/CMRL</t>
  </si>
  <si>
    <t>% of completion</t>
  </si>
  <si>
    <t xml:space="preserve">    Earned Value Spreadsheet</t>
  </si>
  <si>
    <t>Budget à l'achèvement du projet (BAA)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</si>
</sst>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quot;$&quot;#,##0\)"/>
    <numFmt numFmtId="165" formatCode="_(&quot;$&quot;* #,##0_);_(&quot;$&quot;* \(#,##0\);_(&quot;$&quot;* &quot;-&quot;_);_(@_)"/>
    <numFmt numFmtId="166" formatCode="_(&quot;$&quot;* #,##0.00_);_(&quot;$&quot;* \(#,##0.00\);_(&quot;$&quot;* &quot;-&quot;??_);_(@_)"/>
    <numFmt numFmtId="167" formatCode="#,##0_ ;[Red]\-#,##0\ "/>
    <numFmt numFmtId="168" formatCode="#,##0\ &quot;$&quot;"/>
    <numFmt numFmtId="169" formatCode="_-* #,##0.00\ &quot;$&quot;_-;\-* #,##0.00\ &quot;$&quot;_-;_-* &quot;-&quot;??\ &quot;$&quot;_-;_-@_-"/>
  </numFmts>
  <fonts count="44" x14ac:knownFonts="1">
    <font>
      <sz val="10"/>
      <name val="Arial"/>
    </font>
    <font>
      <sz val="11"/>
      <color theme="1"/>
      <name val="Calibri"/>
      <family val="2"/>
      <scheme val="minor"/>
    </font>
    <font>
      <sz val="11"/>
      <color theme="1"/>
      <name val="Calibri"/>
      <family val="2"/>
      <scheme val="minor"/>
    </font>
    <font>
      <u/>
      <sz val="10"/>
      <color indexed="12"/>
      <name val="Arial"/>
      <family val="2"/>
    </font>
    <font>
      <sz val="10"/>
      <name val="Arial"/>
      <family val="2"/>
    </font>
    <font>
      <sz val="8"/>
      <color indexed="81"/>
      <name val="Tahoma"/>
      <family val="2"/>
    </font>
    <font>
      <sz val="12"/>
      <name val="Candara"/>
      <family val="2"/>
    </font>
    <font>
      <b/>
      <sz val="12"/>
      <name val="Candara"/>
      <family val="2"/>
    </font>
    <font>
      <sz val="10"/>
      <name val="Candara"/>
      <family val="2"/>
    </font>
    <font>
      <i/>
      <sz val="12"/>
      <name val="Candara"/>
      <family val="2"/>
    </font>
    <font>
      <u/>
      <sz val="12"/>
      <color indexed="12"/>
      <name val="Candara"/>
      <family val="2"/>
    </font>
    <font>
      <b/>
      <sz val="12"/>
      <color theme="1"/>
      <name val="Candara"/>
      <family val="2"/>
    </font>
    <font>
      <b/>
      <sz val="20"/>
      <color rgb="FF62BD8A"/>
      <name val="Candara"/>
      <family val="2"/>
    </font>
    <font>
      <sz val="12"/>
      <color theme="1"/>
      <name val="Candara"/>
      <family val="2"/>
    </font>
    <font>
      <b/>
      <i/>
      <sz val="12"/>
      <color rgb="FFFF0000"/>
      <name val="Candara"/>
      <family val="2"/>
    </font>
    <font>
      <b/>
      <sz val="11"/>
      <name val="Candara"/>
      <family val="2"/>
    </font>
    <font>
      <sz val="11"/>
      <name val="Candara"/>
      <family val="2"/>
    </font>
    <font>
      <b/>
      <sz val="11"/>
      <color theme="1"/>
      <name val="Candara"/>
      <family val="2"/>
    </font>
    <font>
      <b/>
      <sz val="10"/>
      <name val="Candara"/>
      <family val="2"/>
    </font>
    <font>
      <sz val="11"/>
      <color rgb="FF005677"/>
      <name val="Calibri"/>
      <family val="2"/>
      <scheme val="minor"/>
    </font>
    <font>
      <sz val="11"/>
      <color theme="1" tint="0.34998626667073579"/>
      <name val="Calibri"/>
      <family val="2"/>
      <scheme val="minor"/>
    </font>
    <font>
      <sz val="10"/>
      <color theme="1" tint="0.34998626667073579"/>
      <name val="Calibri"/>
      <family val="2"/>
      <scheme val="minor"/>
    </font>
    <font>
      <b/>
      <sz val="16"/>
      <color theme="0"/>
      <name val="Calibri"/>
      <family val="2"/>
    </font>
    <font>
      <b/>
      <sz val="14"/>
      <color theme="0"/>
      <name val="Calibri"/>
      <family val="2"/>
    </font>
    <font>
      <b/>
      <sz val="11"/>
      <color theme="1"/>
      <name val="Calibri"/>
      <family val="2"/>
      <scheme val="minor"/>
    </font>
    <font>
      <b/>
      <sz val="11"/>
      <color rgb="FF2C6646"/>
      <name val="Calibri"/>
      <family val="2"/>
      <scheme val="minor"/>
    </font>
    <font>
      <i/>
      <sz val="12"/>
      <name val="Calibri"/>
      <family val="2"/>
      <scheme val="minor"/>
    </font>
    <font>
      <sz val="12"/>
      <name val="Calibri"/>
      <family val="2"/>
      <scheme val="minor"/>
    </font>
    <font>
      <sz val="11"/>
      <name val="Calibri"/>
      <family val="2"/>
      <scheme val="minor"/>
    </font>
    <font>
      <i/>
      <sz val="11"/>
      <name val="Calibri"/>
      <family val="2"/>
      <scheme val="minor"/>
    </font>
    <font>
      <b/>
      <sz val="11"/>
      <name val="Calibri"/>
      <family val="2"/>
      <scheme val="minor"/>
    </font>
    <font>
      <sz val="11"/>
      <color theme="1" tint="0.14999847407452621"/>
      <name val="Calibri"/>
      <family val="2"/>
      <scheme val="minor"/>
    </font>
    <font>
      <sz val="11"/>
      <color rgb="FF007635"/>
      <name val="Calibri"/>
      <family val="2"/>
      <scheme val="minor"/>
    </font>
    <font>
      <b/>
      <sz val="11"/>
      <color theme="1" tint="0.14999847407452621"/>
      <name val="Calibri"/>
      <family val="2"/>
      <scheme val="minor"/>
    </font>
    <font>
      <sz val="11"/>
      <color indexed="9"/>
      <name val="Calibri"/>
      <family val="2"/>
      <scheme val="minor"/>
    </font>
    <font>
      <sz val="11"/>
      <color rgb="FF000000"/>
      <name val="Calibri"/>
      <family val="2"/>
      <scheme val="minor"/>
    </font>
    <font>
      <b/>
      <sz val="11"/>
      <color rgb="FF008A3E"/>
      <name val="Calibri"/>
      <family val="2"/>
      <scheme val="minor"/>
    </font>
    <font>
      <b/>
      <sz val="11"/>
      <color rgb="FF00B050"/>
      <name val="Calibri"/>
      <family val="2"/>
      <scheme val="minor"/>
    </font>
    <font>
      <b/>
      <sz val="11"/>
      <color theme="7"/>
      <name val="Calibri"/>
      <family val="2"/>
      <scheme val="minor"/>
    </font>
    <font>
      <b/>
      <sz val="11"/>
      <color rgb="FFC00000"/>
      <name val="Calibri"/>
      <family val="2"/>
      <scheme val="minor"/>
    </font>
    <font>
      <b/>
      <sz val="12"/>
      <color theme="1" tint="0.249977111117893"/>
      <name val="Calibri"/>
      <family val="2"/>
    </font>
    <font>
      <b/>
      <sz val="11"/>
      <color theme="4"/>
      <name val="Calibri"/>
      <family val="2"/>
      <scheme val="minor"/>
    </font>
    <font>
      <b/>
      <sz val="11"/>
      <color theme="5"/>
      <name val="Calibri"/>
      <family val="2"/>
      <scheme val="minor"/>
    </font>
    <font>
      <sz val="11"/>
      <color rgb="FF000000"/>
      <name val="Arial"/>
      <family val="2"/>
    </font>
  </fonts>
  <fills count="16">
    <fill>
      <patternFill patternType="none"/>
    </fill>
    <fill>
      <patternFill patternType="gray125"/>
    </fill>
    <fill>
      <patternFill patternType="solid">
        <fgColor indexed="42"/>
        <bgColor indexed="64"/>
      </patternFill>
    </fill>
    <fill>
      <patternFill patternType="solid">
        <fgColor theme="0"/>
        <bgColor indexed="64"/>
      </patternFill>
    </fill>
    <fill>
      <patternFill patternType="solid">
        <fgColor theme="0" tint="-4.9989318521683403E-2"/>
        <bgColor indexed="64"/>
      </patternFill>
    </fill>
    <fill>
      <patternFill patternType="solid">
        <fgColor indexed="9"/>
        <bgColor indexed="64"/>
      </patternFill>
    </fill>
    <fill>
      <patternFill patternType="solid">
        <fgColor theme="9" tint="0.79998168889431442"/>
        <bgColor indexed="64"/>
      </patternFill>
    </fill>
    <fill>
      <patternFill patternType="solid">
        <fgColor rgb="FFF3F9FF"/>
        <bgColor indexed="64"/>
      </patternFill>
    </fill>
    <fill>
      <gradientFill degree="270">
        <stop position="0">
          <color rgb="FF62BD8A"/>
        </stop>
        <stop position="1">
          <color rgb="FF98D4B2"/>
        </stop>
      </gradientFill>
    </fill>
    <fill>
      <patternFill patternType="solid">
        <fgColor rgb="FFB9E1CB"/>
        <bgColor indexed="64"/>
      </patternFill>
    </fill>
    <fill>
      <patternFill patternType="solid">
        <fgColor rgb="FFEAEAEA"/>
        <bgColor indexed="64"/>
      </patternFill>
    </fill>
    <fill>
      <patternFill patternType="solid">
        <fgColor theme="2" tint="-9.9978637043366805E-2"/>
        <bgColor indexed="64"/>
      </patternFill>
    </fill>
    <fill>
      <patternFill patternType="solid">
        <fgColor rgb="FFF0FAF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E5F7EE"/>
        <bgColor indexed="64"/>
      </patternFill>
    </fill>
  </fills>
  <borders count="46">
    <border>
      <left/>
      <right/>
      <top/>
      <bottom/>
      <diagonal/>
    </border>
    <border>
      <left/>
      <right/>
      <top/>
      <bottom style="thin">
        <color indexed="64"/>
      </bottom>
      <diagonal/>
    </border>
    <border>
      <left/>
      <right/>
      <top style="thin">
        <color indexed="64"/>
      </top>
      <bottom style="thin">
        <color indexed="64"/>
      </bottom>
      <diagonal/>
    </border>
    <border>
      <left/>
      <right/>
      <top/>
      <bottom style="medium">
        <color indexed="64"/>
      </bottom>
      <diagonal/>
    </border>
    <border>
      <left/>
      <right/>
      <top/>
      <bottom style="thin">
        <color rgb="FF91E0FF"/>
      </bottom>
      <diagonal/>
    </border>
    <border>
      <left style="thick">
        <color theme="0"/>
      </left>
      <right/>
      <top/>
      <bottom style="thin">
        <color rgb="FF91E0FF"/>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style="thin">
        <color rgb="FF91E0FF"/>
      </top>
      <bottom style="thin">
        <color rgb="FF91E0FF"/>
      </bottom>
      <diagonal/>
    </border>
    <border>
      <left style="thick">
        <color theme="0"/>
      </left>
      <right/>
      <top style="thin">
        <color rgb="FF91E0FF"/>
      </top>
      <bottom style="thin">
        <color rgb="FF91E0FF"/>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
      <left style="thin">
        <color theme="9" tint="0.59996337778862885"/>
      </left>
      <right style="thin">
        <color theme="9" tint="0.59996337778862885"/>
      </right>
      <top style="thin">
        <color theme="9" tint="0.59996337778862885"/>
      </top>
      <bottom/>
      <diagonal/>
    </border>
    <border>
      <left style="thin">
        <color theme="9" tint="0.59996337778862885"/>
      </left>
      <right style="thin">
        <color theme="9" tint="0.59996337778862885"/>
      </right>
      <top/>
      <bottom/>
      <diagonal/>
    </border>
    <border>
      <left style="thin">
        <color theme="9" tint="0.59996337778862885"/>
      </left>
      <right style="thin">
        <color theme="9" tint="0.59996337778862885"/>
      </right>
      <top/>
      <bottom style="thin">
        <color theme="9" tint="0.59996337778862885"/>
      </bottom>
      <diagonal/>
    </border>
    <border>
      <left/>
      <right style="thin">
        <color theme="9" tint="0.59996337778862885"/>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59996337778862885"/>
      </bottom>
      <diagonal/>
    </border>
    <border>
      <left style="thin">
        <color theme="9" tint="0.59996337778862885"/>
      </left>
      <right/>
      <top style="thin">
        <color theme="9" tint="0.59996337778862885"/>
      </top>
      <bottom/>
      <diagonal/>
    </border>
    <border>
      <left/>
      <right/>
      <top style="thin">
        <color theme="9" tint="0.59996337778862885"/>
      </top>
      <bottom/>
      <diagonal/>
    </border>
    <border>
      <left/>
      <right style="thin">
        <color theme="9" tint="0.59996337778862885"/>
      </right>
      <top style="thin">
        <color theme="9" tint="0.59996337778862885"/>
      </top>
      <bottom/>
      <diagonal/>
    </border>
    <border>
      <left style="thin">
        <color theme="9" tint="0.59996337778862885"/>
      </left>
      <right/>
      <top/>
      <bottom style="thin">
        <color theme="9" tint="0.59996337778862885"/>
      </bottom>
      <diagonal/>
    </border>
    <border>
      <left/>
      <right/>
      <top/>
      <bottom style="thin">
        <color theme="9" tint="0.59996337778862885"/>
      </bottom>
      <diagonal/>
    </border>
    <border>
      <left/>
      <right style="thin">
        <color theme="9" tint="0.59996337778862885"/>
      </right>
      <top/>
      <bottom style="thin">
        <color theme="9" tint="0.59996337778862885"/>
      </bottom>
      <diagonal/>
    </border>
    <border>
      <left/>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39994506668294322"/>
      </bottom>
      <diagonal/>
    </border>
    <border>
      <left/>
      <right/>
      <top style="thin">
        <color theme="9" tint="0.59996337778862885"/>
      </top>
      <bottom style="thin">
        <color theme="9" tint="0.39994506668294322"/>
      </bottom>
      <diagonal/>
    </border>
    <border>
      <left/>
      <right style="thin">
        <color theme="9" tint="0.59996337778862885"/>
      </right>
      <top style="thin">
        <color theme="9" tint="0.59996337778862885"/>
      </top>
      <bottom style="thin">
        <color theme="9" tint="0.39994506668294322"/>
      </bottom>
      <diagonal/>
    </border>
    <border>
      <left/>
      <right/>
      <top style="thick">
        <color theme="0"/>
      </top>
      <bottom/>
      <diagonal/>
    </border>
    <border>
      <left style="thin">
        <color theme="9" tint="0.59996337778862885"/>
      </left>
      <right/>
      <top/>
      <bottom/>
      <diagonal/>
    </border>
    <border>
      <left/>
      <right style="thin">
        <color theme="9" tint="0.59996337778862885"/>
      </right>
      <top/>
      <bottom/>
      <diagonal/>
    </border>
    <border>
      <left style="thin">
        <color theme="9" tint="0.39994506668294322"/>
      </left>
      <right/>
      <top style="thin">
        <color theme="9" tint="0.39994506668294322"/>
      </top>
      <bottom style="thin">
        <color theme="9" tint="0.39994506668294322"/>
      </bottom>
      <diagonal/>
    </border>
    <border>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style="thin">
        <color theme="9" tint="0.39991454817346722"/>
      </left>
      <right/>
      <top style="thin">
        <color theme="9" tint="0.39991454817346722"/>
      </top>
      <bottom style="thin">
        <color theme="9" tint="0.39991454817346722"/>
      </bottom>
      <diagonal/>
    </border>
    <border>
      <left/>
      <right/>
      <top style="thin">
        <color theme="9" tint="0.39991454817346722"/>
      </top>
      <bottom style="thin">
        <color theme="9" tint="0.39991454817346722"/>
      </bottom>
      <diagonal/>
    </border>
    <border>
      <left/>
      <right style="thin">
        <color theme="9" tint="0.39991454817346722"/>
      </right>
      <top style="thin">
        <color theme="9" tint="0.39991454817346722"/>
      </top>
      <bottom style="thin">
        <color theme="9" tint="0.39991454817346722"/>
      </bottom>
      <diagonal/>
    </border>
    <border>
      <left style="thin">
        <color theme="9" tint="0.39994506668294322"/>
      </left>
      <right/>
      <top style="thin">
        <color theme="9" tint="0.39994506668294322"/>
      </top>
      <bottom/>
      <diagonal/>
    </border>
    <border>
      <left/>
      <right/>
      <top style="thin">
        <color theme="9" tint="0.39994506668294322"/>
      </top>
      <bottom/>
      <diagonal/>
    </border>
    <border>
      <left style="thin">
        <color theme="9" tint="0.39991454817346722"/>
      </left>
      <right/>
      <top style="thin">
        <color theme="9" tint="0.39991454817346722"/>
      </top>
      <bottom/>
      <diagonal/>
    </border>
    <border>
      <left/>
      <right/>
      <top style="thin">
        <color theme="9" tint="0.39991454817346722"/>
      </top>
      <bottom/>
      <diagonal/>
    </border>
    <border>
      <left/>
      <right style="thin">
        <color theme="9" tint="0.39991454817346722"/>
      </right>
      <top style="thin">
        <color theme="9" tint="0.39991454817346722"/>
      </top>
      <bottom/>
      <diagonal/>
    </border>
    <border>
      <left style="thin">
        <color theme="9" tint="0.59996337778862885"/>
      </left>
      <right/>
      <top style="thin">
        <color theme="9" tint="0.39991454817346722"/>
      </top>
      <bottom style="thin">
        <color theme="9" tint="0.59996337778862885"/>
      </bottom>
      <diagonal/>
    </border>
    <border>
      <left/>
      <right/>
      <top style="thin">
        <color theme="9" tint="0.39991454817346722"/>
      </top>
      <bottom style="thin">
        <color theme="9" tint="0.59996337778862885"/>
      </bottom>
      <diagonal/>
    </border>
    <border>
      <left/>
      <right style="thin">
        <color theme="9" tint="0.59996337778862885"/>
      </right>
      <top style="thin">
        <color theme="9" tint="0.39991454817346722"/>
      </top>
      <bottom style="thin">
        <color theme="9" tint="0.59996337778862885"/>
      </bottom>
      <diagonal/>
    </border>
    <border>
      <left/>
      <right/>
      <top style="thin">
        <color theme="0" tint="-0.14996795556505021"/>
      </top>
      <bottom style="thick">
        <color theme="0"/>
      </bottom>
      <diagonal/>
    </border>
    <border>
      <left/>
      <right/>
      <top style="thin">
        <color theme="0" tint="-0.14996795556505021"/>
      </top>
      <bottom style="thin">
        <color theme="0" tint="-0.14996795556505021"/>
      </bottom>
      <diagonal/>
    </border>
  </borders>
  <cellStyleXfs count="7">
    <xf numFmtId="0" fontId="0" fillId="0" borderId="0"/>
    <xf numFmtId="9" fontId="4" fillId="0" borderId="0" applyFont="0" applyFill="0" applyBorder="0" applyAlignment="0" applyProtection="0"/>
    <xf numFmtId="0" fontId="3" fillId="0" borderId="0" applyNumberFormat="0" applyFill="0" applyBorder="0" applyAlignment="0" applyProtection="0">
      <alignment vertical="top"/>
      <protection locked="0"/>
    </xf>
    <xf numFmtId="0" fontId="4" fillId="0" borderId="0"/>
    <xf numFmtId="166" fontId="4" fillId="0" borderId="0" applyFont="0" applyFill="0" applyBorder="0" applyAlignment="0" applyProtection="0"/>
    <xf numFmtId="169" fontId="4" fillId="0" borderId="0" applyFont="0" applyFill="0" applyBorder="0" applyAlignment="0" applyProtection="0"/>
    <xf numFmtId="0" fontId="4" fillId="0" borderId="0"/>
  </cellStyleXfs>
  <cellXfs count="281">
    <xf numFmtId="0" fontId="0" fillId="0" borderId="0" xfId="0"/>
    <xf numFmtId="0" fontId="6" fillId="3" borderId="0" xfId="0" applyFont="1" applyFill="1" applyProtection="1">
      <protection locked="0"/>
    </xf>
    <xf numFmtId="0" fontId="6" fillId="0" borderId="0" xfId="3" applyFont="1"/>
    <xf numFmtId="0" fontId="6" fillId="0" borderId="0" xfId="3" applyFont="1" applyAlignment="1">
      <alignment horizontal="right"/>
    </xf>
    <xf numFmtId="0" fontId="10" fillId="0" borderId="0" xfId="2" applyFont="1" applyAlignment="1" applyProtection="1"/>
    <xf numFmtId="0" fontId="6" fillId="0" borderId="0" xfId="3" applyFont="1" applyAlignment="1">
      <alignment horizontal="left"/>
    </xf>
    <xf numFmtId="0" fontId="9" fillId="0" borderId="0" xfId="3" applyFont="1"/>
    <xf numFmtId="0" fontId="12" fillId="0" borderId="0" xfId="3" applyFont="1"/>
    <xf numFmtId="0" fontId="13" fillId="3" borderId="0" xfId="0" applyFont="1" applyFill="1"/>
    <xf numFmtId="0" fontId="11" fillId="3" borderId="0" xfId="0" applyFont="1" applyFill="1" applyAlignment="1">
      <alignment vertical="top"/>
    </xf>
    <xf numFmtId="0" fontId="7" fillId="3" borderId="0" xfId="0" applyFont="1" applyFill="1" applyAlignment="1">
      <alignment vertical="center"/>
    </xf>
    <xf numFmtId="0" fontId="7" fillId="3" borderId="0" xfId="0" applyFont="1" applyFill="1"/>
    <xf numFmtId="0" fontId="6" fillId="0" borderId="0" xfId="3" applyFont="1" applyAlignment="1">
      <alignment horizontal="center"/>
    </xf>
    <xf numFmtId="0" fontId="16" fillId="3" borderId="0" xfId="0" applyFont="1" applyFill="1" applyProtection="1">
      <protection locked="0"/>
    </xf>
    <xf numFmtId="0" fontId="16" fillId="0" borderId="0" xfId="0" applyFont="1" applyProtection="1">
      <protection locked="0"/>
    </xf>
    <xf numFmtId="0" fontId="16" fillId="0" borderId="0" xfId="0" applyFont="1" applyAlignment="1" applyProtection="1">
      <alignment vertical="center"/>
      <protection locked="0"/>
    </xf>
    <xf numFmtId="0" fontId="16" fillId="3" borderId="0" xfId="0" applyFont="1" applyFill="1" applyAlignment="1" applyProtection="1">
      <alignment vertical="center"/>
      <protection locked="0"/>
    </xf>
    <xf numFmtId="0" fontId="15" fillId="0" borderId="0" xfId="0" applyFont="1" applyProtection="1">
      <protection locked="0"/>
    </xf>
    <xf numFmtId="0" fontId="15" fillId="3" borderId="0" xfId="0" applyFont="1" applyFill="1" applyProtection="1">
      <protection locked="0"/>
    </xf>
    <xf numFmtId="0" fontId="16" fillId="3" borderId="0" xfId="0" applyFont="1" applyFill="1" applyAlignment="1" applyProtection="1">
      <alignment vertical="center" wrapText="1"/>
      <protection locked="0"/>
    </xf>
    <xf numFmtId="0" fontId="16" fillId="0" borderId="0" xfId="0" applyFont="1" applyAlignment="1" applyProtection="1">
      <alignment vertical="center" wrapText="1"/>
      <protection locked="0"/>
    </xf>
    <xf numFmtId="0" fontId="16" fillId="3" borderId="0" xfId="0" applyFont="1" applyFill="1" applyAlignment="1">
      <alignment horizontal="center" vertical="center"/>
    </xf>
    <xf numFmtId="0" fontId="16" fillId="0" borderId="0" xfId="0" applyFont="1" applyAlignment="1">
      <alignment horizontal="center" vertical="center"/>
    </xf>
    <xf numFmtId="0" fontId="16" fillId="3" borderId="0" xfId="0" applyFont="1" applyFill="1"/>
    <xf numFmtId="0" fontId="16" fillId="0" borderId="0" xfId="0" applyFont="1"/>
    <xf numFmtId="0" fontId="8" fillId="3" borderId="0" xfId="0" applyFont="1" applyFill="1"/>
    <xf numFmtId="0" fontId="17" fillId="3" borderId="0" xfId="0" applyFont="1" applyFill="1"/>
    <xf numFmtId="0" fontId="18" fillId="3" borderId="0" xfId="0" applyFont="1" applyFill="1" applyAlignment="1">
      <alignment horizontal="right"/>
    </xf>
    <xf numFmtId="0" fontId="18" fillId="3" borderId="0" xfId="0" applyFont="1" applyFill="1" applyAlignment="1">
      <alignment horizontal="right" vertical="top"/>
    </xf>
    <xf numFmtId="0" fontId="18" fillId="3" borderId="0" xfId="0" applyFont="1" applyFill="1" applyAlignment="1">
      <alignment horizontal="right" vertical="center"/>
    </xf>
    <xf numFmtId="0" fontId="6" fillId="3" borderId="0" xfId="0" applyFont="1" applyFill="1"/>
    <xf numFmtId="0" fontId="0" fillId="3" borderId="0" xfId="0" applyFill="1"/>
    <xf numFmtId="0" fontId="19" fillId="7" borderId="4" xfId="0" applyFont="1" applyFill="1" applyBorder="1" applyAlignment="1">
      <alignment vertical="center"/>
    </xf>
    <xf numFmtId="0" fontId="22" fillId="8" borderId="8" xfId="0" applyFont="1" applyFill="1" applyBorder="1" applyAlignment="1">
      <alignment vertical="center"/>
    </xf>
    <xf numFmtId="0" fontId="23" fillId="8" borderId="8" xfId="0" applyFont="1" applyFill="1" applyBorder="1" applyAlignment="1">
      <alignment vertical="center"/>
    </xf>
    <xf numFmtId="14" fontId="21" fillId="4" borderId="6" xfId="0" applyNumberFormat="1" applyFont="1" applyFill="1" applyBorder="1" applyAlignment="1">
      <alignment horizontal="center" vertical="center"/>
    </xf>
    <xf numFmtId="0" fontId="21" fillId="4" borderId="7" xfId="0" applyFont="1" applyFill="1" applyBorder="1" applyAlignment="1">
      <alignment horizontal="center" vertical="center"/>
    </xf>
    <xf numFmtId="0" fontId="26" fillId="0" borderId="0" xfId="3" applyFont="1"/>
    <xf numFmtId="0" fontId="27" fillId="0" borderId="0" xfId="3" applyFont="1"/>
    <xf numFmtId="165" fontId="27" fillId="0" borderId="0" xfId="3" applyNumberFormat="1" applyFont="1"/>
    <xf numFmtId="0" fontId="28" fillId="0" borderId="0" xfId="3" applyFont="1"/>
    <xf numFmtId="0" fontId="30" fillId="0" borderId="0" xfId="3" applyFont="1" applyAlignment="1">
      <alignment horizontal="right"/>
    </xf>
    <xf numFmtId="0" fontId="25" fillId="9" borderId="11" xfId="0" applyFont="1" applyFill="1" applyBorder="1" applyAlignment="1">
      <alignment horizontal="center" vertical="center" wrapText="1"/>
    </xf>
    <xf numFmtId="17" fontId="25" fillId="9" borderId="11" xfId="0" applyNumberFormat="1" applyFont="1" applyFill="1" applyBorder="1" applyAlignment="1">
      <alignment horizontal="center" vertical="center" wrapText="1"/>
    </xf>
    <xf numFmtId="0" fontId="31" fillId="0" borderId="11" xfId="3" applyFont="1" applyBorder="1" applyAlignment="1">
      <alignment horizontal="center"/>
    </xf>
    <xf numFmtId="0" fontId="31" fillId="0" borderId="11" xfId="3" applyFont="1" applyBorder="1"/>
    <xf numFmtId="0" fontId="31" fillId="0" borderId="11" xfId="3" applyFont="1" applyBorder="1" applyAlignment="1">
      <alignment horizontal="center" vertical="center"/>
    </xf>
    <xf numFmtId="0" fontId="31" fillId="0" borderId="11" xfId="3" applyFont="1" applyBorder="1" applyAlignment="1">
      <alignment vertical="center"/>
    </xf>
    <xf numFmtId="165" fontId="31" fillId="0" borderId="11" xfId="3" applyNumberFormat="1" applyFont="1" applyBorder="1" applyAlignment="1">
      <alignment vertical="center"/>
    </xf>
    <xf numFmtId="165" fontId="31" fillId="10" borderId="12" xfId="3" applyNumberFormat="1" applyFont="1" applyFill="1" applyBorder="1" applyAlignment="1">
      <alignment vertical="center"/>
    </xf>
    <xf numFmtId="165" fontId="31" fillId="10" borderId="13" xfId="3" applyNumberFormat="1" applyFont="1" applyFill="1" applyBorder="1" applyAlignment="1">
      <alignment vertical="center"/>
    </xf>
    <xf numFmtId="165" fontId="31" fillId="10" borderId="14" xfId="3" applyNumberFormat="1" applyFont="1" applyFill="1" applyBorder="1" applyAlignment="1">
      <alignment vertical="center"/>
    </xf>
    <xf numFmtId="165" fontId="30" fillId="0" borderId="0" xfId="3" applyNumberFormat="1" applyFont="1"/>
    <xf numFmtId="0" fontId="14" fillId="0" borderId="0" xfId="3" applyFont="1"/>
    <xf numFmtId="0" fontId="16" fillId="0" borderId="0" xfId="3" applyFont="1"/>
    <xf numFmtId="0" fontId="30" fillId="0" borderId="0" xfId="3" applyFont="1"/>
    <xf numFmtId="0" fontId="29" fillId="0" borderId="0" xfId="3" applyFont="1"/>
    <xf numFmtId="0" fontId="28" fillId="0" borderId="0" xfId="3" applyFont="1" applyAlignment="1">
      <alignment horizontal="right"/>
    </xf>
    <xf numFmtId="165" fontId="31" fillId="0" borderId="15" xfId="3" applyNumberFormat="1" applyFont="1" applyBorder="1" applyAlignment="1">
      <alignment vertical="center"/>
    </xf>
    <xf numFmtId="168" fontId="28" fillId="0" borderId="0" xfId="3" applyNumberFormat="1" applyFont="1"/>
    <xf numFmtId="168" fontId="32" fillId="6" borderId="0" xfId="3" applyNumberFormat="1" applyFont="1" applyFill="1"/>
    <xf numFmtId="165" fontId="28" fillId="0" borderId="0" xfId="3" applyNumberFormat="1" applyFont="1" applyAlignment="1">
      <alignment horizontal="right" vertical="center"/>
    </xf>
    <xf numFmtId="0" fontId="31" fillId="11" borderId="0" xfId="3" applyFont="1" applyFill="1" applyAlignment="1">
      <alignment vertical="center"/>
    </xf>
    <xf numFmtId="0" fontId="28" fillId="11" borderId="0" xfId="3" applyFont="1" applyFill="1" applyAlignment="1">
      <alignment vertical="center"/>
    </xf>
    <xf numFmtId="0" fontId="28" fillId="0" borderId="0" xfId="3" applyFont="1" applyAlignment="1">
      <alignment horizontal="left"/>
    </xf>
    <xf numFmtId="0" fontId="31" fillId="0" borderId="0" xfId="3" applyFont="1"/>
    <xf numFmtId="0" fontId="25" fillId="9" borderId="12" xfId="0" applyFont="1" applyFill="1" applyBorder="1" applyAlignment="1">
      <alignment horizontal="center" vertical="center" wrapText="1"/>
    </xf>
    <xf numFmtId="17" fontId="25" fillId="9" borderId="12" xfId="0" applyNumberFormat="1" applyFont="1" applyFill="1" applyBorder="1" applyAlignment="1">
      <alignment horizontal="center" vertical="center" wrapText="1"/>
    </xf>
    <xf numFmtId="9" fontId="31" fillId="0" borderId="11" xfId="1" applyFont="1" applyFill="1" applyBorder="1" applyAlignment="1">
      <alignment horizontal="center"/>
    </xf>
    <xf numFmtId="0" fontId="31" fillId="0" borderId="11" xfId="3" applyFont="1" applyBorder="1" applyAlignment="1">
      <alignment horizontal="left"/>
    </xf>
    <xf numFmtId="0" fontId="31" fillId="0" borderId="14" xfId="3" applyFont="1" applyBorder="1"/>
    <xf numFmtId="0" fontId="31" fillId="0" borderId="0" xfId="3" applyFont="1" applyAlignment="1">
      <alignment horizontal="right"/>
    </xf>
    <xf numFmtId="168" fontId="31" fillId="2" borderId="0" xfId="3" applyNumberFormat="1" applyFont="1" applyFill="1"/>
    <xf numFmtId="0" fontId="31" fillId="0" borderId="0" xfId="3" applyFont="1" applyAlignment="1">
      <alignment horizontal="center"/>
    </xf>
    <xf numFmtId="168" fontId="30" fillId="0" borderId="0" xfId="3" applyNumberFormat="1" applyFont="1"/>
    <xf numFmtId="0" fontId="34" fillId="0" borderId="0" xfId="3" applyFont="1" applyAlignment="1">
      <alignment horizontal="right"/>
    </xf>
    <xf numFmtId="0" fontId="33" fillId="0" borderId="0" xfId="3" applyFont="1"/>
    <xf numFmtId="165" fontId="31" fillId="0" borderId="11" xfId="4" applyNumberFormat="1" applyFont="1" applyFill="1" applyBorder="1"/>
    <xf numFmtId="165" fontId="33" fillId="0" borderId="11" xfId="4" applyNumberFormat="1" applyFont="1" applyFill="1" applyBorder="1"/>
    <xf numFmtId="165" fontId="31" fillId="0" borderId="0" xfId="4" applyNumberFormat="1" applyFont="1" applyFill="1" applyBorder="1"/>
    <xf numFmtId="0" fontId="2" fillId="0" borderId="11" xfId="3" applyFont="1" applyBorder="1" applyAlignment="1">
      <alignment horizontal="right"/>
    </xf>
    <xf numFmtId="2" fontId="2" fillId="0" borderId="11" xfId="1" applyNumberFormat="1" applyFont="1" applyBorder="1" applyAlignment="1">
      <alignment horizontal="right"/>
    </xf>
    <xf numFmtId="167" fontId="31" fillId="0" borderId="11" xfId="3" applyNumberFormat="1" applyFont="1" applyBorder="1" applyAlignment="1">
      <alignment horizontal="right"/>
    </xf>
    <xf numFmtId="0" fontId="28" fillId="0" borderId="3" xfId="0" applyFont="1" applyBorder="1" applyAlignment="1" applyProtection="1">
      <alignment vertical="top" wrapText="1"/>
      <protection locked="0"/>
    </xf>
    <xf numFmtId="0" fontId="28" fillId="3" borderId="0" xfId="0" applyFont="1" applyFill="1" applyProtection="1">
      <protection locked="0"/>
    </xf>
    <xf numFmtId="0" fontId="20" fillId="7" borderId="9" xfId="0" applyFont="1" applyFill="1" applyBorder="1" applyAlignment="1">
      <alignment vertical="center"/>
    </xf>
    <xf numFmtId="0" fontId="20" fillId="7" borderId="4" xfId="0" applyFont="1" applyFill="1" applyBorder="1" applyAlignment="1">
      <alignment vertical="center"/>
    </xf>
    <xf numFmtId="0" fontId="22" fillId="8" borderId="27" xfId="0" applyFont="1" applyFill="1" applyBorder="1" applyAlignment="1">
      <alignment vertical="center"/>
    </xf>
    <xf numFmtId="0" fontId="23" fillId="8" borderId="27" xfId="0" applyFont="1" applyFill="1" applyBorder="1" applyAlignment="1">
      <alignment vertical="center"/>
    </xf>
    <xf numFmtId="0" fontId="22" fillId="0" borderId="0" xfId="0" applyFont="1" applyAlignment="1">
      <alignment vertical="center"/>
    </xf>
    <xf numFmtId="0" fontId="23" fillId="0" borderId="0" xfId="0" applyFont="1" applyAlignment="1">
      <alignment vertical="center"/>
    </xf>
    <xf numFmtId="0" fontId="28" fillId="5" borderId="0" xfId="0" applyFont="1" applyFill="1" applyProtection="1">
      <protection locked="0"/>
    </xf>
    <xf numFmtId="0" fontId="30" fillId="5" borderId="0" xfId="0" applyFont="1" applyFill="1" applyAlignment="1" applyProtection="1">
      <alignment horizontal="left"/>
      <protection locked="0"/>
    </xf>
    <xf numFmtId="0" fontId="28" fillId="5" borderId="0" xfId="0" applyFont="1" applyFill="1" applyAlignment="1" applyProtection="1">
      <alignment horizontal="left"/>
      <protection locked="0"/>
    </xf>
    <xf numFmtId="0" fontId="28" fillId="0" borderId="0" xfId="0" applyFont="1" applyProtection="1">
      <protection locked="0"/>
    </xf>
    <xf numFmtId="0" fontId="28" fillId="0" borderId="0" xfId="0" applyFont="1" applyAlignment="1" applyProtection="1">
      <alignment horizontal="left" vertical="top" wrapText="1" indent="1"/>
      <protection locked="0"/>
    </xf>
    <xf numFmtId="0" fontId="28" fillId="5" borderId="0" xfId="0" applyFont="1" applyFill="1" applyAlignment="1" applyProtection="1">
      <alignment horizontal="right"/>
      <protection locked="0"/>
    </xf>
    <xf numFmtId="0" fontId="28" fillId="5" borderId="0" xfId="0" applyFont="1" applyFill="1"/>
    <xf numFmtId="0" fontId="28" fillId="0" borderId="0" xfId="0" applyFont="1" applyAlignment="1" applyProtection="1">
      <alignment vertical="top" wrapText="1"/>
      <protection locked="0"/>
    </xf>
    <xf numFmtId="0" fontId="31" fillId="5" borderId="0" xfId="0" applyFont="1" applyFill="1" applyProtection="1">
      <protection locked="0"/>
    </xf>
    <xf numFmtId="0" fontId="31" fillId="5" borderId="0" xfId="0" applyFont="1" applyFill="1" applyAlignment="1" applyProtection="1">
      <alignment horizontal="left"/>
      <protection locked="0"/>
    </xf>
    <xf numFmtId="0" fontId="31" fillId="5" borderId="11" xfId="0" applyFont="1" applyFill="1" applyBorder="1" applyAlignment="1" applyProtection="1">
      <alignment horizontal="center"/>
      <protection locked="0"/>
    </xf>
    <xf numFmtId="0" fontId="31" fillId="5" borderId="15" xfId="0" applyFont="1" applyFill="1" applyBorder="1" applyAlignment="1" applyProtection="1">
      <alignment horizontal="center"/>
      <protection locked="0"/>
    </xf>
    <xf numFmtId="0" fontId="28" fillId="5" borderId="17" xfId="0" applyFont="1" applyFill="1" applyBorder="1" applyProtection="1">
      <protection locked="0"/>
    </xf>
    <xf numFmtId="0" fontId="28" fillId="5" borderId="28" xfId="0" applyFont="1" applyFill="1" applyBorder="1" applyProtection="1">
      <protection locked="0"/>
    </xf>
    <xf numFmtId="0" fontId="28" fillId="5" borderId="29" xfId="0" applyFont="1" applyFill="1" applyBorder="1" applyProtection="1">
      <protection locked="0"/>
    </xf>
    <xf numFmtId="0" fontId="28" fillId="5" borderId="29" xfId="0" applyFont="1" applyFill="1" applyBorder="1" applyAlignment="1" applyProtection="1">
      <alignment horizontal="left"/>
      <protection locked="0"/>
    </xf>
    <xf numFmtId="0" fontId="30" fillId="5" borderId="28" xfId="0" applyFont="1" applyFill="1" applyBorder="1" applyAlignment="1">
      <alignment horizontal="center"/>
    </xf>
    <xf numFmtId="0" fontId="36" fillId="15" borderId="11" xfId="0" applyFont="1" applyFill="1" applyBorder="1" applyAlignment="1">
      <alignment horizontal="center" vertical="center" wrapText="1"/>
    </xf>
    <xf numFmtId="0" fontId="36" fillId="15" borderId="11" xfId="0" applyFont="1" applyFill="1" applyBorder="1" applyAlignment="1" applyProtection="1">
      <alignment horizontal="center" vertical="center"/>
      <protection locked="0"/>
    </xf>
    <xf numFmtId="166" fontId="31" fillId="0" borderId="11" xfId="5" applyNumberFormat="1" applyFont="1" applyBorder="1" applyAlignment="1" applyProtection="1">
      <alignment vertical="center" wrapText="1"/>
      <protection locked="0"/>
    </xf>
    <xf numFmtId="2" fontId="31" fillId="0" borderId="11" xfId="1" applyNumberFormat="1" applyFont="1" applyBorder="1" applyAlignment="1" applyProtection="1">
      <alignment horizontal="center" vertical="center" wrapText="1"/>
    </xf>
    <xf numFmtId="165" fontId="31" fillId="0" borderId="11" xfId="5" applyNumberFormat="1" applyFont="1" applyBorder="1" applyAlignment="1" applyProtection="1">
      <alignment vertical="center" wrapText="1"/>
    </xf>
    <xf numFmtId="0" fontId="31" fillId="0" borderId="11" xfId="0" applyFont="1" applyBorder="1" applyAlignment="1">
      <alignment horizontal="center" vertical="center" wrapText="1"/>
    </xf>
    <xf numFmtId="0" fontId="36" fillId="15" borderId="11" xfId="3" applyFont="1" applyFill="1" applyBorder="1" applyAlignment="1">
      <alignment horizontal="center" vertical="center" wrapText="1"/>
    </xf>
    <xf numFmtId="0" fontId="33" fillId="3" borderId="11" xfId="3" applyFont="1" applyFill="1" applyBorder="1" applyAlignment="1">
      <alignment horizontal="center" vertical="center" wrapText="1"/>
    </xf>
    <xf numFmtId="9" fontId="33" fillId="3" borderId="11" xfId="3" applyNumberFormat="1" applyFont="1" applyFill="1" applyBorder="1" applyAlignment="1">
      <alignment horizontal="center" vertical="center" wrapText="1"/>
    </xf>
    <xf numFmtId="14" fontId="33" fillId="3" borderId="11" xfId="3" applyNumberFormat="1" applyFont="1" applyFill="1" applyBorder="1" applyAlignment="1">
      <alignment horizontal="center" vertical="center" wrapText="1"/>
    </xf>
    <xf numFmtId="0" fontId="31" fillId="3" borderId="11" xfId="3" applyFont="1" applyFill="1" applyBorder="1" applyAlignment="1">
      <alignment horizontal="center" vertical="center" wrapText="1"/>
    </xf>
    <xf numFmtId="0" fontId="36" fillId="15" borderId="12" xfId="3" applyFont="1" applyFill="1" applyBorder="1" applyAlignment="1">
      <alignment horizontal="center" vertical="center" wrapText="1"/>
    </xf>
    <xf numFmtId="0" fontId="31" fillId="0" borderId="11" xfId="0" applyFont="1" applyBorder="1" applyAlignment="1">
      <alignment horizontal="left" vertical="center" wrapText="1"/>
    </xf>
    <xf numFmtId="3" fontId="31" fillId="0" borderId="11" xfId="0" applyNumberFormat="1" applyFont="1" applyBorder="1" applyAlignment="1">
      <alignment horizontal="center" vertical="center" wrapText="1"/>
    </xf>
    <xf numFmtId="0" fontId="31" fillId="5" borderId="11" xfId="0" applyFont="1" applyFill="1" applyBorder="1" applyAlignment="1">
      <alignment horizontal="left" vertical="center" wrapText="1"/>
    </xf>
    <xf numFmtId="0" fontId="33" fillId="0" borderId="11" xfId="0" applyFont="1" applyBorder="1" applyAlignment="1">
      <alignment horizontal="center" vertical="center"/>
    </xf>
    <xf numFmtId="0" fontId="37" fillId="6" borderId="28" xfId="0" applyFont="1" applyFill="1" applyBorder="1" applyAlignment="1">
      <alignment horizontal="center"/>
    </xf>
    <xf numFmtId="0" fontId="38" fillId="13" borderId="28" xfId="0" applyFont="1" applyFill="1" applyBorder="1" applyAlignment="1">
      <alignment horizontal="center"/>
    </xf>
    <xf numFmtId="0" fontId="39" fillId="14" borderId="20" xfId="0" applyFont="1" applyFill="1" applyBorder="1" applyAlignment="1">
      <alignment horizontal="center"/>
    </xf>
    <xf numFmtId="0" fontId="19" fillId="7" borderId="5" xfId="0" applyFont="1" applyFill="1" applyBorder="1" applyAlignment="1">
      <alignment vertical="center"/>
    </xf>
    <xf numFmtId="0" fontId="19" fillId="7" borderId="10" xfId="0" applyFont="1" applyFill="1" applyBorder="1" applyAlignment="1">
      <alignment vertical="center"/>
    </xf>
    <xf numFmtId="0" fontId="19" fillId="7" borderId="9" xfId="0" applyFont="1" applyFill="1" applyBorder="1" applyAlignment="1">
      <alignment vertical="center"/>
    </xf>
    <xf numFmtId="0" fontId="35" fillId="0" borderId="0" xfId="0" applyFont="1" applyAlignment="1">
      <alignment horizontal="left" vertical="top" readingOrder="1"/>
    </xf>
    <xf numFmtId="0" fontId="24" fillId="3" borderId="0" xfId="0" applyFont="1" applyFill="1"/>
    <xf numFmtId="0" fontId="28" fillId="3" borderId="0" xfId="0" applyFont="1" applyFill="1"/>
    <xf numFmtId="0" fontId="1" fillId="3" borderId="0" xfId="0" applyFont="1" applyFill="1"/>
    <xf numFmtId="0" fontId="1" fillId="3" borderId="0" xfId="0" applyFont="1" applyFill="1" applyAlignment="1">
      <alignment horizontal="left" vertical="top" wrapText="1"/>
    </xf>
    <xf numFmtId="0" fontId="41" fillId="3" borderId="0" xfId="0" applyFont="1" applyFill="1" applyAlignment="1">
      <alignment horizontal="right"/>
    </xf>
    <xf numFmtId="0" fontId="1" fillId="3" borderId="0" xfId="0" applyFont="1" applyFill="1" applyAlignment="1">
      <alignment horizontal="left" vertical="top"/>
    </xf>
    <xf numFmtId="0" fontId="1" fillId="3" borderId="0" xfId="0" applyFont="1" applyFill="1" applyAlignment="1">
      <alignment horizontal="left" wrapText="1"/>
    </xf>
    <xf numFmtId="0" fontId="24" fillId="3" borderId="0" xfId="0" applyFont="1" applyFill="1" applyAlignment="1">
      <alignment horizontal="left" vertical="top"/>
    </xf>
    <xf numFmtId="0" fontId="30" fillId="0" borderId="0" xfId="3" applyFont="1" applyAlignment="1">
      <alignment horizontal="left" wrapText="1"/>
    </xf>
    <xf numFmtId="0" fontId="30" fillId="3" borderId="0" xfId="0" applyFont="1" applyFill="1" applyAlignment="1">
      <alignment horizontal="right"/>
    </xf>
    <xf numFmtId="0" fontId="42" fillId="3" borderId="0" xfId="0" applyFont="1" applyFill="1" applyProtection="1">
      <protection locked="0"/>
    </xf>
    <xf numFmtId="0" fontId="30" fillId="3" borderId="0" xfId="0" applyFont="1" applyFill="1"/>
    <xf numFmtId="0" fontId="28" fillId="3" borderId="0" xfId="0" applyFont="1" applyFill="1" applyAlignment="1" applyProtection="1">
      <alignment vertical="center"/>
      <protection locked="0"/>
    </xf>
    <xf numFmtId="0" fontId="30" fillId="3" borderId="0" xfId="0" applyFont="1" applyFill="1" applyAlignment="1">
      <alignment vertical="center"/>
    </xf>
    <xf numFmtId="0" fontId="31" fillId="0" borderId="1" xfId="3" applyFont="1" applyBorder="1"/>
    <xf numFmtId="0" fontId="28" fillId="0" borderId="0" xfId="3" applyFont="1" applyAlignment="1">
      <alignment vertical="center"/>
    </xf>
    <xf numFmtId="0" fontId="28" fillId="0" borderId="0" xfId="3" applyFont="1"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31" fillId="0" borderId="0" xfId="3" applyFont="1" applyAlignment="1">
      <alignment horizontal="centerContinuous"/>
    </xf>
    <xf numFmtId="0" fontId="6" fillId="0" borderId="0" xfId="3" applyFont="1" applyAlignment="1">
      <alignment horizontal="centerContinuous"/>
    </xf>
    <xf numFmtId="0" fontId="33" fillId="0" borderId="0" xfId="3" applyFont="1" applyAlignment="1">
      <alignment horizontal="centerContinuous"/>
    </xf>
    <xf numFmtId="0" fontId="4" fillId="0" borderId="0" xfId="0" applyFont="1" applyAlignment="1">
      <alignment horizontal="left" vertical="center"/>
    </xf>
    <xf numFmtId="0" fontId="31" fillId="0" borderId="0" xfId="3" applyFont="1" applyAlignment="1">
      <alignment horizontal="left" vertical="center"/>
    </xf>
    <xf numFmtId="0" fontId="33" fillId="0" borderId="0" xfId="3" applyFont="1" applyAlignment="1">
      <alignment horizontal="left" vertical="center"/>
    </xf>
    <xf numFmtId="0" fontId="0" fillId="0" borderId="0" xfId="0" applyAlignment="1">
      <alignment horizontal="left" vertical="center" wrapText="1"/>
    </xf>
    <xf numFmtId="0" fontId="0" fillId="0" borderId="0" xfId="0" applyAlignment="1">
      <alignment vertical="center" wrapText="1"/>
    </xf>
    <xf numFmtId="0" fontId="4" fillId="0" borderId="0" xfId="0" applyFont="1" applyAlignment="1">
      <alignment vertical="center"/>
    </xf>
    <xf numFmtId="0" fontId="4" fillId="0" borderId="0" xfId="0" applyFont="1" applyAlignment="1">
      <alignment vertical="center" wrapText="1"/>
    </xf>
    <xf numFmtId="0" fontId="4" fillId="0" borderId="0" xfId="0" applyFont="1" applyAlignment="1">
      <alignment horizontal="left" vertical="center" wrapText="1"/>
    </xf>
    <xf numFmtId="0" fontId="43" fillId="0" borderId="0" xfId="0" applyFont="1" applyAlignment="1">
      <alignment horizontal="center" vertical="center" readingOrder="1"/>
    </xf>
    <xf numFmtId="0" fontId="19" fillId="7" borderId="5" xfId="0" applyFont="1" applyFill="1" applyBorder="1" applyAlignment="1">
      <alignment horizontal="left" vertical="center"/>
    </xf>
    <xf numFmtId="0" fontId="19" fillId="7" borderId="4" xfId="0" applyFont="1" applyFill="1" applyBorder="1" applyAlignment="1">
      <alignment horizontal="left" vertical="center"/>
    </xf>
    <xf numFmtId="0" fontId="20" fillId="7" borderId="4" xfId="0" applyFont="1" applyFill="1" applyBorder="1" applyAlignment="1">
      <alignment horizontal="left" vertical="center"/>
    </xf>
    <xf numFmtId="0" fontId="21" fillId="4" borderId="6" xfId="0" applyFont="1" applyFill="1" applyBorder="1" applyAlignment="1">
      <alignment horizontal="left" vertical="center"/>
    </xf>
    <xf numFmtId="14" fontId="21" fillId="4" borderId="6" xfId="0" applyNumberFormat="1" applyFont="1" applyFill="1" applyBorder="1" applyAlignment="1">
      <alignment horizontal="center" vertical="center"/>
    </xf>
    <xf numFmtId="0" fontId="21" fillId="4" borderId="7" xfId="0" applyFont="1" applyFill="1" applyBorder="1" applyAlignment="1">
      <alignment horizontal="left" vertical="center"/>
    </xf>
    <xf numFmtId="0" fontId="21" fillId="4" borderId="7" xfId="0" applyFont="1" applyFill="1" applyBorder="1" applyAlignment="1">
      <alignment horizontal="center" vertical="center"/>
    </xf>
    <xf numFmtId="0" fontId="19" fillId="7" borderId="10" xfId="0" applyFont="1" applyFill="1" applyBorder="1" applyAlignment="1">
      <alignment horizontal="left" vertical="center"/>
    </xf>
    <xf numFmtId="0" fontId="19" fillId="7" borderId="9" xfId="0" applyFont="1" applyFill="1" applyBorder="1" applyAlignment="1">
      <alignment horizontal="left" vertical="center"/>
    </xf>
    <xf numFmtId="0" fontId="20" fillId="7" borderId="9" xfId="0" applyFont="1" applyFill="1" applyBorder="1" applyAlignment="1">
      <alignment horizontal="left" vertical="center"/>
    </xf>
    <xf numFmtId="0" fontId="1" fillId="3" borderId="0" xfId="0" applyFont="1" applyFill="1" applyAlignment="1">
      <alignment horizontal="left" vertical="top" wrapText="1"/>
    </xf>
    <xf numFmtId="0" fontId="6" fillId="3" borderId="0" xfId="0" applyFont="1" applyFill="1" applyAlignment="1">
      <alignment horizontal="left" wrapText="1"/>
    </xf>
    <xf numFmtId="0" fontId="28" fillId="3" borderId="0" xfId="0" applyFont="1" applyFill="1" applyAlignment="1" applyProtection="1">
      <alignment horizontal="left" wrapText="1"/>
      <protection locked="0"/>
    </xf>
    <xf numFmtId="0" fontId="1" fillId="3" borderId="0" xfId="0" applyFont="1" applyFill="1" applyAlignment="1">
      <alignment horizontal="left" wrapText="1"/>
    </xf>
    <xf numFmtId="0" fontId="30" fillId="0" borderId="0" xfId="3" applyFont="1" applyAlignment="1">
      <alignment horizontal="left" vertical="center" wrapText="1"/>
    </xf>
    <xf numFmtId="0" fontId="28" fillId="0" borderId="0" xfId="3" applyFont="1" applyAlignment="1">
      <alignment horizontal="left" vertical="center"/>
    </xf>
    <xf numFmtId="0" fontId="30" fillId="0" borderId="0" xfId="3" applyFont="1" applyAlignment="1">
      <alignment horizontal="left" wrapText="1"/>
    </xf>
    <xf numFmtId="0" fontId="28" fillId="0" borderId="0" xfId="3" applyFont="1" applyAlignment="1">
      <alignment wrapText="1"/>
    </xf>
    <xf numFmtId="0" fontId="28" fillId="0" borderId="0" xfId="3" applyFont="1"/>
    <xf numFmtId="14" fontId="31" fillId="0" borderId="2" xfId="3" applyNumberFormat="1" applyFont="1" applyBorder="1" applyAlignment="1">
      <alignment horizontal="left"/>
    </xf>
    <xf numFmtId="0" fontId="31" fillId="0" borderId="2" xfId="3" applyFont="1" applyBorder="1" applyAlignment="1">
      <alignment horizontal="left"/>
    </xf>
    <xf numFmtId="0" fontId="31" fillId="0" borderId="16" xfId="3" applyFont="1" applyBorder="1" applyAlignment="1">
      <alignment horizontal="left"/>
    </xf>
    <xf numFmtId="0" fontId="31" fillId="0" borderId="15" xfId="3" applyFont="1" applyBorder="1" applyAlignment="1">
      <alignment horizontal="left"/>
    </xf>
    <xf numFmtId="0" fontId="31" fillId="0" borderId="0" xfId="3" applyFont="1" applyAlignment="1">
      <alignment horizontal="left" vertical="top" wrapText="1"/>
    </xf>
    <xf numFmtId="17" fontId="31" fillId="0" borderId="1" xfId="3" applyNumberFormat="1" applyFont="1" applyBorder="1" applyAlignment="1">
      <alignment horizontal="center"/>
    </xf>
    <xf numFmtId="0" fontId="31" fillId="0" borderId="1" xfId="3" applyFont="1" applyBorder="1" applyAlignment="1">
      <alignment horizontal="center"/>
    </xf>
    <xf numFmtId="0" fontId="21" fillId="4" borderId="45" xfId="0" applyFont="1" applyFill="1" applyBorder="1" applyAlignment="1">
      <alignment horizontal="left" vertical="center"/>
    </xf>
    <xf numFmtId="0" fontId="28" fillId="0" borderId="23" xfId="0" applyFont="1" applyBorder="1" applyAlignment="1">
      <alignment horizontal="left" vertical="center" wrapText="1"/>
    </xf>
    <xf numFmtId="0" fontId="28" fillId="0" borderId="15" xfId="0" applyFont="1" applyBorder="1" applyAlignment="1">
      <alignment horizontal="left" vertical="center" wrapText="1"/>
    </xf>
    <xf numFmtId="0" fontId="40" fillId="0" borderId="0" xfId="0" applyFont="1" applyAlignment="1">
      <alignment horizontal="center" vertical="center"/>
    </xf>
    <xf numFmtId="0" fontId="25" fillId="9" borderId="22" xfId="0" applyFont="1" applyFill="1" applyBorder="1" applyAlignment="1">
      <alignment horizontal="left" vertical="center" wrapText="1"/>
    </xf>
    <xf numFmtId="0" fontId="25" fillId="9" borderId="14" xfId="0" applyFont="1" applyFill="1" applyBorder="1" applyAlignment="1">
      <alignment horizontal="left" vertical="center" wrapText="1"/>
    </xf>
    <xf numFmtId="0" fontId="25" fillId="9" borderId="20" xfId="0" applyFont="1" applyFill="1" applyBorder="1" applyAlignment="1">
      <alignment horizontal="left" vertical="center" wrapText="1"/>
    </xf>
    <xf numFmtId="0" fontId="25" fillId="9" borderId="29" xfId="0" applyFont="1" applyFill="1" applyBorder="1" applyAlignment="1">
      <alignment horizontal="left" vertical="center" wrapText="1"/>
    </xf>
    <xf numFmtId="0" fontId="25" fillId="9" borderId="13" xfId="0" applyFont="1" applyFill="1" applyBorder="1" applyAlignment="1">
      <alignment horizontal="left" vertical="center" wrapText="1"/>
    </xf>
    <xf numFmtId="0" fontId="25" fillId="9" borderId="28" xfId="0" applyFont="1" applyFill="1" applyBorder="1" applyAlignment="1">
      <alignment horizontal="left" vertical="center" wrapText="1"/>
    </xf>
    <xf numFmtId="0" fontId="36" fillId="15" borderId="36" xfId="0" applyFont="1" applyFill="1" applyBorder="1" applyAlignment="1" applyProtection="1">
      <alignment horizontal="left" vertical="center" wrapText="1"/>
      <protection locked="0"/>
    </xf>
    <xf numFmtId="0" fontId="36" fillId="15" borderId="37" xfId="0" applyFont="1" applyFill="1" applyBorder="1" applyAlignment="1" applyProtection="1">
      <alignment horizontal="left" vertical="center" wrapText="1"/>
      <protection locked="0"/>
    </xf>
    <xf numFmtId="0" fontId="36" fillId="15" borderId="38" xfId="0" applyFont="1" applyFill="1" applyBorder="1" applyAlignment="1" applyProtection="1">
      <alignment horizontal="center" vertical="center" wrapText="1"/>
      <protection locked="0"/>
    </xf>
    <xf numFmtId="0" fontId="36" fillId="15" borderId="39" xfId="0" applyFont="1" applyFill="1" applyBorder="1" applyAlignment="1" applyProtection="1">
      <alignment horizontal="center" vertical="center" wrapText="1"/>
      <protection locked="0"/>
    </xf>
    <xf numFmtId="0" fontId="36" fillId="15" borderId="40" xfId="0" applyFont="1" applyFill="1" applyBorder="1" applyAlignment="1" applyProtection="1">
      <alignment horizontal="center" vertical="center" wrapText="1"/>
      <protection locked="0"/>
    </xf>
    <xf numFmtId="0" fontId="31" fillId="5" borderId="11" xfId="0" applyFont="1" applyFill="1" applyBorder="1" applyAlignment="1">
      <alignment horizontal="left"/>
    </xf>
    <xf numFmtId="0" fontId="36" fillId="15" borderId="17" xfId="3" applyFont="1" applyFill="1" applyBorder="1" applyAlignment="1">
      <alignment horizontal="center" vertical="center" wrapText="1"/>
    </xf>
    <xf numFmtId="0" fontId="36" fillId="15" borderId="18" xfId="3" applyFont="1" applyFill="1" applyBorder="1" applyAlignment="1">
      <alignment horizontal="center" vertical="center" wrapText="1"/>
    </xf>
    <xf numFmtId="0" fontId="36" fillId="15" borderId="19" xfId="3" applyFont="1" applyFill="1" applyBorder="1" applyAlignment="1">
      <alignment horizontal="center" vertical="center" wrapText="1"/>
    </xf>
    <xf numFmtId="0" fontId="21" fillId="4" borderId="44" xfId="0" applyFont="1" applyFill="1" applyBorder="1" applyAlignment="1">
      <alignment horizontal="left" vertical="center"/>
    </xf>
    <xf numFmtId="0" fontId="31" fillId="5" borderId="16" xfId="0" applyFont="1" applyFill="1" applyBorder="1" applyAlignment="1">
      <alignment horizontal="left"/>
    </xf>
    <xf numFmtId="0" fontId="31" fillId="5" borderId="23" xfId="0" applyFont="1" applyFill="1" applyBorder="1" applyAlignment="1">
      <alignment horizontal="left"/>
    </xf>
    <xf numFmtId="0" fontId="31" fillId="5" borderId="15" xfId="0" applyFont="1" applyFill="1" applyBorder="1" applyAlignment="1">
      <alignment horizontal="left"/>
    </xf>
    <xf numFmtId="0" fontId="28" fillId="5" borderId="0" xfId="0" applyFont="1" applyFill="1" applyAlignment="1" applyProtection="1">
      <alignment horizontal="left"/>
      <protection locked="0"/>
    </xf>
    <xf numFmtId="0" fontId="28" fillId="5" borderId="29" xfId="0" applyFont="1" applyFill="1" applyBorder="1" applyAlignment="1" applyProtection="1">
      <alignment horizontal="left"/>
      <protection locked="0"/>
    </xf>
    <xf numFmtId="0" fontId="31" fillId="0" borderId="11" xfId="0" applyFont="1" applyBorder="1" applyAlignment="1" applyProtection="1">
      <alignment vertical="top" wrapText="1"/>
      <protection locked="0"/>
    </xf>
    <xf numFmtId="14" fontId="31" fillId="0" borderId="11" xfId="0" applyNumberFormat="1" applyFont="1" applyBorder="1" applyAlignment="1" applyProtection="1">
      <alignment horizontal="center" vertical="top" wrapText="1"/>
      <protection locked="0"/>
    </xf>
    <xf numFmtId="0" fontId="31" fillId="0" borderId="11" xfId="0" applyFont="1" applyBorder="1" applyAlignment="1" applyProtection="1">
      <alignment horizontal="center" vertical="top" wrapText="1"/>
      <protection locked="0"/>
    </xf>
    <xf numFmtId="0" fontId="28" fillId="0" borderId="11" xfId="0" applyFont="1" applyBorder="1" applyAlignment="1">
      <alignment horizontal="left" vertical="center" wrapText="1"/>
    </xf>
    <xf numFmtId="0" fontId="28" fillId="0" borderId="11" xfId="0" applyFont="1" applyBorder="1" applyAlignment="1" applyProtection="1">
      <alignment horizontal="center" vertical="center"/>
      <protection locked="0"/>
    </xf>
    <xf numFmtId="0" fontId="28" fillId="0" borderId="16" xfId="0" applyFont="1" applyBorder="1" applyAlignment="1" applyProtection="1">
      <alignment horizontal="center" vertical="center"/>
      <protection locked="0"/>
    </xf>
    <xf numFmtId="0" fontId="31" fillId="5" borderId="18" xfId="0" applyFont="1" applyFill="1" applyBorder="1" applyAlignment="1">
      <alignment horizontal="center"/>
    </xf>
    <xf numFmtId="0" fontId="31" fillId="5" borderId="19" xfId="0" applyFont="1" applyFill="1" applyBorder="1" applyAlignment="1">
      <alignment horizontal="center"/>
    </xf>
    <xf numFmtId="0" fontId="28" fillId="5" borderId="21" xfId="0" applyFont="1" applyFill="1" applyBorder="1" applyAlignment="1" applyProtection="1">
      <alignment horizontal="left"/>
      <protection locked="0"/>
    </xf>
    <xf numFmtId="0" fontId="28" fillId="5" borderId="22" xfId="0" applyFont="1" applyFill="1" applyBorder="1" applyAlignment="1" applyProtection="1">
      <alignment horizontal="left"/>
      <protection locked="0"/>
    </xf>
    <xf numFmtId="0" fontId="28" fillId="0" borderId="17" xfId="0" applyFont="1" applyBorder="1" applyAlignment="1">
      <alignment horizontal="center" vertical="center" wrapText="1"/>
    </xf>
    <xf numFmtId="0" fontId="28" fillId="0" borderId="18" xfId="0" applyFont="1" applyBorder="1" applyAlignment="1">
      <alignment horizontal="center" vertical="center" wrapText="1"/>
    </xf>
    <xf numFmtId="0" fontId="28" fillId="0" borderId="19" xfId="0" applyFont="1" applyBorder="1" applyAlignment="1">
      <alignment horizontal="center" vertical="center" wrapText="1"/>
    </xf>
    <xf numFmtId="14" fontId="36" fillId="12" borderId="24" xfId="6" applyNumberFormat="1" applyFont="1" applyFill="1" applyBorder="1" applyAlignment="1">
      <alignment horizontal="left" vertical="center"/>
    </xf>
    <xf numFmtId="14" fontId="36" fillId="12" borderId="25" xfId="6" applyNumberFormat="1" applyFont="1" applyFill="1" applyBorder="1" applyAlignment="1">
      <alignment horizontal="left" vertical="center"/>
    </xf>
    <xf numFmtId="0" fontId="36" fillId="12" borderId="24" xfId="6" applyFont="1" applyFill="1" applyBorder="1" applyAlignment="1">
      <alignment horizontal="left" vertical="center"/>
    </xf>
    <xf numFmtId="0" fontId="36" fillId="12" borderId="25" xfId="6" applyFont="1" applyFill="1" applyBorder="1" applyAlignment="1">
      <alignment horizontal="left" vertical="center"/>
    </xf>
    <xf numFmtId="0" fontId="36" fillId="12" borderId="26" xfId="6" applyFont="1" applyFill="1" applyBorder="1" applyAlignment="1">
      <alignment horizontal="left" vertical="center"/>
    </xf>
    <xf numFmtId="0" fontId="36" fillId="15" borderId="30" xfId="0" applyFont="1" applyFill="1" applyBorder="1" applyAlignment="1" applyProtection="1">
      <alignment horizontal="left" vertical="center" wrapText="1"/>
      <protection locked="0"/>
    </xf>
    <xf numFmtId="0" fontId="36" fillId="15" borderId="31" xfId="0" applyFont="1" applyFill="1" applyBorder="1" applyAlignment="1" applyProtection="1">
      <alignment horizontal="left" vertical="center" wrapText="1"/>
      <protection locked="0"/>
    </xf>
    <xf numFmtId="0" fontId="36" fillId="15" borderId="32" xfId="0" applyFont="1" applyFill="1" applyBorder="1" applyAlignment="1" applyProtection="1">
      <alignment horizontal="left" vertical="center" wrapText="1"/>
      <protection locked="0"/>
    </xf>
    <xf numFmtId="0" fontId="36" fillId="15" borderId="33" xfId="0" applyFont="1" applyFill="1" applyBorder="1" applyAlignment="1" applyProtection="1">
      <alignment horizontal="center" vertical="center" wrapText="1"/>
      <protection locked="0"/>
    </xf>
    <xf numFmtId="0" fontId="36" fillId="15" borderId="34" xfId="0" applyFont="1" applyFill="1" applyBorder="1" applyAlignment="1" applyProtection="1">
      <alignment horizontal="center" vertical="center" wrapText="1"/>
      <protection locked="0"/>
    </xf>
    <xf numFmtId="0" fontId="36" fillId="15" borderId="35" xfId="0" applyFont="1" applyFill="1" applyBorder="1" applyAlignment="1" applyProtection="1">
      <alignment horizontal="center" vertical="center" wrapText="1"/>
      <protection locked="0"/>
    </xf>
    <xf numFmtId="14" fontId="31" fillId="0" borderId="41" xfId="0" applyNumberFormat="1" applyFont="1" applyBorder="1" applyAlignment="1" applyProtection="1">
      <alignment horizontal="center" vertical="top" wrapText="1"/>
      <protection locked="0"/>
    </xf>
    <xf numFmtId="14" fontId="31" fillId="0" borderId="42" xfId="0" applyNumberFormat="1" applyFont="1" applyBorder="1" applyAlignment="1" applyProtection="1">
      <alignment horizontal="center" vertical="top" wrapText="1"/>
      <protection locked="0"/>
    </xf>
    <xf numFmtId="14" fontId="31" fillId="0" borderId="43" xfId="0" applyNumberFormat="1" applyFont="1" applyBorder="1" applyAlignment="1" applyProtection="1">
      <alignment horizontal="center" vertical="top" wrapText="1"/>
      <protection locked="0"/>
    </xf>
    <xf numFmtId="14" fontId="31" fillId="0" borderId="16" xfId="0" applyNumberFormat="1" applyFont="1" applyBorder="1" applyAlignment="1" applyProtection="1">
      <alignment horizontal="center" vertical="top" wrapText="1"/>
      <protection locked="0"/>
    </xf>
    <xf numFmtId="14" fontId="31" fillId="0" borderId="23" xfId="0" applyNumberFormat="1" applyFont="1" applyBorder="1" applyAlignment="1" applyProtection="1">
      <alignment horizontal="center" vertical="top" wrapText="1"/>
      <protection locked="0"/>
    </xf>
    <xf numFmtId="14" fontId="31" fillId="0" borderId="15" xfId="0" applyNumberFormat="1" applyFont="1" applyBorder="1" applyAlignment="1" applyProtection="1">
      <alignment horizontal="center" vertical="top" wrapText="1"/>
      <protection locked="0"/>
    </xf>
    <xf numFmtId="0" fontId="28" fillId="0" borderId="17" xfId="0" applyFont="1" applyBorder="1" applyAlignment="1" applyProtection="1">
      <alignment horizontal="left" vertical="top" wrapText="1" indent="1"/>
      <protection locked="0"/>
    </xf>
    <xf numFmtId="0" fontId="28" fillId="0" borderId="18" xfId="0" applyFont="1" applyBorder="1" applyAlignment="1" applyProtection="1">
      <alignment horizontal="left" vertical="top" wrapText="1" indent="1"/>
      <protection locked="0"/>
    </xf>
    <xf numFmtId="0" fontId="28" fillId="0" borderId="19" xfId="0" applyFont="1" applyBorder="1" applyAlignment="1" applyProtection="1">
      <alignment horizontal="left" vertical="top" wrapText="1" indent="1"/>
      <protection locked="0"/>
    </xf>
    <xf numFmtId="0" fontId="28" fillId="0" borderId="28" xfId="0" applyFont="1" applyBorder="1" applyAlignment="1" applyProtection="1">
      <alignment horizontal="left" vertical="top" wrapText="1" indent="1"/>
      <protection locked="0"/>
    </xf>
    <xf numFmtId="0" fontId="28" fillId="0" borderId="0" xfId="0" applyFont="1" applyAlignment="1" applyProtection="1">
      <alignment horizontal="left" vertical="top" wrapText="1" indent="1"/>
      <protection locked="0"/>
    </xf>
    <xf numFmtId="0" fontId="28" fillId="0" borderId="29" xfId="0" applyFont="1" applyBorder="1" applyAlignment="1" applyProtection="1">
      <alignment horizontal="left" vertical="top" wrapText="1" indent="1"/>
      <protection locked="0"/>
    </xf>
    <xf numFmtId="0" fontId="28" fillId="0" borderId="20" xfId="0" applyFont="1" applyBorder="1" applyAlignment="1" applyProtection="1">
      <alignment horizontal="left" vertical="top" wrapText="1" indent="1"/>
      <protection locked="0"/>
    </xf>
    <xf numFmtId="0" fontId="28" fillId="0" borderId="21" xfId="0" applyFont="1" applyBorder="1" applyAlignment="1" applyProtection="1">
      <alignment horizontal="left" vertical="top" wrapText="1" indent="1"/>
      <protection locked="0"/>
    </xf>
    <xf numFmtId="0" fontId="28" fillId="0" borderId="22" xfId="0" applyFont="1" applyBorder="1" applyAlignment="1" applyProtection="1">
      <alignment horizontal="left" vertical="top" wrapText="1" indent="1"/>
      <protection locked="0"/>
    </xf>
    <xf numFmtId="0" fontId="36" fillId="15" borderId="11" xfId="0" applyFont="1" applyFill="1" applyBorder="1" applyAlignment="1">
      <alignment horizontal="center" vertical="center"/>
    </xf>
    <xf numFmtId="0" fontId="31" fillId="0" borderId="11" xfId="3" applyFont="1" applyBorder="1" applyAlignment="1">
      <alignment horizontal="center" vertical="center"/>
    </xf>
    <xf numFmtId="166" fontId="31" fillId="0" borderId="11" xfId="5" applyNumberFormat="1" applyFont="1" applyBorder="1" applyAlignment="1" applyProtection="1">
      <alignment horizontal="center" vertical="center" wrapText="1"/>
      <protection locked="0"/>
    </xf>
    <xf numFmtId="9" fontId="31" fillId="0" borderId="11" xfId="5" applyNumberFormat="1" applyFont="1" applyBorder="1" applyAlignment="1" applyProtection="1">
      <alignment horizontal="center" vertical="center" wrapText="1"/>
      <protection locked="0"/>
    </xf>
    <xf numFmtId="164" fontId="31" fillId="0" borderId="11" xfId="0" applyNumberFormat="1" applyFont="1" applyBorder="1" applyAlignment="1" applyProtection="1">
      <alignment horizontal="center" vertical="center" wrapText="1"/>
      <protection locked="0"/>
    </xf>
    <xf numFmtId="2" fontId="31" fillId="0" borderId="11" xfId="0" applyNumberFormat="1" applyFont="1" applyBorder="1" applyAlignment="1">
      <alignment horizontal="center" vertical="center" wrapText="1"/>
    </xf>
    <xf numFmtId="2" fontId="31" fillId="0" borderId="11" xfId="5" applyNumberFormat="1" applyFont="1" applyBorder="1" applyAlignment="1" applyProtection="1">
      <alignment horizontal="center" vertical="center" wrapText="1"/>
    </xf>
    <xf numFmtId="0" fontId="36" fillId="15" borderId="11" xfId="0" applyFont="1" applyFill="1" applyBorder="1" applyAlignment="1">
      <alignment horizontal="center" vertical="center" wrapText="1"/>
    </xf>
    <xf numFmtId="0" fontId="36" fillId="15" borderId="0" xfId="0" applyFont="1" applyFill="1" applyAlignment="1">
      <alignment horizontal="left" vertical="center"/>
    </xf>
    <xf numFmtId="0" fontId="29" fillId="0" borderId="0" xfId="0" applyFont="1" applyAlignment="1" applyProtection="1">
      <alignment horizontal="center" vertical="center" wrapText="1"/>
      <protection locked="0"/>
    </xf>
    <xf numFmtId="0" fontId="28" fillId="0" borderId="0" xfId="0" applyFont="1" applyAlignment="1" applyProtection="1">
      <alignment horizontal="center" vertical="top" wrapText="1"/>
      <protection locked="0"/>
    </xf>
    <xf numFmtId="0" fontId="33" fillId="0" borderId="11" xfId="0" applyFont="1" applyBorder="1" applyAlignment="1">
      <alignment horizontal="left" vertical="center" wrapText="1"/>
    </xf>
    <xf numFmtId="9" fontId="31" fillId="0" borderId="11" xfId="5" applyNumberFormat="1" applyFont="1" applyBorder="1" applyAlignment="1" applyProtection="1">
      <alignment horizontal="center" vertical="center" wrapText="1"/>
    </xf>
    <xf numFmtId="0" fontId="36" fillId="15" borderId="11" xfId="0" applyFont="1" applyFill="1" applyBorder="1" applyAlignment="1">
      <alignment horizontal="left" vertical="center"/>
    </xf>
    <xf numFmtId="0" fontId="36" fillId="15" borderId="11" xfId="3" applyFont="1" applyFill="1" applyBorder="1" applyAlignment="1">
      <alignment horizontal="center" vertical="center" wrapText="1"/>
    </xf>
    <xf numFmtId="0" fontId="33" fillId="3" borderId="11" xfId="3" applyFont="1" applyFill="1" applyBorder="1" applyAlignment="1">
      <alignment horizontal="center" vertical="center" wrapText="1"/>
    </xf>
    <xf numFmtId="0" fontId="31" fillId="3" borderId="11" xfId="3" applyFont="1" applyFill="1" applyBorder="1" applyAlignment="1">
      <alignment horizontal="left" vertical="center" wrapText="1"/>
    </xf>
    <xf numFmtId="0" fontId="31" fillId="3" borderId="11" xfId="3" applyFont="1" applyFill="1" applyBorder="1" applyAlignment="1">
      <alignment horizontal="center" vertical="center" wrapText="1"/>
    </xf>
    <xf numFmtId="0" fontId="31" fillId="5" borderId="11" xfId="0" applyFont="1" applyFill="1" applyBorder="1" applyAlignment="1">
      <alignment horizontal="left" vertical="center" wrapText="1"/>
    </xf>
    <xf numFmtId="0" fontId="31" fillId="5" borderId="11" xfId="0" applyFont="1" applyFill="1" applyBorder="1" applyAlignment="1">
      <alignment horizontal="center" vertical="center" wrapText="1"/>
    </xf>
    <xf numFmtId="0" fontId="33" fillId="0" borderId="11" xfId="0" applyFont="1" applyBorder="1" applyAlignment="1" applyProtection="1">
      <alignment horizontal="left" vertical="center" wrapText="1"/>
      <protection locked="0"/>
    </xf>
    <xf numFmtId="0" fontId="31" fillId="0" borderId="11" xfId="0" applyFont="1" applyBorder="1" applyAlignment="1" applyProtection="1">
      <alignment vertical="center" wrapText="1"/>
      <protection locked="0"/>
    </xf>
    <xf numFmtId="0" fontId="29" fillId="5" borderId="0" xfId="0" applyFont="1" applyFill="1" applyAlignment="1">
      <alignment horizontal="center" vertical="center" wrapText="1"/>
    </xf>
    <xf numFmtId="0" fontId="36" fillId="15" borderId="11" xfId="0" applyFont="1" applyFill="1" applyBorder="1" applyAlignment="1" applyProtection="1">
      <alignment horizontal="center" vertical="center" wrapText="1"/>
      <protection locked="0"/>
    </xf>
    <xf numFmtId="0" fontId="25" fillId="9" borderId="30" xfId="0" applyFont="1" applyFill="1" applyBorder="1" applyAlignment="1">
      <alignment horizontal="left" vertical="center" wrapText="1"/>
    </xf>
    <xf numFmtId="0" fontId="25" fillId="9" borderId="31" xfId="0" applyFont="1" applyFill="1" applyBorder="1" applyAlignment="1">
      <alignment horizontal="left" vertical="center" wrapText="1"/>
    </xf>
    <xf numFmtId="0" fontId="25" fillId="9" borderId="32" xfId="0" applyFont="1" applyFill="1" applyBorder="1" applyAlignment="1">
      <alignment horizontal="left" vertical="center" wrapText="1"/>
    </xf>
    <xf numFmtId="0" fontId="31" fillId="0" borderId="11" xfId="0" applyFont="1" applyBorder="1" applyAlignment="1" applyProtection="1">
      <alignment horizontal="left" vertical="center" wrapText="1"/>
      <protection locked="0"/>
    </xf>
  </cellXfs>
  <cellStyles count="7">
    <cellStyle name="Currency 2" xfId="4" xr:uid="{00000000-0005-0000-0000-000000000000}"/>
    <cellStyle name="Hyperlink" xfId="2" builtinId="8"/>
    <cellStyle name="Monétaire 2" xfId="5" xr:uid="{F08327D4-1C26-48F5-96F4-5EA622DC7091}"/>
    <cellStyle name="Normal" xfId="0" builtinId="0"/>
    <cellStyle name="Normal 2" xfId="3" xr:uid="{00000000-0005-0000-0000-000004000000}"/>
    <cellStyle name="Normal 3" xfId="6" xr:uid="{C3AE0781-151E-444E-9AFF-8BA809FBA96C}"/>
    <cellStyle name="Percent" xfId="1" builtinId="5"/>
  </cellStyles>
  <dxfs count="190">
    <dxf>
      <alignment horizontal="general"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i val="0"/>
        <color rgb="FFFF0000"/>
      </font>
      <fill>
        <patternFill>
          <bgColor theme="5" tint="0.79998168889431442"/>
        </patternFill>
      </fill>
    </dxf>
    <dxf>
      <font>
        <b/>
        <i val="0"/>
        <color theme="7"/>
      </font>
      <fill>
        <patternFill>
          <bgColor theme="7" tint="0.79998168889431442"/>
        </patternFill>
      </fill>
    </dxf>
    <dxf>
      <font>
        <b/>
        <i val="0"/>
        <color rgb="FF00B050"/>
      </font>
      <fill>
        <patternFill>
          <bgColor theme="9" tint="0.79998168889431442"/>
        </patternFill>
      </fill>
    </dxf>
    <dxf>
      <font>
        <b/>
        <i val="0"/>
        <color rgb="FFFF0000"/>
      </font>
      <fill>
        <patternFill>
          <bgColor theme="5" tint="0.79998168889431442"/>
        </patternFill>
      </fill>
    </dxf>
    <dxf>
      <font>
        <b/>
        <i val="0"/>
        <color theme="7"/>
      </font>
      <fill>
        <patternFill>
          <bgColor theme="7" tint="0.79998168889431442"/>
        </patternFill>
      </fill>
    </dxf>
    <dxf>
      <font>
        <b/>
        <i val="0"/>
        <color rgb="FF00B050"/>
      </font>
      <fill>
        <patternFill>
          <bgColor theme="9" tint="0.79998168889431442"/>
        </patternFill>
      </fill>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ont>
        <condense val="0"/>
        <extend val="0"/>
        <color indexed="10"/>
      </font>
    </dxf>
    <dxf>
      <font>
        <condense val="0"/>
        <extend val="0"/>
        <color indexed="17"/>
      </font>
    </dxf>
    <dxf>
      <font>
        <condense val="0"/>
        <extend val="0"/>
        <color indexed="17"/>
      </font>
    </dxf>
    <dxf>
      <font>
        <condense val="0"/>
        <extend val="0"/>
        <color indexed="10"/>
      </font>
    </dxf>
  </dxfs>
  <tableStyles count="0" defaultTableStyle="TableStyleMedium2" defaultPivotStyle="PivotStyleLight16"/>
  <colors>
    <mruColors>
      <color rgb="FF008A3E"/>
      <color rgb="FFE5F7EE"/>
      <color rgb="FF007635"/>
      <color rgb="FFEAEAEA"/>
      <color rgb="FF62BD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Langue!$F$7</c:f>
          <c:strCache>
            <c:ptCount val="1"/>
            <c:pt idx="0">
              <c:v>Valeur Acquise SAP30/CMRL</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rgbClr val="007635"/>
              </a:solidFill>
              <a:latin typeface="+mn-lt"/>
              <a:ea typeface="+mn-ea"/>
              <a:cs typeface="+mn-cs"/>
            </a:defRPr>
          </a:pPr>
          <a:endParaRPr lang="fr-FR"/>
        </a:p>
      </c:txPr>
    </c:title>
    <c:autoTitleDeleted val="0"/>
    <c:plotArea>
      <c:layout>
        <c:manualLayout>
          <c:layoutTarget val="inner"/>
          <c:xMode val="edge"/>
          <c:yMode val="edge"/>
          <c:x val="0.12294105128750799"/>
          <c:y val="3.4120734908136482E-2"/>
          <c:w val="0.8779614888602304"/>
          <c:h val="0.70913530798843205"/>
        </c:manualLayout>
      </c:layout>
      <c:lineChart>
        <c:grouping val="standard"/>
        <c:varyColors val="0"/>
        <c:ser>
          <c:idx val="0"/>
          <c:order val="0"/>
          <c:tx>
            <c:strRef>
              <c:f>'Suivi Budget - Rapport VA'!$C$29:$D$29</c:f>
              <c:strCache>
                <c:ptCount val="2"/>
                <c:pt idx="0">
                  <c:v>Valeur Planifiée cumulée (VP)</c:v>
                </c:pt>
              </c:strCache>
            </c:strRef>
          </c:tx>
          <c:spPr>
            <a:ln w="12700" cap="rnd">
              <a:solidFill>
                <a:schemeClr val="accent1"/>
              </a:solidFill>
              <a:round/>
            </a:ln>
            <a:effectLst/>
          </c:spPr>
          <c:marker>
            <c:symbol val="none"/>
          </c:marker>
          <c:cat>
            <c:numRef>
              <c:f>'Suivi Budget - Rapport VA'!$E$25:$AK$25</c:f>
              <c:numCache>
                <c:formatCode>mmm\-yy</c:formatCode>
                <c:ptCount val="33"/>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numCache>
            </c:numRef>
          </c:cat>
          <c:val>
            <c:numRef>
              <c:f>'Suivi Budget - Rapport VA'!$E$29:$AK$29</c:f>
              <c:numCache>
                <c:formatCode>_("$"* #\ ##0_);_("$"* \(#\ ##0\);_("$"* "-"_);_(@_)</c:formatCode>
                <c:ptCount val="33"/>
                <c:pt idx="0">
                  <c:v>5000</c:v>
                </c:pt>
                <c:pt idx="1">
                  <c:v>22000</c:v>
                </c:pt>
                <c:pt idx="2">
                  <c:v>39000</c:v>
                </c:pt>
                <c:pt idx="3">
                  <c:v>56000</c:v>
                </c:pt>
                <c:pt idx="4">
                  <c:v>94000</c:v>
                </c:pt>
                <c:pt idx="5">
                  <c:v>132000</c:v>
                </c:pt>
                <c:pt idx="6">
                  <c:v>170000</c:v>
                </c:pt>
                <c:pt idx="7">
                  <c:v>181500</c:v>
                </c:pt>
                <c:pt idx="8">
                  <c:v>252000</c:v>
                </c:pt>
                <c:pt idx="9">
                  <c:v>321000</c:v>
                </c:pt>
                <c:pt idx="10">
                  <c:v>344000</c:v>
                </c:pt>
                <c:pt idx="11">
                  <c:v>346000</c:v>
                </c:pt>
              </c:numCache>
            </c:numRef>
          </c:val>
          <c:smooth val="0"/>
          <c:extLst>
            <c:ext xmlns:c16="http://schemas.microsoft.com/office/drawing/2014/chart" uri="{C3380CC4-5D6E-409C-BE32-E72D297353CC}">
              <c16:uniqueId val="{00000000-F99A-4201-B9B5-A7EA728579AC}"/>
            </c:ext>
          </c:extLst>
        </c:ser>
        <c:ser>
          <c:idx val="1"/>
          <c:order val="1"/>
          <c:tx>
            <c:strRef>
              <c:f>'Suivi Budget - Rapport VA'!$C$28:$D$28</c:f>
              <c:strCache>
                <c:ptCount val="2"/>
                <c:pt idx="0">
                  <c:v>Valeur acquise cumulée (VA)</c:v>
                </c:pt>
              </c:strCache>
            </c:strRef>
          </c:tx>
          <c:spPr>
            <a:ln w="12700" cap="rnd">
              <a:solidFill>
                <a:schemeClr val="accent2"/>
              </a:solidFill>
              <a:round/>
            </a:ln>
            <a:effectLst/>
          </c:spPr>
          <c:marker>
            <c:symbol val="none"/>
          </c:marker>
          <c:cat>
            <c:numRef>
              <c:f>'Suivi Budget - Rapport VA'!$E$25:$AK$25</c:f>
              <c:numCache>
                <c:formatCode>mmm\-yy</c:formatCode>
                <c:ptCount val="33"/>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numCache>
            </c:numRef>
          </c:cat>
          <c:val>
            <c:numRef>
              <c:f>'Suivi Budget - Rapport VA'!$E$28:$AK$28</c:f>
              <c:numCache>
                <c:formatCode>_("$"* #\ ##0_);_("$"* \(#\ ##0\);_("$"* "-"_);_(@_)</c:formatCode>
                <c:ptCount val="33"/>
                <c:pt idx="0">
                  <c:v>3000</c:v>
                </c:pt>
                <c:pt idx="1">
                  <c:v>18880</c:v>
                </c:pt>
                <c:pt idx="2">
                  <c:v>35760</c:v>
                </c:pt>
                <c:pt idx="3">
                  <c:v>53000</c:v>
                </c:pt>
                <c:pt idx="4">
                  <c:v>93660</c:v>
                </c:pt>
                <c:pt idx="5">
                  <c:v>131320</c:v>
                </c:pt>
                <c:pt idx="6">
                  <c:v>170000</c:v>
                </c:pt>
                <c:pt idx="7">
                  <c:v>181500</c:v>
                </c:pt>
                <c:pt idx="8">
                  <c:v>248800</c:v>
                </c:pt>
                <c:pt idx="9">
                  <c:v>333000</c:v>
                </c:pt>
                <c:pt idx="10">
                  <c:v>340400</c:v>
                </c:pt>
                <c:pt idx="11">
                  <c:v>341400</c:v>
                </c:pt>
              </c:numCache>
            </c:numRef>
          </c:val>
          <c:smooth val="0"/>
          <c:extLst>
            <c:ext xmlns:c16="http://schemas.microsoft.com/office/drawing/2014/chart" uri="{C3380CC4-5D6E-409C-BE32-E72D297353CC}">
              <c16:uniqueId val="{00000001-F99A-4201-B9B5-A7EA728579AC}"/>
            </c:ext>
          </c:extLst>
        </c:ser>
        <c:ser>
          <c:idx val="2"/>
          <c:order val="2"/>
          <c:tx>
            <c:strRef>
              <c:f>'Suivi Budget - Rapport VA'!$C$27:$D$27</c:f>
              <c:strCache>
                <c:ptCount val="2"/>
                <c:pt idx="0">
                  <c:v>Coût Réel cumulé  (CR)</c:v>
                </c:pt>
              </c:strCache>
            </c:strRef>
          </c:tx>
          <c:spPr>
            <a:ln w="12700" cap="rnd">
              <a:solidFill>
                <a:schemeClr val="accent3"/>
              </a:solidFill>
              <a:round/>
            </a:ln>
            <a:effectLst/>
          </c:spPr>
          <c:marker>
            <c:symbol val="none"/>
          </c:marker>
          <c:cat>
            <c:numRef>
              <c:f>'Suivi Budget - Rapport VA'!$E$25:$AK$25</c:f>
              <c:numCache>
                <c:formatCode>mmm\-yy</c:formatCode>
                <c:ptCount val="33"/>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numCache>
            </c:numRef>
          </c:cat>
          <c:val>
            <c:numRef>
              <c:f>'Suivi Budget - Rapport VA'!$E$27:$AK$27</c:f>
              <c:numCache>
                <c:formatCode>_("$"* #\ ##0_);_("$"* \(#\ ##0\);_("$"* "-"_);_(@_)</c:formatCode>
                <c:ptCount val="33"/>
                <c:pt idx="0">
                  <c:v>4000</c:v>
                </c:pt>
                <c:pt idx="1">
                  <c:v>22000</c:v>
                </c:pt>
                <c:pt idx="2">
                  <c:v>39000</c:v>
                </c:pt>
                <c:pt idx="3">
                  <c:v>55500</c:v>
                </c:pt>
                <c:pt idx="4">
                  <c:v>93500</c:v>
                </c:pt>
                <c:pt idx="5">
                  <c:v>131500</c:v>
                </c:pt>
                <c:pt idx="6">
                  <c:v>169500</c:v>
                </c:pt>
                <c:pt idx="7">
                  <c:v>181000</c:v>
                </c:pt>
                <c:pt idx="8">
                  <c:v>261000</c:v>
                </c:pt>
                <c:pt idx="9">
                  <c:v>335000</c:v>
                </c:pt>
                <c:pt idx="10">
                  <c:v>355000</c:v>
                </c:pt>
                <c:pt idx="11">
                  <c:v>357000</c:v>
                </c:pt>
              </c:numCache>
            </c:numRef>
          </c:val>
          <c:smooth val="0"/>
          <c:extLst>
            <c:ext xmlns:c16="http://schemas.microsoft.com/office/drawing/2014/chart" uri="{C3380CC4-5D6E-409C-BE32-E72D297353CC}">
              <c16:uniqueId val="{00000002-F99A-4201-B9B5-A7EA728579AC}"/>
            </c:ext>
          </c:extLst>
        </c:ser>
        <c:dLbls>
          <c:showLegendKey val="0"/>
          <c:showVal val="0"/>
          <c:showCatName val="0"/>
          <c:showSerName val="0"/>
          <c:showPercent val="0"/>
          <c:showBubbleSize val="0"/>
        </c:dLbls>
        <c:smooth val="0"/>
        <c:axId val="2006047087"/>
        <c:axId val="1"/>
      </c:lineChart>
      <c:dateAx>
        <c:axId val="200604708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CA" sz="800" b="1" i="0" u="none" strike="noStrike" kern="1200" baseline="0">
                    <a:solidFill>
                      <a:srgbClr val="44546A"/>
                    </a:solidFill>
                  </a:rPr>
                  <a:t>Période</a:t>
                </a:r>
                <a:endParaRPr lang="en-US"/>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mmm\-yy" sourceLinked="1"/>
        <c:majorTickMark val="out"/>
        <c:minorTickMark val="none"/>
        <c:tickLblPos val="nextTo"/>
        <c:spPr>
          <a:noFill/>
          <a:ln w="9525" cap="flat" cmpd="sng" algn="ctr">
            <a:solidFill>
              <a:schemeClr val="tx2">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fr-FR"/>
          </a:p>
        </c:txPr>
        <c:crossAx val="1"/>
        <c:crosses val="autoZero"/>
        <c:auto val="1"/>
        <c:lblOffset val="100"/>
        <c:baseTimeUnit val="months"/>
      </c:dateAx>
      <c:valAx>
        <c:axId val="1"/>
        <c:scaling>
          <c:orientation val="minMax"/>
        </c:scaling>
        <c:delete val="0"/>
        <c:axPos val="l"/>
        <c:numFmt formatCode="&quot;€&quot;#,##0_);[Red]\(&quot;€&quot;#,##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fr-FR"/>
          </a:p>
        </c:txPr>
        <c:crossAx val="2006047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 footer="0.5"/>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8">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Drop" dropLines="2" dropStyle="combo" dx="26" fmlaLink="$O$5" fmlaRange="Langue!$F$2:$F$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controle/suivi-du-bduget/" TargetMode="External"/><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controle/suivi-du-bduget/" TargetMode="External"/><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hyperlink" Target="https://blog-gestion-de-projet.com/docs/kit-management-projet/controle/suivi-du-bduget/" TargetMode="External"/><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hyperlink" Target="https://blog-gestion-de-projet.com/docs/kit-management-projet/controle/suivi-du-bduget/" TargetMode="External"/><Relationship Id="rId2" Type="http://schemas.openxmlformats.org/officeDocument/2006/relationships/image" Target="../media/image4.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hyperlink" Target="https://blog-gestion-de-projet.com/docs/kit-management-projet/controle/suivi-du-bduget/" TargetMode="External"/><Relationship Id="rId2" Type="http://schemas.openxmlformats.org/officeDocument/2006/relationships/image" Target="../media/image4.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45720</xdr:colOff>
      <xdr:row>60</xdr:row>
      <xdr:rowOff>320040</xdr:rowOff>
    </xdr:from>
    <xdr:to>
      <xdr:col>4</xdr:col>
      <xdr:colOff>304800</xdr:colOff>
      <xdr:row>69</xdr:row>
      <xdr:rowOff>282432</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1028700" y="15628620"/>
          <a:ext cx="5554980" cy="3185652"/>
        </a:xfrm>
        <a:prstGeom prst="rect">
          <a:avLst/>
        </a:prstGeom>
      </xdr:spPr>
    </xdr:pic>
    <xdr:clientData/>
  </xdr:twoCellAnchor>
  <xdr:twoCellAnchor editAs="oneCell">
    <xdr:from>
      <xdr:col>0</xdr:col>
      <xdr:colOff>883920</xdr:colOff>
      <xdr:row>35</xdr:row>
      <xdr:rowOff>56535</xdr:rowOff>
    </xdr:from>
    <xdr:to>
      <xdr:col>11</xdr:col>
      <xdr:colOff>79902</xdr:colOff>
      <xdr:row>46</xdr:row>
      <xdr:rowOff>586121</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883920" y="7204095"/>
          <a:ext cx="11113662" cy="3417566"/>
        </a:xfrm>
        <a:prstGeom prst="rect">
          <a:avLst/>
        </a:prstGeom>
      </xdr:spPr>
    </xdr:pic>
    <xdr:clientData/>
  </xdr:twoCellAnchor>
  <xdr:twoCellAnchor editAs="oneCell">
    <xdr:from>
      <xdr:col>1</xdr:col>
      <xdr:colOff>6034</xdr:colOff>
      <xdr:row>52</xdr:row>
      <xdr:rowOff>312420</xdr:rowOff>
    </xdr:from>
    <xdr:to>
      <xdr:col>10</xdr:col>
      <xdr:colOff>697160</xdr:colOff>
      <xdr:row>56</xdr:row>
      <xdr:rowOff>342900</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srcRect r="23526"/>
        <a:stretch/>
      </xdr:blipFill>
      <xdr:spPr>
        <a:xfrm>
          <a:off x="989014" y="13022580"/>
          <a:ext cx="10940026" cy="1744980"/>
        </a:xfrm>
        <a:prstGeom prst="rect">
          <a:avLst/>
        </a:prstGeom>
      </xdr:spPr>
    </xdr:pic>
    <xdr:clientData/>
  </xdr:twoCellAnchor>
  <xdr:oneCellAnchor>
    <xdr:from>
      <xdr:col>0</xdr:col>
      <xdr:colOff>873295</xdr:colOff>
      <xdr:row>1</xdr:row>
      <xdr:rowOff>52590</xdr:rowOff>
    </xdr:from>
    <xdr:ext cx="2308859" cy="493810"/>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3295" y="12117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2</xdr:col>
      <xdr:colOff>297180</xdr:colOff>
      <xdr:row>4</xdr:row>
      <xdr:rowOff>68580</xdr:rowOff>
    </xdr:from>
    <xdr:to>
      <xdr:col>10</xdr:col>
      <xdr:colOff>621504</xdr:colOff>
      <xdr:row>4</xdr:row>
      <xdr:rowOff>312639</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4274820" y="891540"/>
          <a:ext cx="6847044" cy="244059"/>
          <a:chOff x="4282440" y="914400"/>
          <a:chExt cx="6847044" cy="244059"/>
        </a:xfrm>
      </xdr:grpSpPr>
      <xdr:sp macro="[0]!NavBar" textlink="">
        <xdr:nvSpPr>
          <xdr:cNvPr id="4" name="BtnGuide">
            <a:extLst>
              <a:ext uri="{FF2B5EF4-FFF2-40B4-BE49-F238E27FC236}">
                <a16:creationId xmlns:a16="http://schemas.microsoft.com/office/drawing/2014/main" id="{00000000-0008-0000-0000-000004000000}"/>
              </a:ext>
            </a:extLst>
          </xdr:cNvPr>
          <xdr:cNvSpPr/>
        </xdr:nvSpPr>
        <xdr:spPr>
          <a:xfrm>
            <a:off x="4282440" y="91440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5" name="BtnVP">
            <a:extLst>
              <a:ext uri="{FF2B5EF4-FFF2-40B4-BE49-F238E27FC236}">
                <a16:creationId xmlns:a16="http://schemas.microsoft.com/office/drawing/2014/main" id="{00000000-0008-0000-0000-000005000000}"/>
              </a:ext>
            </a:extLst>
          </xdr:cNvPr>
          <xdr:cNvSpPr/>
        </xdr:nvSpPr>
        <xdr:spPr>
          <a:xfrm>
            <a:off x="5874980" y="91743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sp macro="[0]!NavBar" textlink="">
        <xdr:nvSpPr>
          <xdr:cNvPr id="6" name="BtnAvancement">
            <a:extLst>
              <a:ext uri="{FF2B5EF4-FFF2-40B4-BE49-F238E27FC236}">
                <a16:creationId xmlns:a16="http://schemas.microsoft.com/office/drawing/2014/main" id="{00000000-0008-0000-0000-000006000000}"/>
              </a:ext>
            </a:extLst>
          </xdr:cNvPr>
          <xdr:cNvSpPr/>
        </xdr:nvSpPr>
        <xdr:spPr>
          <a:xfrm>
            <a:off x="9358826" y="91573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sp macro="[0]!NavBar" textlink="">
        <xdr:nvSpPr>
          <xdr:cNvPr id="7" name="BtnCR">
            <a:extLst>
              <a:ext uri="{FF2B5EF4-FFF2-40B4-BE49-F238E27FC236}">
                <a16:creationId xmlns:a16="http://schemas.microsoft.com/office/drawing/2014/main" id="{00000000-0008-0000-0000-000007000000}"/>
              </a:ext>
            </a:extLst>
          </xdr:cNvPr>
          <xdr:cNvSpPr/>
        </xdr:nvSpPr>
        <xdr:spPr>
          <a:xfrm>
            <a:off x="6431280" y="91440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sp macro="[0]!NavBar" textlink="">
        <xdr:nvSpPr>
          <xdr:cNvPr id="9" name="BtnVA">
            <a:extLst>
              <a:ext uri="{FF2B5EF4-FFF2-40B4-BE49-F238E27FC236}">
                <a16:creationId xmlns:a16="http://schemas.microsoft.com/office/drawing/2014/main" id="{00000000-0008-0000-0000-000009000000}"/>
              </a:ext>
            </a:extLst>
          </xdr:cNvPr>
          <xdr:cNvSpPr/>
        </xdr:nvSpPr>
        <xdr:spPr>
          <a:xfrm>
            <a:off x="6987540" y="91440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sp macro="[0]!NavBar" textlink="">
        <xdr:nvSpPr>
          <xdr:cNvPr id="11" name="BtnSuivi">
            <a:extLst>
              <a:ext uri="{FF2B5EF4-FFF2-40B4-BE49-F238E27FC236}">
                <a16:creationId xmlns:a16="http://schemas.microsoft.com/office/drawing/2014/main" id="{00000000-0008-0000-0000-00000B000000}"/>
              </a:ext>
            </a:extLst>
          </xdr:cNvPr>
          <xdr:cNvSpPr/>
        </xdr:nvSpPr>
        <xdr:spPr>
          <a:xfrm>
            <a:off x="7540342" y="91440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179875</xdr:colOff>
      <xdr:row>1</xdr:row>
      <xdr:rowOff>29730</xdr:rowOff>
    </xdr:from>
    <xdr:ext cx="2308859" cy="493810"/>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875" y="132472"/>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3</xdr:col>
      <xdr:colOff>774700</xdr:colOff>
      <xdr:row>4</xdr:row>
      <xdr:rowOff>69850</xdr:rowOff>
    </xdr:from>
    <xdr:to>
      <xdr:col>5</xdr:col>
      <xdr:colOff>338135</xdr:colOff>
      <xdr:row>4</xdr:row>
      <xdr:rowOff>308331</xdr:rowOff>
    </xdr:to>
    <xdr:sp macro="" textlink="">
      <xdr:nvSpPr>
        <xdr:cNvPr id="4" name="BtnGuide">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387310</xdr:colOff>
      <xdr:row>4</xdr:row>
      <xdr:rowOff>72888</xdr:rowOff>
    </xdr:from>
    <xdr:to>
      <xdr:col>6</xdr:col>
      <xdr:colOff>179642</xdr:colOff>
      <xdr:row>4</xdr:row>
      <xdr:rowOff>311369</xdr:rowOff>
    </xdr:to>
    <xdr:sp macro="[0]!NavBar" textlink="">
      <xdr:nvSpPr>
        <xdr:cNvPr id="5" name="BtnVP">
          <a:extLst>
            <a:ext uri="{FF2B5EF4-FFF2-40B4-BE49-F238E27FC236}">
              <a16:creationId xmlns:a16="http://schemas.microsoft.com/office/drawing/2014/main" id="{00000000-0008-0000-0100-000005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10</xdr:col>
      <xdr:colOff>147516</xdr:colOff>
      <xdr:row>4</xdr:row>
      <xdr:rowOff>71183</xdr:rowOff>
    </xdr:from>
    <xdr:to>
      <xdr:col>12</xdr:col>
      <xdr:colOff>314164</xdr:colOff>
      <xdr:row>4</xdr:row>
      <xdr:rowOff>309664</xdr:rowOff>
    </xdr:to>
    <xdr:sp macro="[0]!NavBar" textlink="">
      <xdr:nvSpPr>
        <xdr:cNvPr id="6" name="BtnAvancement">
          <a:extLst>
            <a:ext uri="{FF2B5EF4-FFF2-40B4-BE49-F238E27FC236}">
              <a16:creationId xmlns:a16="http://schemas.microsoft.com/office/drawing/2014/main" id="{00000000-0008-0000-0100-000006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6</xdr:col>
      <xdr:colOff>222250</xdr:colOff>
      <xdr:row>4</xdr:row>
      <xdr:rowOff>69850</xdr:rowOff>
    </xdr:from>
    <xdr:to>
      <xdr:col>7</xdr:col>
      <xdr:colOff>8232</xdr:colOff>
      <xdr:row>4</xdr:row>
      <xdr:rowOff>308331</xdr:rowOff>
    </xdr:to>
    <xdr:sp macro="[0]!NavBar" textlink="">
      <xdr:nvSpPr>
        <xdr:cNvPr id="7" name="BtnCR">
          <a:extLst>
            <a:ext uri="{FF2B5EF4-FFF2-40B4-BE49-F238E27FC236}">
              <a16:creationId xmlns:a16="http://schemas.microsoft.com/office/drawing/2014/main" id="{00000000-0008-0000-0100-000007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7</xdr:col>
      <xdr:colOff>50800</xdr:colOff>
      <xdr:row>4</xdr:row>
      <xdr:rowOff>69850</xdr:rowOff>
    </xdr:from>
    <xdr:to>
      <xdr:col>7</xdr:col>
      <xdr:colOff>567032</xdr:colOff>
      <xdr:row>4</xdr:row>
      <xdr:rowOff>308331</xdr:rowOff>
    </xdr:to>
    <xdr:sp macro="[0]!NavBar" textlink="">
      <xdr:nvSpPr>
        <xdr:cNvPr id="8" name="BtnVA">
          <a:extLst>
            <a:ext uri="{FF2B5EF4-FFF2-40B4-BE49-F238E27FC236}">
              <a16:creationId xmlns:a16="http://schemas.microsoft.com/office/drawing/2014/main" id="{00000000-0008-0000-0100-000008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7</xdr:col>
      <xdr:colOff>606142</xdr:colOff>
      <xdr:row>4</xdr:row>
      <xdr:rowOff>69850</xdr:rowOff>
    </xdr:from>
    <xdr:to>
      <xdr:col>10</xdr:col>
      <xdr:colOff>99321</xdr:colOff>
      <xdr:row>4</xdr:row>
      <xdr:rowOff>308331</xdr:rowOff>
    </xdr:to>
    <xdr:sp macro="[0]!NavBar" textlink="">
      <xdr:nvSpPr>
        <xdr:cNvPr id="9" name="BtnSuivi">
          <a:extLst>
            <a:ext uri="{FF2B5EF4-FFF2-40B4-BE49-F238E27FC236}">
              <a16:creationId xmlns:a16="http://schemas.microsoft.com/office/drawing/2014/main" id="{00000000-0008-0000-0100-000009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mc:AlternateContent xmlns:mc="http://schemas.openxmlformats.org/markup-compatibility/2006">
    <mc:Choice xmlns:a14="http://schemas.microsoft.com/office/drawing/2010/main" Requires="a14">
      <xdr:twoCellAnchor editAs="oneCell">
        <xdr:from>
          <xdr:col>14</xdr:col>
          <xdr:colOff>182880</xdr:colOff>
          <xdr:row>4</xdr:row>
          <xdr:rowOff>76200</xdr:rowOff>
        </xdr:from>
        <xdr:to>
          <xdr:col>15</xdr:col>
          <xdr:colOff>731520</xdr:colOff>
          <xdr:row>4</xdr:row>
          <xdr:rowOff>297180</xdr:rowOff>
        </xdr:to>
        <xdr:sp macro="" textlink="">
          <xdr:nvSpPr>
            <xdr:cNvPr id="8195" name="Drop Down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179875</xdr:colOff>
      <xdr:row>1</xdr:row>
      <xdr:rowOff>29730</xdr:rowOff>
    </xdr:from>
    <xdr:ext cx="2308859" cy="493810"/>
    <xdr:pic>
      <xdr:nvPicPr>
        <xdr:cNvPr id="26" name="Picture 25">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87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251460</xdr:colOff>
      <xdr:row>4</xdr:row>
      <xdr:rowOff>68580</xdr:rowOff>
    </xdr:from>
    <xdr:to>
      <xdr:col>6</xdr:col>
      <xdr:colOff>420685</xdr:colOff>
      <xdr:row>4</xdr:row>
      <xdr:rowOff>309601</xdr:rowOff>
    </xdr:to>
    <xdr:sp macro="" textlink="">
      <xdr:nvSpPr>
        <xdr:cNvPr id="3" name="BtnGuide">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472400</xdr:colOff>
      <xdr:row>4</xdr:row>
      <xdr:rowOff>71618</xdr:rowOff>
    </xdr:from>
    <xdr:to>
      <xdr:col>7</xdr:col>
      <xdr:colOff>344742</xdr:colOff>
      <xdr:row>4</xdr:row>
      <xdr:rowOff>312639</xdr:rowOff>
    </xdr:to>
    <xdr:sp macro="[0]!NavBar" textlink="">
      <xdr:nvSpPr>
        <xdr:cNvPr id="4" name="BtnVP">
          <a:extLst>
            <a:ext uri="{FF2B5EF4-FFF2-40B4-BE49-F238E27FC236}">
              <a16:creationId xmlns:a16="http://schemas.microsoft.com/office/drawing/2014/main" id="{00000000-0008-0000-0200-000004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12</xdr:col>
      <xdr:colOff>115766</xdr:colOff>
      <xdr:row>4</xdr:row>
      <xdr:rowOff>69913</xdr:rowOff>
    </xdr:from>
    <xdr:to>
      <xdr:col>14</xdr:col>
      <xdr:colOff>606264</xdr:colOff>
      <xdr:row>4</xdr:row>
      <xdr:rowOff>310934</xdr:rowOff>
    </xdr:to>
    <xdr:sp macro="[0]!NavBar" textlink="">
      <xdr:nvSpPr>
        <xdr:cNvPr id="5" name="BtnAvancement">
          <a:extLst>
            <a:ext uri="{FF2B5EF4-FFF2-40B4-BE49-F238E27FC236}">
              <a16:creationId xmlns:a16="http://schemas.microsoft.com/office/drawing/2014/main" id="{00000000-0008-0000-0200-000005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7</xdr:col>
      <xdr:colOff>388620</xdr:colOff>
      <xdr:row>4</xdr:row>
      <xdr:rowOff>68580</xdr:rowOff>
    </xdr:from>
    <xdr:to>
      <xdr:col>8</xdr:col>
      <xdr:colOff>260962</xdr:colOff>
      <xdr:row>4</xdr:row>
      <xdr:rowOff>309601</xdr:rowOff>
    </xdr:to>
    <xdr:sp macro="[0]!NavBar" textlink="">
      <xdr:nvSpPr>
        <xdr:cNvPr id="6" name="BtnCR">
          <a:extLst>
            <a:ext uri="{FF2B5EF4-FFF2-40B4-BE49-F238E27FC236}">
              <a16:creationId xmlns:a16="http://schemas.microsoft.com/office/drawing/2014/main" id="{00000000-0008-0000-0200-000006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8</xdr:col>
      <xdr:colOff>304800</xdr:colOff>
      <xdr:row>4</xdr:row>
      <xdr:rowOff>68580</xdr:rowOff>
    </xdr:from>
    <xdr:to>
      <xdr:col>9</xdr:col>
      <xdr:colOff>177142</xdr:colOff>
      <xdr:row>4</xdr:row>
      <xdr:rowOff>309601</xdr:rowOff>
    </xdr:to>
    <xdr:sp macro="[0]!NavBar" textlink="">
      <xdr:nvSpPr>
        <xdr:cNvPr id="7" name="BtnVA">
          <a:extLst>
            <a:ext uri="{FF2B5EF4-FFF2-40B4-BE49-F238E27FC236}">
              <a16:creationId xmlns:a16="http://schemas.microsoft.com/office/drawing/2014/main" id="{00000000-0008-0000-0200-000007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9</xdr:col>
      <xdr:colOff>217522</xdr:colOff>
      <xdr:row>4</xdr:row>
      <xdr:rowOff>68580</xdr:rowOff>
    </xdr:from>
    <xdr:to>
      <xdr:col>12</xdr:col>
      <xdr:colOff>66301</xdr:colOff>
      <xdr:row>4</xdr:row>
      <xdr:rowOff>309601</xdr:rowOff>
    </xdr:to>
    <xdr:sp macro="[0]!NavBar" textlink="">
      <xdr:nvSpPr>
        <xdr:cNvPr id="8" name="BtnSuivi">
          <a:extLst>
            <a:ext uri="{FF2B5EF4-FFF2-40B4-BE49-F238E27FC236}">
              <a16:creationId xmlns:a16="http://schemas.microsoft.com/office/drawing/2014/main" id="{00000000-0008-0000-0200-000008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111295</xdr:colOff>
      <xdr:row>1</xdr:row>
      <xdr:rowOff>29730</xdr:rowOff>
    </xdr:from>
    <xdr:ext cx="2308859" cy="493810"/>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9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441960</xdr:colOff>
      <xdr:row>4</xdr:row>
      <xdr:rowOff>68580</xdr:rowOff>
    </xdr:from>
    <xdr:to>
      <xdr:col>7</xdr:col>
      <xdr:colOff>9205</xdr:colOff>
      <xdr:row>4</xdr:row>
      <xdr:rowOff>309601</xdr:rowOff>
    </xdr:to>
    <xdr:sp macro="" textlink="">
      <xdr:nvSpPr>
        <xdr:cNvPr id="11" name="BtnGuide">
          <a:hlinkClick xmlns:r="http://schemas.openxmlformats.org/officeDocument/2006/relationships" r:id="rId2"/>
          <a:extLst>
            <a:ext uri="{FF2B5EF4-FFF2-40B4-BE49-F238E27FC236}">
              <a16:creationId xmlns:a16="http://schemas.microsoft.com/office/drawing/2014/main" id="{00000000-0008-0000-0300-00000B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7</xdr:col>
      <xdr:colOff>60920</xdr:colOff>
      <xdr:row>4</xdr:row>
      <xdr:rowOff>71618</xdr:rowOff>
    </xdr:from>
    <xdr:to>
      <xdr:col>7</xdr:col>
      <xdr:colOff>573342</xdr:colOff>
      <xdr:row>4</xdr:row>
      <xdr:rowOff>312639</xdr:rowOff>
    </xdr:to>
    <xdr:sp macro="[0]!NavBar" textlink="">
      <xdr:nvSpPr>
        <xdr:cNvPr id="12" name="BtnVP">
          <a:extLst>
            <a:ext uri="{FF2B5EF4-FFF2-40B4-BE49-F238E27FC236}">
              <a16:creationId xmlns:a16="http://schemas.microsoft.com/office/drawing/2014/main" id="{00000000-0008-0000-0300-00000C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12</xdr:col>
      <xdr:colOff>123386</xdr:colOff>
      <xdr:row>4</xdr:row>
      <xdr:rowOff>69913</xdr:rowOff>
    </xdr:from>
    <xdr:to>
      <xdr:col>14</xdr:col>
      <xdr:colOff>370044</xdr:colOff>
      <xdr:row>4</xdr:row>
      <xdr:rowOff>310934</xdr:rowOff>
    </xdr:to>
    <xdr:sp macro="[0]!NavBar" textlink="">
      <xdr:nvSpPr>
        <xdr:cNvPr id="13" name="BtnAvancement">
          <a:extLst>
            <a:ext uri="{FF2B5EF4-FFF2-40B4-BE49-F238E27FC236}">
              <a16:creationId xmlns:a16="http://schemas.microsoft.com/office/drawing/2014/main" id="{00000000-0008-0000-0300-00000D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7</xdr:col>
      <xdr:colOff>617220</xdr:colOff>
      <xdr:row>4</xdr:row>
      <xdr:rowOff>68580</xdr:rowOff>
    </xdr:from>
    <xdr:to>
      <xdr:col>8</xdr:col>
      <xdr:colOff>474322</xdr:colOff>
      <xdr:row>4</xdr:row>
      <xdr:rowOff>309601</xdr:rowOff>
    </xdr:to>
    <xdr:sp macro="[0]!NavBar" textlink="">
      <xdr:nvSpPr>
        <xdr:cNvPr id="14" name="BtnCR">
          <a:extLst>
            <a:ext uri="{FF2B5EF4-FFF2-40B4-BE49-F238E27FC236}">
              <a16:creationId xmlns:a16="http://schemas.microsoft.com/office/drawing/2014/main" id="{00000000-0008-0000-0300-00000E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8</xdr:col>
      <xdr:colOff>518160</xdr:colOff>
      <xdr:row>4</xdr:row>
      <xdr:rowOff>68580</xdr:rowOff>
    </xdr:from>
    <xdr:to>
      <xdr:col>9</xdr:col>
      <xdr:colOff>405742</xdr:colOff>
      <xdr:row>4</xdr:row>
      <xdr:rowOff>309601</xdr:rowOff>
    </xdr:to>
    <xdr:sp macro="[0]!NavBar" textlink="">
      <xdr:nvSpPr>
        <xdr:cNvPr id="15" name="BtnVA">
          <a:extLst>
            <a:ext uri="{FF2B5EF4-FFF2-40B4-BE49-F238E27FC236}">
              <a16:creationId xmlns:a16="http://schemas.microsoft.com/office/drawing/2014/main" id="{00000000-0008-0000-0300-00000F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9</xdr:col>
      <xdr:colOff>446122</xdr:colOff>
      <xdr:row>4</xdr:row>
      <xdr:rowOff>68580</xdr:rowOff>
    </xdr:from>
    <xdr:to>
      <xdr:col>12</xdr:col>
      <xdr:colOff>73921</xdr:colOff>
      <xdr:row>4</xdr:row>
      <xdr:rowOff>309601</xdr:rowOff>
    </xdr:to>
    <xdr:sp macro="[0]!NavBar" textlink="">
      <xdr:nvSpPr>
        <xdr:cNvPr id="16" name="BtnSuivi">
          <a:extLst>
            <a:ext uri="{FF2B5EF4-FFF2-40B4-BE49-F238E27FC236}">
              <a16:creationId xmlns:a16="http://schemas.microsoft.com/office/drawing/2014/main" id="{00000000-0008-0000-0300-000010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428089</xdr:colOff>
      <xdr:row>6</xdr:row>
      <xdr:rowOff>160020</xdr:rowOff>
    </xdr:from>
    <xdr:ext cx="7717691" cy="2997199"/>
    <xdr:graphicFrame macro="">
      <xdr:nvGraphicFramePr>
        <xdr:cNvPr id="2" name="Graphique 3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111295</xdr:colOff>
      <xdr:row>1</xdr:row>
      <xdr:rowOff>29730</xdr:rowOff>
    </xdr:from>
    <xdr:ext cx="2308859" cy="493810"/>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29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160020</xdr:colOff>
      <xdr:row>4</xdr:row>
      <xdr:rowOff>68580</xdr:rowOff>
    </xdr:from>
    <xdr:to>
      <xdr:col>5</xdr:col>
      <xdr:colOff>938845</xdr:colOff>
      <xdr:row>4</xdr:row>
      <xdr:rowOff>309601</xdr:rowOff>
    </xdr:to>
    <xdr:sp macro="" textlink="">
      <xdr:nvSpPr>
        <xdr:cNvPr id="5" name="BtnGuide">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990560</xdr:colOff>
      <xdr:row>4</xdr:row>
      <xdr:rowOff>71618</xdr:rowOff>
    </xdr:from>
    <xdr:to>
      <xdr:col>6</xdr:col>
      <xdr:colOff>481902</xdr:colOff>
      <xdr:row>4</xdr:row>
      <xdr:rowOff>312639</xdr:rowOff>
    </xdr:to>
    <xdr:sp macro="[0]!NavBar" textlink="">
      <xdr:nvSpPr>
        <xdr:cNvPr id="6" name="BtnVP">
          <a:extLst>
            <a:ext uri="{FF2B5EF4-FFF2-40B4-BE49-F238E27FC236}">
              <a16:creationId xmlns:a16="http://schemas.microsoft.com/office/drawing/2014/main" id="{00000000-0008-0000-0400-000006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9</xdr:col>
      <xdr:colOff>755846</xdr:colOff>
      <xdr:row>4</xdr:row>
      <xdr:rowOff>69913</xdr:rowOff>
    </xdr:from>
    <xdr:to>
      <xdr:col>11</xdr:col>
      <xdr:colOff>682464</xdr:colOff>
      <xdr:row>4</xdr:row>
      <xdr:rowOff>310934</xdr:rowOff>
    </xdr:to>
    <xdr:sp macro="[0]!NavBar" textlink="">
      <xdr:nvSpPr>
        <xdr:cNvPr id="7" name="BtnAvancement">
          <a:extLst>
            <a:ext uri="{FF2B5EF4-FFF2-40B4-BE49-F238E27FC236}">
              <a16:creationId xmlns:a16="http://schemas.microsoft.com/office/drawing/2014/main" id="{00000000-0008-0000-0400-000007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6</xdr:col>
      <xdr:colOff>525780</xdr:colOff>
      <xdr:row>4</xdr:row>
      <xdr:rowOff>68580</xdr:rowOff>
    </xdr:from>
    <xdr:to>
      <xdr:col>7</xdr:col>
      <xdr:colOff>108562</xdr:colOff>
      <xdr:row>4</xdr:row>
      <xdr:rowOff>309601</xdr:rowOff>
    </xdr:to>
    <xdr:sp macro="[0]!NavBar" textlink="">
      <xdr:nvSpPr>
        <xdr:cNvPr id="8" name="BtnCR">
          <a:extLst>
            <a:ext uri="{FF2B5EF4-FFF2-40B4-BE49-F238E27FC236}">
              <a16:creationId xmlns:a16="http://schemas.microsoft.com/office/drawing/2014/main" id="{00000000-0008-0000-0400-000008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7</xdr:col>
      <xdr:colOff>152400</xdr:colOff>
      <xdr:row>4</xdr:row>
      <xdr:rowOff>68580</xdr:rowOff>
    </xdr:from>
    <xdr:to>
      <xdr:col>7</xdr:col>
      <xdr:colOff>664822</xdr:colOff>
      <xdr:row>4</xdr:row>
      <xdr:rowOff>309601</xdr:rowOff>
    </xdr:to>
    <xdr:sp macro="[0]!NavBar" textlink="">
      <xdr:nvSpPr>
        <xdr:cNvPr id="9" name="BtnVA">
          <a:extLst>
            <a:ext uri="{FF2B5EF4-FFF2-40B4-BE49-F238E27FC236}">
              <a16:creationId xmlns:a16="http://schemas.microsoft.com/office/drawing/2014/main" id="{00000000-0008-0000-0400-000009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7</xdr:col>
      <xdr:colOff>705202</xdr:colOff>
      <xdr:row>4</xdr:row>
      <xdr:rowOff>68580</xdr:rowOff>
    </xdr:from>
    <xdr:to>
      <xdr:col>9</xdr:col>
      <xdr:colOff>706381</xdr:colOff>
      <xdr:row>4</xdr:row>
      <xdr:rowOff>309601</xdr:rowOff>
    </xdr:to>
    <xdr:sp macro="[0]!NavBar" textlink="">
      <xdr:nvSpPr>
        <xdr:cNvPr id="10" name="BtnSuivi">
          <a:extLst>
            <a:ext uri="{FF2B5EF4-FFF2-40B4-BE49-F238E27FC236}">
              <a16:creationId xmlns:a16="http://schemas.microsoft.com/office/drawing/2014/main" id="{00000000-0008-0000-0400-00000A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183</xdr:row>
      <xdr:rowOff>0</xdr:rowOff>
    </xdr:from>
    <xdr:to>
      <xdr:col>2</xdr:col>
      <xdr:colOff>76200</xdr:colOff>
      <xdr:row>183</xdr:row>
      <xdr:rowOff>0</xdr:rowOff>
    </xdr:to>
    <xdr:pic>
      <xdr:nvPicPr>
        <xdr:cNvPr id="2" name="Picture 9" descr="logo_meditel">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910" r="4510" b="11252"/>
        <a:stretch>
          <a:fillRect/>
        </a:stretch>
      </xdr:blipFill>
      <xdr:spPr bwMode="auto">
        <a:xfrm>
          <a:off x="0" y="64293750"/>
          <a:ext cx="8382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183</xdr:row>
      <xdr:rowOff>0</xdr:rowOff>
    </xdr:from>
    <xdr:to>
      <xdr:col>2</xdr:col>
      <xdr:colOff>266700</xdr:colOff>
      <xdr:row>183</xdr:row>
      <xdr:rowOff>0</xdr:rowOff>
    </xdr:to>
    <xdr:pic>
      <xdr:nvPicPr>
        <xdr:cNvPr id="3" name="Picture 9" descr="logo_meditel">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910" r="4510" b="11252"/>
        <a:stretch>
          <a:fillRect/>
        </a:stretch>
      </xdr:blipFill>
      <xdr:spPr bwMode="auto">
        <a:xfrm>
          <a:off x="19050" y="64293750"/>
          <a:ext cx="1009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111295</xdr:colOff>
      <xdr:row>1</xdr:row>
      <xdr:rowOff>29730</xdr:rowOff>
    </xdr:from>
    <xdr:ext cx="2308859" cy="493810"/>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29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872490</xdr:colOff>
      <xdr:row>4</xdr:row>
      <xdr:rowOff>73065</xdr:rowOff>
    </xdr:from>
    <xdr:to>
      <xdr:col>6</xdr:col>
      <xdr:colOff>147997</xdr:colOff>
      <xdr:row>4</xdr:row>
      <xdr:rowOff>306466</xdr:rowOff>
    </xdr:to>
    <xdr:sp macro="" textlink="">
      <xdr:nvSpPr>
        <xdr:cNvPr id="6" name="BtnGuide">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4274820" y="888405"/>
          <a:ext cx="1539917"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189522</xdr:colOff>
      <xdr:row>4</xdr:row>
      <xdr:rowOff>73563</xdr:rowOff>
    </xdr:from>
    <xdr:to>
      <xdr:col>6</xdr:col>
      <xdr:colOff>691482</xdr:colOff>
      <xdr:row>4</xdr:row>
      <xdr:rowOff>308234</xdr:rowOff>
    </xdr:to>
    <xdr:sp macro="[0]!NavBar" textlink="">
      <xdr:nvSpPr>
        <xdr:cNvPr id="7" name="BtnVP">
          <a:extLst>
            <a:ext uri="{FF2B5EF4-FFF2-40B4-BE49-F238E27FC236}">
              <a16:creationId xmlns:a16="http://schemas.microsoft.com/office/drawing/2014/main" id="{00000000-0008-0000-0500-000007000000}"/>
            </a:ext>
          </a:extLst>
        </xdr:cNvPr>
        <xdr:cNvSpPr/>
      </xdr:nvSpPr>
      <xdr:spPr>
        <a:xfrm>
          <a:off x="5866422" y="891443"/>
          <a:ext cx="512120"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10</xdr:col>
      <xdr:colOff>575055</xdr:colOff>
      <xdr:row>4</xdr:row>
      <xdr:rowOff>73128</xdr:rowOff>
    </xdr:from>
    <xdr:to>
      <xdr:col>12</xdr:col>
      <xdr:colOff>609850</xdr:colOff>
      <xdr:row>4</xdr:row>
      <xdr:rowOff>307799</xdr:rowOff>
    </xdr:to>
    <xdr:sp macro="[0]!NavBar" textlink="">
      <xdr:nvSpPr>
        <xdr:cNvPr id="8" name="BtnAvancement">
          <a:extLst>
            <a:ext uri="{FF2B5EF4-FFF2-40B4-BE49-F238E27FC236}">
              <a16:creationId xmlns:a16="http://schemas.microsoft.com/office/drawing/2014/main" id="{00000000-0008-0000-0500-000008000000}"/>
            </a:ext>
          </a:extLst>
        </xdr:cNvPr>
        <xdr:cNvSpPr/>
      </xdr:nvSpPr>
      <xdr:spPr>
        <a:xfrm>
          <a:off x="9348215" y="889738"/>
          <a:ext cx="1769615"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6</xdr:col>
      <xdr:colOff>755654</xdr:colOff>
      <xdr:row>4</xdr:row>
      <xdr:rowOff>73065</xdr:rowOff>
    </xdr:from>
    <xdr:to>
      <xdr:col>7</xdr:col>
      <xdr:colOff>457514</xdr:colOff>
      <xdr:row>4</xdr:row>
      <xdr:rowOff>306466</xdr:rowOff>
    </xdr:to>
    <xdr:sp macro="[0]!NavBar" textlink="">
      <xdr:nvSpPr>
        <xdr:cNvPr id="9" name="BtnCR">
          <a:extLst>
            <a:ext uri="{FF2B5EF4-FFF2-40B4-BE49-F238E27FC236}">
              <a16:creationId xmlns:a16="http://schemas.microsoft.com/office/drawing/2014/main" id="{00000000-0008-0000-0500-000009000000}"/>
            </a:ext>
          </a:extLst>
        </xdr:cNvPr>
        <xdr:cNvSpPr/>
      </xdr:nvSpPr>
      <xdr:spPr>
        <a:xfrm>
          <a:off x="6422394" y="888405"/>
          <a:ext cx="512120"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7</xdr:col>
      <xdr:colOff>498786</xdr:colOff>
      <xdr:row>4</xdr:row>
      <xdr:rowOff>73065</xdr:rowOff>
    </xdr:from>
    <xdr:to>
      <xdr:col>8</xdr:col>
      <xdr:colOff>156196</xdr:colOff>
      <xdr:row>4</xdr:row>
      <xdr:rowOff>306466</xdr:rowOff>
    </xdr:to>
    <xdr:sp macro="[0]!NavBar" textlink="">
      <xdr:nvSpPr>
        <xdr:cNvPr id="10" name="BtnVA">
          <a:extLst>
            <a:ext uri="{FF2B5EF4-FFF2-40B4-BE49-F238E27FC236}">
              <a16:creationId xmlns:a16="http://schemas.microsoft.com/office/drawing/2014/main" id="{00000000-0008-0000-0500-00000A000000}"/>
            </a:ext>
          </a:extLst>
        </xdr:cNvPr>
        <xdr:cNvSpPr/>
      </xdr:nvSpPr>
      <xdr:spPr>
        <a:xfrm>
          <a:off x="6978326" y="888405"/>
          <a:ext cx="512120"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8</xdr:col>
      <xdr:colOff>194013</xdr:colOff>
      <xdr:row>4</xdr:row>
      <xdr:rowOff>73065</xdr:rowOff>
    </xdr:from>
    <xdr:to>
      <xdr:col>10</xdr:col>
      <xdr:colOff>530700</xdr:colOff>
      <xdr:row>4</xdr:row>
      <xdr:rowOff>306466</xdr:rowOff>
    </xdr:to>
    <xdr:sp macro="[0]!NavBar" textlink="">
      <xdr:nvSpPr>
        <xdr:cNvPr id="11" name="BtnSuivi">
          <a:extLst>
            <a:ext uri="{FF2B5EF4-FFF2-40B4-BE49-F238E27FC236}">
              <a16:creationId xmlns:a16="http://schemas.microsoft.com/office/drawing/2014/main" id="{00000000-0008-0000-0500-00000B000000}"/>
            </a:ext>
          </a:extLst>
        </xdr:cNvPr>
        <xdr:cNvSpPr/>
      </xdr:nvSpPr>
      <xdr:spPr>
        <a:xfrm>
          <a:off x="7530803" y="888405"/>
          <a:ext cx="1767977"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17BA82-016C-447D-96EE-1FB0326DF379}" name="TabLangue" displayName="TabLangue" ref="A1:B154" totalsRowShown="0" headerRowDxfId="3" dataDxfId="2">
  <autoFilter ref="A1:B154" xr:uid="{0417BA82-016C-447D-96EE-1FB0326DF379}"/>
  <sortState xmlns:xlrd2="http://schemas.microsoft.com/office/spreadsheetml/2017/richdata2" ref="A2:B2">
    <sortCondition ref="A1:A2"/>
  </sortState>
  <tableColumns count="2">
    <tableColumn id="1" xr3:uid="{45B955C7-30A7-4EC4-B63B-D627F40A9F46}" name="Français" dataDxfId="1"/>
    <tableColumn id="2" xr3:uid="{FE046421-6AC3-4614-B0D3-D2045735A148}" name="Anglais"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12BC22-C7E6-45DE-B001-CD9EEBAB4118}" name="TabLang" displayName="TabLang" ref="F1:F3" totalsRowShown="0">
  <autoFilter ref="F1:F3" xr:uid="{6B12BC22-C7E6-45DE-B001-CD9EEBAB4118}"/>
  <tableColumns count="1">
    <tableColumn id="1" xr3:uid="{A1DF3BCD-FB31-4BA9-B31D-E80DE53ADE91}" name="Lang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16AEBA-8008-471F-8FBC-E0FD378849C1}" name="TabYesNo" displayName="TabYesNo" ref="H1:H3" totalsRowShown="0">
  <autoFilter ref="H1:H3" xr:uid="{1316AEBA-8008-471F-8FBC-E0FD378849C1}"/>
  <tableColumns count="1">
    <tableColumn id="1" xr3:uid="{3814E038-FF0A-4734-805B-6D037AB90F7D}"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Guide">
    <tabColor theme="4" tint="-0.249977111117893"/>
  </sheetPr>
  <dimension ref="A1:S99"/>
  <sheetViews>
    <sheetView showGridLines="0" topLeftCell="A20" workbookViewId="0">
      <selection activeCell="B30" sqref="B30"/>
    </sheetView>
  </sheetViews>
  <sheetFormatPr defaultColWidth="11.44140625" defaultRowHeight="13.8" x14ac:dyDescent="0.3"/>
  <cols>
    <col min="1" max="1" width="3.6640625" style="25" customWidth="1"/>
    <col min="2" max="2" width="54.33203125" style="25" customWidth="1"/>
    <col min="3" max="6" width="11.44140625" style="25"/>
    <col min="7" max="7" width="15.5546875" style="25" bestFit="1" customWidth="1"/>
    <col min="8" max="9" width="11.44140625" style="25"/>
    <col min="10" max="10" width="10.88671875" style="25" customWidth="1"/>
    <col min="11" max="11" width="11.44140625" style="25"/>
    <col min="12" max="12" width="10.33203125" style="25" customWidth="1"/>
    <col min="13" max="13" width="9.6640625" style="25" customWidth="1"/>
    <col min="14" max="14" width="10" style="25" customWidth="1"/>
    <col min="15" max="16384" width="11.44140625" style="25"/>
  </cols>
  <sheetData>
    <row r="1" spans="1:16" s="31" customFormat="1" ht="5.4" customHeight="1" x14ac:dyDescent="0.25"/>
    <row r="2" spans="1:16" customFormat="1" ht="19.95" customHeight="1" x14ac:dyDescent="0.3">
      <c r="C2" s="164" t="s">
        <v>344</v>
      </c>
      <c r="D2" s="164"/>
      <c r="E2" s="165" t="s">
        <v>345</v>
      </c>
      <c r="F2" s="165"/>
      <c r="G2" s="2"/>
      <c r="H2" s="163" t="s">
        <v>346</v>
      </c>
      <c r="I2" s="164"/>
      <c r="J2" s="165" t="s">
        <v>347</v>
      </c>
      <c r="K2" s="165"/>
      <c r="L2" s="2"/>
      <c r="M2" s="166" t="s">
        <v>348</v>
      </c>
      <c r="N2" s="166"/>
      <c r="O2" s="167">
        <v>44893</v>
      </c>
      <c r="P2" s="167"/>
    </row>
    <row r="3" spans="1:16" customFormat="1" ht="19.95" customHeight="1" x14ac:dyDescent="0.3">
      <c r="C3" s="171" t="s">
        <v>349</v>
      </c>
      <c r="D3" s="171"/>
      <c r="E3" s="172" t="s">
        <v>356</v>
      </c>
      <c r="F3" s="172"/>
      <c r="G3" s="2"/>
      <c r="H3" s="170" t="s">
        <v>350</v>
      </c>
      <c r="I3" s="171"/>
      <c r="J3" s="172" t="s">
        <v>351</v>
      </c>
      <c r="K3" s="172"/>
      <c r="L3" s="2"/>
      <c r="M3" s="166" t="s">
        <v>352</v>
      </c>
      <c r="N3" s="166"/>
      <c r="O3" s="167"/>
      <c r="P3" s="167"/>
    </row>
    <row r="4" spans="1:16" customFormat="1" ht="19.95" customHeight="1" thickBot="1" x14ac:dyDescent="0.35">
      <c r="K4" s="2"/>
      <c r="L4" s="2"/>
      <c r="M4" s="168" t="s">
        <v>353</v>
      </c>
      <c r="N4" s="168"/>
      <c r="O4" s="169" t="s">
        <v>354</v>
      </c>
      <c r="P4" s="169"/>
    </row>
    <row r="5" spans="1:16" customFormat="1" ht="28.2" customHeight="1" thickTop="1" thickBot="1" x14ac:dyDescent="0.3">
      <c r="B5" s="33" t="s">
        <v>367</v>
      </c>
      <c r="C5" s="33"/>
      <c r="D5" s="33"/>
      <c r="E5" s="33"/>
      <c r="F5" s="34"/>
      <c r="G5" s="33"/>
      <c r="H5" s="33"/>
      <c r="I5" s="33"/>
      <c r="J5" s="33"/>
      <c r="K5" s="33"/>
      <c r="L5" s="33"/>
      <c r="M5" s="33"/>
      <c r="N5" s="33"/>
      <c r="O5" s="33"/>
      <c r="P5" s="33"/>
    </row>
    <row r="6" spans="1:16" ht="14.4" thickTop="1" x14ac:dyDescent="0.3"/>
    <row r="7" spans="1:16" ht="14.4" x14ac:dyDescent="0.3">
      <c r="B7" s="131" t="s">
        <v>56</v>
      </c>
      <c r="C7" s="132"/>
      <c r="D7" s="132"/>
      <c r="E7" s="132"/>
      <c r="F7" s="132"/>
      <c r="G7" s="132"/>
      <c r="H7" s="132"/>
      <c r="I7" s="132"/>
      <c r="J7" s="132"/>
      <c r="K7" s="132"/>
      <c r="L7" s="132"/>
      <c r="M7" s="132"/>
      <c r="N7" s="132"/>
    </row>
    <row r="8" spans="1:16" ht="14.4" x14ac:dyDescent="0.3">
      <c r="B8" s="131"/>
      <c r="C8" s="132"/>
      <c r="D8" s="132"/>
      <c r="E8" s="132"/>
      <c r="F8" s="132"/>
      <c r="G8" s="132"/>
      <c r="H8" s="132"/>
      <c r="I8" s="132"/>
      <c r="J8" s="132"/>
      <c r="K8" s="132"/>
      <c r="L8" s="132"/>
      <c r="M8" s="132"/>
      <c r="N8" s="132"/>
    </row>
    <row r="9" spans="1:16" ht="14.4" x14ac:dyDescent="0.3">
      <c r="B9" s="131" t="s">
        <v>41</v>
      </c>
      <c r="C9" s="133"/>
      <c r="D9" s="133"/>
      <c r="E9" s="133"/>
      <c r="F9" s="133"/>
      <c r="G9" s="132"/>
      <c r="H9" s="132"/>
      <c r="I9" s="132"/>
      <c r="J9" s="132"/>
      <c r="K9" s="132"/>
      <c r="L9" s="132"/>
      <c r="M9" s="132"/>
      <c r="N9" s="132"/>
    </row>
    <row r="10" spans="1:16" ht="34.200000000000003" customHeight="1" x14ac:dyDescent="0.3">
      <c r="A10" s="26"/>
      <c r="B10" s="173" t="s">
        <v>331</v>
      </c>
      <c r="C10" s="173"/>
      <c r="D10" s="173"/>
      <c r="E10" s="173"/>
      <c r="F10" s="173"/>
      <c r="G10" s="173"/>
      <c r="H10" s="173"/>
      <c r="I10" s="173"/>
      <c r="J10" s="173"/>
      <c r="K10" s="173"/>
      <c r="L10" s="173"/>
      <c r="M10" s="173"/>
      <c r="N10" s="133"/>
      <c r="O10" s="8"/>
    </row>
    <row r="11" spans="1:16" ht="15.6" x14ac:dyDescent="0.3">
      <c r="A11" s="26"/>
      <c r="B11" s="133"/>
      <c r="C11" s="133"/>
      <c r="D11" s="133"/>
      <c r="E11" s="133"/>
      <c r="F11" s="133"/>
      <c r="G11" s="133"/>
      <c r="H11" s="133"/>
      <c r="I11" s="133"/>
      <c r="J11" s="133"/>
      <c r="K11" s="133"/>
      <c r="L11" s="133"/>
      <c r="M11" s="133"/>
      <c r="N11" s="133"/>
      <c r="O11" s="8"/>
    </row>
    <row r="12" spans="1:16" ht="15.6" x14ac:dyDescent="0.3">
      <c r="A12" s="26"/>
      <c r="B12" s="133" t="s">
        <v>21</v>
      </c>
      <c r="C12" s="133"/>
      <c r="D12" s="133"/>
      <c r="E12" s="133"/>
      <c r="F12" s="133"/>
      <c r="G12" s="133"/>
      <c r="H12" s="133"/>
      <c r="I12" s="133"/>
      <c r="J12" s="133"/>
      <c r="K12" s="133"/>
      <c r="L12" s="133"/>
      <c r="M12" s="133"/>
      <c r="N12" s="133"/>
      <c r="O12" s="8"/>
    </row>
    <row r="13" spans="1:16" ht="15.6" x14ac:dyDescent="0.3">
      <c r="B13" s="135" t="s">
        <v>44</v>
      </c>
      <c r="C13" s="133" t="s">
        <v>45</v>
      </c>
      <c r="D13" s="133"/>
      <c r="E13" s="133"/>
      <c r="F13" s="133"/>
      <c r="G13" s="133"/>
      <c r="H13" s="133"/>
      <c r="I13" s="133"/>
      <c r="J13" s="133"/>
      <c r="K13" s="133"/>
      <c r="L13" s="133"/>
      <c r="M13" s="133"/>
      <c r="N13" s="133"/>
      <c r="O13" s="8"/>
    </row>
    <row r="14" spans="1:16" ht="15.6" x14ac:dyDescent="0.3">
      <c r="B14" s="135" t="s">
        <v>42</v>
      </c>
      <c r="C14" s="133" t="s">
        <v>43</v>
      </c>
      <c r="D14" s="133"/>
      <c r="E14" s="133"/>
      <c r="F14" s="133"/>
      <c r="G14" s="133"/>
      <c r="H14" s="133"/>
      <c r="I14" s="133"/>
      <c r="J14" s="133"/>
      <c r="K14" s="133"/>
      <c r="L14" s="133"/>
      <c r="M14" s="133"/>
      <c r="N14" s="133"/>
      <c r="O14" s="8"/>
    </row>
    <row r="15" spans="1:16" ht="15.6" x14ac:dyDescent="0.3">
      <c r="B15" s="135" t="s">
        <v>57</v>
      </c>
      <c r="C15" s="133" t="s">
        <v>60</v>
      </c>
      <c r="D15" s="133"/>
      <c r="E15" s="133"/>
      <c r="F15" s="133"/>
      <c r="G15" s="133"/>
      <c r="H15" s="133"/>
      <c r="I15" s="133"/>
      <c r="J15" s="133"/>
      <c r="K15" s="133"/>
      <c r="L15" s="133"/>
      <c r="M15" s="133"/>
      <c r="N15" s="133"/>
      <c r="O15" s="8"/>
    </row>
    <row r="16" spans="1:16" ht="15.6" x14ac:dyDescent="0.3">
      <c r="B16" s="135" t="s">
        <v>49</v>
      </c>
      <c r="C16" s="133" t="s">
        <v>47</v>
      </c>
      <c r="D16" s="133"/>
      <c r="E16" s="133"/>
      <c r="F16" s="133"/>
      <c r="G16" s="133"/>
      <c r="H16" s="133"/>
      <c r="I16" s="133"/>
      <c r="J16" s="133"/>
      <c r="K16" s="133"/>
      <c r="L16" s="133"/>
      <c r="M16" s="133"/>
      <c r="N16" s="133"/>
      <c r="O16" s="8"/>
    </row>
    <row r="17" spans="1:15" ht="15.6" x14ac:dyDescent="0.3">
      <c r="B17" s="135" t="s">
        <v>50</v>
      </c>
      <c r="C17" s="133" t="s">
        <v>48</v>
      </c>
      <c r="D17" s="133"/>
      <c r="E17" s="133"/>
      <c r="F17" s="133"/>
      <c r="G17" s="133"/>
      <c r="H17" s="133"/>
      <c r="I17" s="133"/>
      <c r="J17" s="133"/>
      <c r="K17" s="133"/>
      <c r="L17" s="133"/>
      <c r="M17" s="133"/>
      <c r="N17" s="133"/>
      <c r="O17" s="8"/>
    </row>
    <row r="18" spans="1:15" ht="15.6" x14ac:dyDescent="0.3">
      <c r="B18" s="135" t="s">
        <v>52</v>
      </c>
      <c r="C18" s="133" t="s">
        <v>53</v>
      </c>
      <c r="D18" s="133"/>
      <c r="E18" s="133"/>
      <c r="F18" s="133"/>
      <c r="G18" s="133"/>
      <c r="H18" s="133"/>
      <c r="I18" s="133"/>
      <c r="J18" s="133"/>
      <c r="K18" s="133"/>
      <c r="L18" s="133"/>
      <c r="M18" s="133"/>
      <c r="N18" s="133"/>
      <c r="O18" s="8"/>
    </row>
    <row r="19" spans="1:15" ht="15.6" x14ac:dyDescent="0.3">
      <c r="B19" s="133"/>
      <c r="C19" s="133"/>
      <c r="D19" s="133"/>
      <c r="E19" s="133"/>
      <c r="F19" s="133"/>
      <c r="G19" s="133"/>
      <c r="H19" s="133"/>
      <c r="I19" s="133"/>
      <c r="J19" s="133"/>
      <c r="K19" s="133"/>
      <c r="L19" s="133"/>
      <c r="M19" s="133"/>
      <c r="N19" s="133"/>
      <c r="O19" s="8"/>
    </row>
    <row r="20" spans="1:15" ht="15.6" x14ac:dyDescent="0.3">
      <c r="B20" s="131" t="s">
        <v>70</v>
      </c>
      <c r="C20" s="133"/>
      <c r="D20" s="133"/>
      <c r="E20" s="133"/>
      <c r="F20" s="133"/>
      <c r="G20" s="133"/>
      <c r="H20" s="133"/>
      <c r="I20" s="133"/>
      <c r="J20" s="133"/>
      <c r="K20" s="133"/>
      <c r="L20" s="133"/>
      <c r="M20" s="133"/>
      <c r="N20" s="133"/>
      <c r="O20" s="8"/>
    </row>
    <row r="21" spans="1:15" ht="15.6" x14ac:dyDescent="0.3">
      <c r="A21" s="27"/>
      <c r="B21" s="133" t="s">
        <v>72</v>
      </c>
      <c r="C21" s="133"/>
      <c r="D21" s="133"/>
      <c r="E21" s="133"/>
      <c r="F21" s="133"/>
      <c r="G21" s="133"/>
      <c r="H21" s="133"/>
      <c r="I21" s="133"/>
      <c r="J21" s="133"/>
      <c r="K21" s="133"/>
      <c r="L21" s="133"/>
      <c r="M21" s="133"/>
      <c r="N21" s="133"/>
      <c r="O21" s="8"/>
    </row>
    <row r="22" spans="1:15" ht="15.6" x14ac:dyDescent="0.3">
      <c r="A22" s="27"/>
      <c r="B22" s="136" t="s">
        <v>71</v>
      </c>
      <c r="C22" s="133"/>
      <c r="D22" s="133"/>
      <c r="E22" s="133"/>
      <c r="F22" s="133"/>
      <c r="G22" s="133"/>
      <c r="H22" s="133"/>
      <c r="I22" s="133"/>
      <c r="J22" s="133"/>
      <c r="K22" s="133"/>
      <c r="L22" s="133"/>
      <c r="M22" s="133"/>
      <c r="N22" s="133"/>
      <c r="O22" s="8"/>
    </row>
    <row r="23" spans="1:15" ht="15.6" x14ac:dyDescent="0.3">
      <c r="A23" s="27"/>
      <c r="B23" s="136"/>
      <c r="C23" s="133"/>
      <c r="D23" s="133"/>
      <c r="E23" s="133"/>
      <c r="F23" s="133"/>
      <c r="G23" s="133"/>
      <c r="H23" s="133"/>
      <c r="I23" s="133"/>
      <c r="J23" s="133"/>
      <c r="K23" s="133"/>
      <c r="L23" s="133"/>
      <c r="M23" s="133"/>
      <c r="N23" s="133"/>
      <c r="O23" s="8"/>
    </row>
    <row r="24" spans="1:15" ht="15.6" x14ac:dyDescent="0.3">
      <c r="B24" s="131" t="s">
        <v>77</v>
      </c>
      <c r="C24" s="133"/>
      <c r="D24" s="133"/>
      <c r="E24" s="133"/>
      <c r="F24" s="133"/>
      <c r="G24" s="133"/>
      <c r="H24" s="133"/>
      <c r="I24" s="133"/>
      <c r="J24" s="133"/>
      <c r="K24" s="133"/>
      <c r="L24" s="133"/>
      <c r="M24" s="133"/>
      <c r="N24" s="133"/>
      <c r="O24" s="8"/>
    </row>
    <row r="25" spans="1:15" ht="15.6" x14ac:dyDescent="0.3">
      <c r="B25" s="176" t="s">
        <v>332</v>
      </c>
      <c r="C25" s="176"/>
      <c r="D25" s="176"/>
      <c r="E25" s="176"/>
      <c r="F25" s="176"/>
      <c r="G25" s="176"/>
      <c r="H25" s="176"/>
      <c r="I25" s="176"/>
      <c r="J25" s="176"/>
      <c r="K25" s="176"/>
      <c r="L25" s="176"/>
      <c r="M25" s="176"/>
      <c r="N25" s="133"/>
      <c r="O25" s="8"/>
    </row>
    <row r="26" spans="1:15" ht="15.6" x14ac:dyDescent="0.3">
      <c r="B26" s="133" t="s">
        <v>73</v>
      </c>
      <c r="C26" s="133"/>
      <c r="D26" s="133"/>
      <c r="E26" s="133"/>
      <c r="F26" s="133"/>
      <c r="G26" s="133"/>
      <c r="H26" s="133"/>
      <c r="I26" s="133"/>
      <c r="J26" s="133"/>
      <c r="K26" s="133"/>
      <c r="L26" s="133"/>
      <c r="M26" s="133"/>
      <c r="N26" s="133"/>
      <c r="O26" s="8"/>
    </row>
    <row r="27" spans="1:15" ht="15.6" x14ac:dyDescent="0.3">
      <c r="B27" s="133"/>
      <c r="C27" s="133"/>
      <c r="D27" s="133"/>
      <c r="E27" s="133"/>
      <c r="F27" s="133"/>
      <c r="G27" s="133"/>
      <c r="H27" s="133"/>
      <c r="I27" s="133"/>
      <c r="J27" s="133"/>
      <c r="K27" s="133"/>
      <c r="L27" s="133"/>
      <c r="M27" s="133"/>
      <c r="N27" s="133"/>
      <c r="O27" s="8"/>
    </row>
    <row r="28" spans="1:15" ht="15.6" x14ac:dyDescent="0.3">
      <c r="B28" s="131" t="s">
        <v>78</v>
      </c>
      <c r="C28" s="133"/>
      <c r="D28" s="133"/>
      <c r="E28" s="133"/>
      <c r="F28" s="133"/>
      <c r="G28" s="133"/>
      <c r="H28" s="133"/>
      <c r="I28" s="133"/>
      <c r="J28" s="133"/>
      <c r="K28" s="133"/>
      <c r="L28" s="133"/>
      <c r="M28" s="133"/>
      <c r="N28" s="133"/>
      <c r="O28" s="8"/>
    </row>
    <row r="29" spans="1:15" ht="15.6" x14ac:dyDescent="0.3">
      <c r="A29" s="27"/>
      <c r="B29" s="133" t="s">
        <v>333</v>
      </c>
      <c r="C29" s="133"/>
      <c r="D29" s="133"/>
      <c r="E29" s="133"/>
      <c r="F29" s="133"/>
      <c r="G29" s="133"/>
      <c r="H29" s="133"/>
      <c r="I29" s="133"/>
      <c r="J29" s="133"/>
      <c r="K29" s="133"/>
      <c r="L29" s="133"/>
      <c r="M29" s="133"/>
      <c r="N29" s="133"/>
      <c r="O29" s="8"/>
    </row>
    <row r="30" spans="1:15" ht="15.6" x14ac:dyDescent="0.3">
      <c r="B30" s="133"/>
      <c r="C30" s="133"/>
      <c r="D30" s="133"/>
      <c r="E30" s="133"/>
      <c r="F30" s="133"/>
      <c r="G30" s="133"/>
      <c r="H30" s="133"/>
      <c r="I30" s="133"/>
      <c r="J30" s="133"/>
      <c r="K30" s="133"/>
      <c r="L30" s="133"/>
      <c r="M30" s="133"/>
      <c r="N30" s="133"/>
      <c r="O30" s="8"/>
    </row>
    <row r="31" spans="1:15" ht="15.6" x14ac:dyDescent="0.3">
      <c r="B31" s="133"/>
      <c r="C31" s="133"/>
      <c r="D31" s="133"/>
      <c r="E31" s="133"/>
      <c r="F31" s="133"/>
      <c r="G31" s="133"/>
      <c r="H31" s="133"/>
      <c r="I31" s="133"/>
      <c r="J31" s="133"/>
      <c r="K31" s="133"/>
      <c r="L31" s="133"/>
      <c r="M31" s="133"/>
      <c r="N31" s="133"/>
      <c r="O31" s="8"/>
    </row>
    <row r="32" spans="1:15" ht="15.6" x14ac:dyDescent="0.3">
      <c r="B32" s="131" t="s">
        <v>79</v>
      </c>
      <c r="C32" s="133"/>
      <c r="D32" s="133"/>
      <c r="E32" s="133"/>
      <c r="F32" s="133"/>
      <c r="G32" s="133"/>
      <c r="H32" s="133"/>
      <c r="I32" s="133"/>
      <c r="J32" s="133"/>
      <c r="K32" s="133"/>
      <c r="L32" s="133"/>
      <c r="M32" s="133"/>
      <c r="N32" s="133"/>
      <c r="O32" s="8"/>
    </row>
    <row r="33" spans="1:15" ht="15.6" x14ac:dyDescent="0.3">
      <c r="A33" s="28"/>
      <c r="B33" s="173" t="s">
        <v>334</v>
      </c>
      <c r="C33" s="173"/>
      <c r="D33" s="173"/>
      <c r="E33" s="173"/>
      <c r="F33" s="173"/>
      <c r="G33" s="173"/>
      <c r="H33" s="173"/>
      <c r="I33" s="173"/>
      <c r="J33" s="173"/>
      <c r="K33" s="173"/>
      <c r="L33" s="173"/>
      <c r="M33" s="173"/>
      <c r="N33" s="133"/>
      <c r="O33" s="8"/>
    </row>
    <row r="34" spans="1:15" ht="15.6" x14ac:dyDescent="0.3">
      <c r="A34" s="29"/>
      <c r="B34" s="136" t="s">
        <v>81</v>
      </c>
      <c r="C34" s="134"/>
      <c r="D34" s="134"/>
      <c r="E34" s="134"/>
      <c r="F34" s="134"/>
      <c r="G34" s="134"/>
      <c r="H34" s="134"/>
      <c r="I34" s="134"/>
      <c r="J34" s="134"/>
      <c r="K34" s="134"/>
      <c r="L34" s="134"/>
      <c r="M34" s="134"/>
      <c r="N34" s="133"/>
      <c r="O34" s="8"/>
    </row>
    <row r="35" spans="1:15" ht="15.6" x14ac:dyDescent="0.3">
      <c r="A35" s="29"/>
      <c r="B35" s="136"/>
      <c r="C35" s="134"/>
      <c r="D35" s="134"/>
      <c r="E35" s="134"/>
      <c r="F35" s="134"/>
      <c r="G35" s="134"/>
      <c r="H35" s="134"/>
      <c r="I35" s="134"/>
      <c r="J35" s="134"/>
      <c r="K35" s="134"/>
      <c r="L35" s="134"/>
      <c r="M35" s="134"/>
      <c r="N35" s="133"/>
      <c r="O35" s="8"/>
    </row>
    <row r="36" spans="1:15" ht="15.6" x14ac:dyDescent="0.3">
      <c r="B36" s="133"/>
      <c r="C36" s="133"/>
      <c r="D36" s="133"/>
      <c r="E36" s="133"/>
      <c r="F36" s="133"/>
      <c r="G36" s="133"/>
      <c r="H36" s="133"/>
      <c r="I36" s="133"/>
      <c r="J36" s="133"/>
      <c r="K36" s="133"/>
      <c r="L36" s="133"/>
      <c r="M36" s="133"/>
      <c r="N36" s="133"/>
      <c r="O36" s="8"/>
    </row>
    <row r="37" spans="1:15" ht="57.6" customHeight="1" x14ac:dyDescent="0.3">
      <c r="B37" s="133"/>
      <c r="C37" s="133"/>
      <c r="D37" s="133"/>
      <c r="E37" s="133"/>
      <c r="F37" s="133"/>
      <c r="G37" s="133"/>
      <c r="H37" s="133"/>
      <c r="I37" s="133"/>
      <c r="J37" s="133"/>
      <c r="K37" s="133"/>
      <c r="L37" s="176" t="s">
        <v>9</v>
      </c>
      <c r="M37" s="176"/>
      <c r="N37" s="176"/>
      <c r="O37" s="8"/>
    </row>
    <row r="38" spans="1:15" ht="15.6" x14ac:dyDescent="0.3">
      <c r="B38" s="133"/>
      <c r="C38" s="133"/>
      <c r="D38" s="133"/>
      <c r="E38" s="133"/>
      <c r="F38" s="133"/>
      <c r="G38" s="133"/>
      <c r="H38" s="133"/>
      <c r="I38" s="133"/>
      <c r="J38" s="133"/>
      <c r="K38" s="133"/>
      <c r="L38" s="133"/>
      <c r="M38" s="133"/>
      <c r="N38" s="133"/>
      <c r="O38" s="8"/>
    </row>
    <row r="39" spans="1:15" ht="29.4" customHeight="1" x14ac:dyDescent="0.3">
      <c r="B39" s="133"/>
      <c r="C39" s="133"/>
      <c r="D39" s="133"/>
      <c r="E39" s="133"/>
      <c r="F39" s="133"/>
      <c r="G39" s="133"/>
      <c r="H39" s="133"/>
      <c r="I39" s="133"/>
      <c r="J39" s="133"/>
      <c r="K39" s="133"/>
      <c r="L39" s="176" t="s">
        <v>51</v>
      </c>
      <c r="M39" s="176"/>
      <c r="N39" s="176"/>
      <c r="O39" s="8"/>
    </row>
    <row r="40" spans="1:15" ht="15.6" x14ac:dyDescent="0.3">
      <c r="B40" s="133"/>
      <c r="C40" s="133"/>
      <c r="D40" s="133"/>
      <c r="E40" s="133"/>
      <c r="F40" s="133"/>
      <c r="G40" s="133"/>
      <c r="H40" s="133"/>
      <c r="I40" s="133"/>
      <c r="J40" s="133"/>
      <c r="K40" s="133"/>
      <c r="L40" s="133"/>
      <c r="M40" s="133"/>
      <c r="N40" s="133"/>
      <c r="O40" s="8"/>
    </row>
    <row r="41" spans="1:15" ht="15.6" x14ac:dyDescent="0.3">
      <c r="B41" s="133"/>
      <c r="C41" s="133"/>
      <c r="D41" s="133"/>
      <c r="E41" s="133"/>
      <c r="F41" s="133"/>
      <c r="G41" s="133"/>
      <c r="H41" s="133"/>
      <c r="I41" s="133"/>
      <c r="J41" s="133"/>
      <c r="K41" s="133"/>
      <c r="L41" s="133"/>
      <c r="M41" s="133"/>
      <c r="N41" s="133"/>
      <c r="O41" s="8"/>
    </row>
    <row r="42" spans="1:15" ht="15.6" x14ac:dyDescent="0.3">
      <c r="B42" s="133"/>
      <c r="C42" s="133"/>
      <c r="D42" s="133"/>
      <c r="E42" s="133"/>
      <c r="F42" s="133"/>
      <c r="G42" s="133"/>
      <c r="H42" s="133"/>
      <c r="I42" s="133"/>
      <c r="J42" s="133"/>
      <c r="K42" s="133"/>
      <c r="L42" s="133"/>
      <c r="M42" s="133"/>
      <c r="N42" s="133"/>
      <c r="O42" s="8"/>
    </row>
    <row r="43" spans="1:15" ht="15.6" x14ac:dyDescent="0.3">
      <c r="B43" s="133"/>
      <c r="C43" s="133"/>
      <c r="D43" s="133"/>
      <c r="E43" s="133"/>
      <c r="F43" s="133"/>
      <c r="G43" s="133"/>
      <c r="H43" s="133"/>
      <c r="I43" s="133"/>
      <c r="J43" s="133"/>
      <c r="K43" s="133"/>
      <c r="L43" s="133"/>
      <c r="M43" s="133"/>
      <c r="N43" s="133"/>
      <c r="O43" s="8"/>
    </row>
    <row r="44" spans="1:15" ht="15.6" x14ac:dyDescent="0.3">
      <c r="B44" s="133"/>
      <c r="C44" s="133"/>
      <c r="D44" s="133"/>
      <c r="E44" s="133"/>
      <c r="F44" s="133"/>
      <c r="G44" s="133"/>
      <c r="H44" s="133"/>
      <c r="I44" s="133"/>
      <c r="J44" s="133"/>
      <c r="K44" s="133"/>
      <c r="L44" s="133"/>
      <c r="M44" s="133"/>
      <c r="N44" s="133"/>
      <c r="O44" s="8"/>
    </row>
    <row r="45" spans="1:15" ht="15.6" x14ac:dyDescent="0.3">
      <c r="B45" s="133"/>
      <c r="C45" s="133"/>
      <c r="D45" s="133"/>
      <c r="E45" s="133"/>
      <c r="F45" s="133"/>
      <c r="G45" s="133"/>
      <c r="H45" s="133"/>
      <c r="I45" s="133"/>
      <c r="J45" s="133"/>
      <c r="K45" s="133"/>
      <c r="L45" s="133"/>
      <c r="M45" s="133"/>
      <c r="N45" s="133"/>
      <c r="O45" s="8"/>
    </row>
    <row r="46" spans="1:15" ht="15.6" x14ac:dyDescent="0.3">
      <c r="B46" s="133"/>
      <c r="C46" s="133"/>
      <c r="D46" s="133"/>
      <c r="E46" s="133"/>
      <c r="F46" s="133"/>
      <c r="G46" s="133"/>
      <c r="H46" s="133"/>
      <c r="I46" s="133"/>
      <c r="J46" s="133"/>
      <c r="K46" s="133"/>
      <c r="L46" s="133"/>
      <c r="M46" s="133"/>
      <c r="N46" s="133"/>
      <c r="O46" s="8"/>
    </row>
    <row r="47" spans="1:15" ht="76.95" customHeight="1" x14ac:dyDescent="0.3">
      <c r="B47" s="133"/>
      <c r="C47" s="133"/>
      <c r="D47" s="133"/>
      <c r="E47" s="133"/>
      <c r="F47" s="133"/>
      <c r="G47" s="133"/>
      <c r="H47" s="133"/>
      <c r="I47" s="133"/>
      <c r="J47" s="133"/>
      <c r="K47" s="133"/>
      <c r="L47" s="173" t="s">
        <v>80</v>
      </c>
      <c r="M47" s="173"/>
      <c r="N47" s="173"/>
      <c r="O47" s="8"/>
    </row>
    <row r="48" spans="1:15" ht="15.6" x14ac:dyDescent="0.3">
      <c r="B48" s="138" t="s">
        <v>7</v>
      </c>
      <c r="C48" s="132"/>
      <c r="D48" s="132"/>
      <c r="E48" s="132"/>
      <c r="F48" s="132"/>
      <c r="G48" s="132"/>
      <c r="H48" s="132"/>
      <c r="I48" s="132"/>
      <c r="J48" s="132"/>
      <c r="K48" s="132"/>
      <c r="L48" s="132"/>
      <c r="M48" s="132"/>
      <c r="N48" s="133"/>
      <c r="O48" s="8"/>
    </row>
    <row r="49" spans="2:15" ht="15.6" x14ac:dyDescent="0.3">
      <c r="B49" s="176" t="s">
        <v>335</v>
      </c>
      <c r="C49" s="176"/>
      <c r="D49" s="176"/>
      <c r="E49" s="176"/>
      <c r="F49" s="176"/>
      <c r="G49" s="176"/>
      <c r="H49" s="176"/>
      <c r="I49" s="176"/>
      <c r="J49" s="176"/>
      <c r="K49" s="176"/>
      <c r="L49" s="176"/>
      <c r="M49" s="137"/>
      <c r="N49" s="133"/>
      <c r="O49" s="8"/>
    </row>
    <row r="50" spans="2:15" ht="12.6" customHeight="1" x14ac:dyDescent="0.3">
      <c r="B50" s="137"/>
      <c r="C50" s="137"/>
      <c r="D50" s="137"/>
      <c r="E50" s="137"/>
      <c r="F50" s="137"/>
      <c r="G50" s="137"/>
      <c r="H50" s="137"/>
      <c r="I50" s="137"/>
      <c r="J50" s="137"/>
      <c r="K50" s="137"/>
      <c r="L50" s="137"/>
      <c r="M50" s="137"/>
      <c r="N50" s="133"/>
      <c r="O50" s="8"/>
    </row>
    <row r="51" spans="2:15" ht="15.6" x14ac:dyDescent="0.3">
      <c r="B51" s="139" t="s">
        <v>4</v>
      </c>
      <c r="C51" s="132"/>
      <c r="D51" s="133"/>
      <c r="E51" s="133"/>
      <c r="F51" s="133"/>
      <c r="G51" s="133"/>
      <c r="H51" s="133"/>
      <c r="I51" s="133"/>
      <c r="J51" s="133"/>
      <c r="K51" s="132"/>
      <c r="L51" s="133"/>
      <c r="M51" s="133"/>
      <c r="N51" s="133"/>
      <c r="O51" s="8"/>
    </row>
    <row r="52" spans="2:15" ht="15.6" x14ac:dyDescent="0.3">
      <c r="B52" s="133" t="s">
        <v>336</v>
      </c>
      <c r="C52" s="133"/>
      <c r="D52" s="133"/>
      <c r="E52" s="133"/>
      <c r="F52" s="133"/>
      <c r="G52" s="133"/>
      <c r="H52" s="133"/>
      <c r="I52" s="133"/>
      <c r="J52" s="133"/>
      <c r="K52" s="132"/>
      <c r="L52" s="133"/>
      <c r="M52" s="133"/>
      <c r="N52" s="133"/>
      <c r="O52" s="8"/>
    </row>
    <row r="53" spans="2:15" ht="28.2" customHeight="1" x14ac:dyDescent="0.3">
      <c r="B53" s="140"/>
      <c r="C53" s="133"/>
      <c r="D53" s="133"/>
      <c r="E53" s="133"/>
      <c r="F53" s="133"/>
      <c r="G53" s="133"/>
      <c r="H53" s="133"/>
      <c r="I53" s="133"/>
      <c r="J53" s="133"/>
      <c r="K53" s="132"/>
      <c r="L53" s="133"/>
      <c r="M53" s="133"/>
      <c r="N53" s="133"/>
      <c r="O53" s="8"/>
    </row>
    <row r="54" spans="2:15" ht="50.4" customHeight="1" x14ac:dyDescent="0.3">
      <c r="B54" s="140"/>
      <c r="C54" s="133"/>
      <c r="D54" s="133"/>
      <c r="E54" s="133"/>
      <c r="F54" s="133"/>
      <c r="G54" s="133"/>
      <c r="H54" s="133"/>
      <c r="I54" s="133"/>
      <c r="J54" s="133"/>
      <c r="K54" s="130"/>
      <c r="L54" s="173"/>
      <c r="M54" s="173"/>
      <c r="N54" s="173"/>
      <c r="O54" s="8"/>
    </row>
    <row r="55" spans="2:15" ht="28.2" customHeight="1" x14ac:dyDescent="0.3">
      <c r="B55" s="40"/>
      <c r="C55" s="133"/>
      <c r="D55" s="133"/>
      <c r="E55" s="133"/>
      <c r="F55" s="133"/>
      <c r="G55" s="133"/>
      <c r="H55" s="133"/>
      <c r="I55" s="133"/>
      <c r="J55" s="133"/>
      <c r="K55" s="132"/>
      <c r="L55" s="133"/>
      <c r="M55" s="133"/>
      <c r="N55" s="133"/>
      <c r="O55" s="8"/>
    </row>
    <row r="56" spans="2:15" ht="28.2" customHeight="1" x14ac:dyDescent="0.3">
      <c r="B56" s="132"/>
      <c r="C56" s="133"/>
      <c r="D56" s="133"/>
      <c r="E56" s="133"/>
      <c r="F56" s="133"/>
      <c r="G56" s="133"/>
      <c r="H56" s="133"/>
      <c r="I56" s="133"/>
      <c r="J56" s="133"/>
      <c r="K56" s="132"/>
      <c r="L56" s="133"/>
      <c r="M56" s="133"/>
      <c r="N56" s="133"/>
      <c r="O56" s="8"/>
    </row>
    <row r="57" spans="2:15" ht="28.2" customHeight="1" x14ac:dyDescent="0.3">
      <c r="B57" s="132"/>
      <c r="C57" s="133"/>
      <c r="D57" s="133"/>
      <c r="E57" s="133"/>
      <c r="F57" s="133"/>
      <c r="G57" s="133"/>
      <c r="H57" s="133"/>
      <c r="I57" s="133"/>
      <c r="J57" s="133"/>
      <c r="K57" s="132"/>
      <c r="L57" s="133"/>
      <c r="M57" s="133"/>
      <c r="N57" s="133"/>
      <c r="O57" s="8"/>
    </row>
    <row r="58" spans="2:15" ht="28.2" customHeight="1" x14ac:dyDescent="0.3">
      <c r="B58" s="132"/>
      <c r="C58" s="133"/>
      <c r="D58" s="133"/>
      <c r="E58" s="133"/>
      <c r="F58" s="133"/>
      <c r="G58" s="133"/>
      <c r="H58" s="133"/>
      <c r="I58" s="133"/>
      <c r="J58" s="133"/>
      <c r="K58" s="132"/>
      <c r="L58" s="133"/>
      <c r="M58" s="133"/>
      <c r="N58" s="133"/>
      <c r="O58" s="8"/>
    </row>
    <row r="59" spans="2:15" ht="28.2" customHeight="1" x14ac:dyDescent="0.3">
      <c r="B59" s="139" t="s">
        <v>46</v>
      </c>
      <c r="C59" s="132"/>
      <c r="D59" s="133"/>
      <c r="E59" s="133"/>
      <c r="F59" s="133"/>
      <c r="G59" s="133"/>
      <c r="H59" s="133"/>
      <c r="I59" s="133"/>
      <c r="J59" s="133"/>
      <c r="K59" s="132"/>
      <c r="L59" s="133"/>
      <c r="M59" s="133"/>
      <c r="N59" s="133"/>
      <c r="O59" s="8"/>
    </row>
    <row r="60" spans="2:15" ht="28.2" customHeight="1" x14ac:dyDescent="0.3">
      <c r="B60" s="133" t="s">
        <v>337</v>
      </c>
      <c r="C60" s="133"/>
      <c r="D60" s="133"/>
      <c r="E60" s="133"/>
      <c r="F60" s="133"/>
      <c r="G60" s="133"/>
      <c r="H60" s="133"/>
      <c r="I60" s="133"/>
      <c r="J60" s="133"/>
      <c r="K60" s="132"/>
      <c r="L60" s="133"/>
      <c r="M60" s="133"/>
      <c r="N60" s="133"/>
      <c r="O60" s="8"/>
    </row>
    <row r="61" spans="2:15" ht="28.2" customHeight="1" x14ac:dyDescent="0.3">
      <c r="B61" s="132"/>
      <c r="C61" s="133"/>
      <c r="D61" s="133"/>
      <c r="E61" s="133"/>
      <c r="F61" s="133"/>
      <c r="G61" s="133"/>
      <c r="H61" s="133"/>
      <c r="I61" s="133"/>
      <c r="J61" s="133"/>
      <c r="K61" s="132"/>
      <c r="L61" s="133"/>
      <c r="M61" s="133"/>
      <c r="N61" s="133"/>
      <c r="O61" s="8"/>
    </row>
    <row r="62" spans="2:15" ht="28.2" customHeight="1" x14ac:dyDescent="0.3">
      <c r="B62" s="132"/>
      <c r="C62" s="133"/>
      <c r="D62" s="133"/>
      <c r="E62" s="133"/>
      <c r="F62" s="133"/>
      <c r="G62" s="133"/>
      <c r="H62" s="133"/>
      <c r="I62" s="133"/>
      <c r="J62" s="133"/>
      <c r="K62" s="132"/>
      <c r="L62" s="133"/>
      <c r="M62" s="133"/>
      <c r="N62" s="133"/>
      <c r="O62" s="8"/>
    </row>
    <row r="63" spans="2:15" ht="28.2" customHeight="1" x14ac:dyDescent="0.3">
      <c r="B63" s="132"/>
      <c r="C63" s="133"/>
      <c r="D63" s="133"/>
      <c r="E63" s="133"/>
      <c r="F63" s="133"/>
      <c r="G63" s="133"/>
      <c r="H63" s="133"/>
      <c r="I63" s="133"/>
      <c r="J63" s="133"/>
      <c r="K63" s="132"/>
      <c r="L63" s="133"/>
      <c r="M63" s="133"/>
      <c r="N63" s="133"/>
      <c r="O63" s="8"/>
    </row>
    <row r="64" spans="2:15" ht="28.2" customHeight="1" x14ac:dyDescent="0.3">
      <c r="B64" s="132"/>
      <c r="C64" s="133"/>
      <c r="D64" s="133"/>
      <c r="E64" s="133"/>
      <c r="F64" s="133"/>
      <c r="G64" s="133"/>
      <c r="H64" s="133"/>
      <c r="I64" s="133"/>
      <c r="J64" s="133"/>
      <c r="K64" s="132"/>
      <c r="L64" s="133"/>
      <c r="M64" s="133"/>
      <c r="N64" s="133"/>
      <c r="O64" s="8"/>
    </row>
    <row r="65" spans="2:19" ht="28.2" customHeight="1" x14ac:dyDescent="0.3">
      <c r="B65" s="132"/>
      <c r="C65" s="133"/>
      <c r="D65" s="133"/>
      <c r="E65" s="133"/>
      <c r="F65" s="133"/>
      <c r="G65" s="133"/>
      <c r="H65" s="133"/>
      <c r="I65" s="133"/>
      <c r="J65" s="133"/>
      <c r="K65" s="132"/>
      <c r="L65" s="133"/>
      <c r="M65" s="133"/>
      <c r="N65" s="133"/>
      <c r="O65" s="8"/>
    </row>
    <row r="66" spans="2:19" ht="28.2" customHeight="1" x14ac:dyDescent="0.3">
      <c r="B66" s="132"/>
      <c r="C66" s="133"/>
      <c r="D66" s="133"/>
      <c r="E66" s="133"/>
      <c r="F66" s="133"/>
      <c r="G66" s="133"/>
      <c r="H66" s="133"/>
      <c r="I66" s="133"/>
      <c r="J66" s="133"/>
      <c r="K66" s="132"/>
      <c r="L66" s="133"/>
      <c r="M66" s="133"/>
      <c r="N66" s="133"/>
      <c r="O66" s="8"/>
    </row>
    <row r="67" spans="2:19" ht="28.2" customHeight="1" x14ac:dyDescent="0.3">
      <c r="B67" s="132"/>
      <c r="C67" s="133"/>
      <c r="D67" s="133"/>
      <c r="E67" s="133"/>
      <c r="F67" s="133"/>
      <c r="G67" s="133"/>
      <c r="H67" s="133"/>
      <c r="I67" s="133"/>
      <c r="J67" s="133"/>
      <c r="K67" s="132"/>
      <c r="L67" s="133"/>
      <c r="M67" s="133"/>
      <c r="N67" s="133"/>
      <c r="O67" s="8"/>
    </row>
    <row r="68" spans="2:19" ht="28.2" customHeight="1" x14ac:dyDescent="0.3">
      <c r="B68" s="132"/>
      <c r="C68" s="133"/>
      <c r="D68" s="133"/>
      <c r="E68" s="133"/>
      <c r="F68" s="133"/>
      <c r="G68" s="133"/>
      <c r="H68" s="133"/>
      <c r="I68" s="133"/>
      <c r="J68" s="133"/>
      <c r="K68" s="132"/>
      <c r="L68" s="133"/>
      <c r="M68" s="133"/>
      <c r="N68" s="133"/>
      <c r="O68" s="8"/>
    </row>
    <row r="69" spans="2:19" ht="28.2" customHeight="1" x14ac:dyDescent="0.3">
      <c r="B69" s="132"/>
      <c r="C69" s="133"/>
      <c r="D69" s="133"/>
      <c r="E69" s="133"/>
      <c r="F69" s="133"/>
      <c r="G69" s="133"/>
      <c r="H69" s="133"/>
      <c r="I69" s="133"/>
      <c r="J69" s="133"/>
      <c r="K69" s="132"/>
      <c r="L69" s="133"/>
      <c r="M69" s="133"/>
      <c r="N69" s="133"/>
      <c r="O69" s="8"/>
    </row>
    <row r="70" spans="2:19" ht="28.2" customHeight="1" x14ac:dyDescent="0.3">
      <c r="B70" s="131"/>
      <c r="C70" s="133"/>
      <c r="D70" s="133"/>
      <c r="E70" s="133"/>
      <c r="F70" s="133"/>
      <c r="G70" s="133"/>
      <c r="H70" s="133"/>
      <c r="I70" s="133"/>
      <c r="J70" s="133"/>
      <c r="K70" s="132"/>
      <c r="L70" s="133"/>
      <c r="M70" s="133"/>
      <c r="N70" s="133"/>
      <c r="O70" s="8"/>
    </row>
    <row r="71" spans="2:19" ht="15.6" x14ac:dyDescent="0.3">
      <c r="B71" s="133"/>
      <c r="C71" s="133"/>
      <c r="D71" s="133"/>
      <c r="E71" s="133"/>
      <c r="F71" s="133"/>
      <c r="G71" s="133"/>
      <c r="H71" s="133"/>
      <c r="I71" s="133"/>
      <c r="J71" s="133"/>
      <c r="K71" s="133"/>
      <c r="L71" s="133"/>
      <c r="M71" s="133"/>
      <c r="N71" s="133"/>
      <c r="O71" s="8"/>
    </row>
    <row r="72" spans="2:19" ht="15.6" x14ac:dyDescent="0.3">
      <c r="B72" s="141"/>
      <c r="C72" s="133"/>
      <c r="D72" s="133"/>
      <c r="E72" s="133"/>
      <c r="F72" s="133"/>
      <c r="G72" s="133"/>
      <c r="H72" s="133"/>
      <c r="I72" s="133"/>
      <c r="J72" s="133"/>
      <c r="K72" s="133"/>
      <c r="L72" s="133"/>
      <c r="M72" s="133"/>
      <c r="N72" s="133"/>
      <c r="O72" s="8"/>
    </row>
    <row r="73" spans="2:19" ht="15.6" x14ac:dyDescent="0.3">
      <c r="B73" s="142"/>
      <c r="C73" s="84"/>
      <c r="D73" s="142"/>
      <c r="E73" s="142"/>
      <c r="F73" s="142"/>
      <c r="G73" s="142"/>
      <c r="H73" s="142"/>
      <c r="I73" s="142"/>
      <c r="J73" s="142"/>
      <c r="K73" s="142"/>
      <c r="L73" s="142"/>
      <c r="M73" s="142"/>
      <c r="N73" s="142"/>
      <c r="O73" s="11"/>
      <c r="P73" s="11"/>
      <c r="Q73" s="11"/>
      <c r="R73" s="11"/>
      <c r="S73" s="11"/>
    </row>
    <row r="74" spans="2:19" ht="30" customHeight="1" x14ac:dyDescent="0.3">
      <c r="B74" s="142"/>
      <c r="C74" s="175"/>
      <c r="D74" s="175"/>
      <c r="E74" s="175"/>
      <c r="F74" s="175"/>
      <c r="G74" s="175"/>
      <c r="H74" s="175"/>
      <c r="I74" s="175"/>
      <c r="J74" s="175"/>
      <c r="K74" s="175"/>
      <c r="L74" s="175"/>
      <c r="M74" s="175"/>
      <c r="N74" s="142"/>
      <c r="O74" s="11"/>
      <c r="P74" s="11"/>
      <c r="Q74" s="11"/>
      <c r="R74" s="11"/>
      <c r="S74" s="11"/>
    </row>
    <row r="75" spans="2:19" ht="15.6" x14ac:dyDescent="0.3">
      <c r="B75" s="142"/>
      <c r="C75" s="143"/>
      <c r="D75" s="142"/>
      <c r="E75" s="142"/>
      <c r="F75" s="142"/>
      <c r="G75" s="142"/>
      <c r="H75" s="142"/>
      <c r="I75" s="142"/>
      <c r="J75" s="142"/>
      <c r="K75" s="142"/>
      <c r="L75" s="142"/>
      <c r="M75" s="142"/>
      <c r="N75" s="142"/>
      <c r="O75" s="11"/>
      <c r="P75" s="11"/>
      <c r="Q75" s="11"/>
      <c r="R75" s="11"/>
      <c r="S75" s="11"/>
    </row>
    <row r="76" spans="2:19" ht="15.6" x14ac:dyDescent="0.3">
      <c r="B76" s="142"/>
      <c r="C76" s="84"/>
      <c r="D76" s="142"/>
      <c r="E76" s="142"/>
      <c r="F76" s="142"/>
      <c r="G76" s="142"/>
      <c r="H76" s="142"/>
      <c r="I76" s="142"/>
      <c r="J76" s="142"/>
      <c r="K76" s="142"/>
      <c r="L76" s="142"/>
      <c r="M76" s="142"/>
      <c r="N76" s="142"/>
      <c r="O76" s="11"/>
      <c r="P76" s="11"/>
      <c r="Q76" s="11"/>
      <c r="R76" s="11"/>
      <c r="S76" s="11"/>
    </row>
    <row r="77" spans="2:19" ht="15.6" x14ac:dyDescent="0.3">
      <c r="B77" s="142"/>
      <c r="C77" s="84"/>
      <c r="D77" s="142"/>
      <c r="E77" s="142"/>
      <c r="F77" s="142"/>
      <c r="G77" s="142"/>
      <c r="H77" s="142"/>
      <c r="I77" s="142"/>
      <c r="J77" s="142"/>
      <c r="K77" s="142"/>
      <c r="L77" s="142"/>
      <c r="M77" s="142"/>
      <c r="N77" s="142"/>
      <c r="O77" s="11"/>
      <c r="P77" s="11"/>
      <c r="Q77" s="11"/>
      <c r="R77" s="11"/>
      <c r="S77" s="11"/>
    </row>
    <row r="78" spans="2:19" ht="15.6" x14ac:dyDescent="0.3">
      <c r="B78" s="142"/>
      <c r="C78" s="84"/>
      <c r="D78" s="142"/>
      <c r="E78" s="142"/>
      <c r="F78" s="142"/>
      <c r="G78" s="142"/>
      <c r="H78" s="142"/>
      <c r="I78" s="142"/>
      <c r="J78" s="142"/>
      <c r="K78" s="142"/>
      <c r="L78" s="142"/>
      <c r="M78" s="142"/>
      <c r="N78" s="142"/>
      <c r="O78" s="11"/>
      <c r="P78" s="11"/>
      <c r="Q78" s="11"/>
      <c r="R78" s="11"/>
      <c r="S78" s="11"/>
    </row>
    <row r="79" spans="2:19" ht="30" customHeight="1" x14ac:dyDescent="0.3">
      <c r="B79" s="142"/>
      <c r="C79" s="175"/>
      <c r="D79" s="175"/>
      <c r="E79" s="175"/>
      <c r="F79" s="175"/>
      <c r="G79" s="175"/>
      <c r="H79" s="175"/>
      <c r="I79" s="175"/>
      <c r="J79" s="175"/>
      <c r="K79" s="175"/>
      <c r="L79" s="175"/>
      <c r="M79" s="175"/>
      <c r="N79" s="142"/>
      <c r="O79" s="11"/>
      <c r="P79" s="11"/>
      <c r="Q79" s="11"/>
      <c r="R79" s="11"/>
      <c r="S79" s="11"/>
    </row>
    <row r="80" spans="2:19" ht="15.6" x14ac:dyDescent="0.3">
      <c r="B80" s="141"/>
      <c r="C80" s="84"/>
      <c r="D80" s="142"/>
      <c r="E80" s="142"/>
      <c r="F80" s="142"/>
      <c r="G80" s="142"/>
      <c r="H80" s="142"/>
      <c r="I80" s="142"/>
      <c r="J80" s="142"/>
      <c r="K80" s="142"/>
      <c r="L80" s="142"/>
      <c r="M80" s="142"/>
      <c r="N80" s="142"/>
      <c r="O80" s="11"/>
      <c r="P80" s="11"/>
      <c r="Q80" s="11"/>
      <c r="R80" s="11"/>
      <c r="S80" s="11"/>
    </row>
    <row r="81" spans="2:19" ht="15.6" x14ac:dyDescent="0.3">
      <c r="B81" s="142"/>
      <c r="C81" s="84"/>
      <c r="D81" s="142"/>
      <c r="E81" s="142"/>
      <c r="F81" s="142"/>
      <c r="G81" s="142"/>
      <c r="H81" s="142"/>
      <c r="I81" s="142"/>
      <c r="J81" s="142"/>
      <c r="K81" s="142"/>
      <c r="L81" s="142"/>
      <c r="M81" s="142"/>
      <c r="N81" s="142"/>
      <c r="O81" s="11"/>
      <c r="P81" s="11"/>
      <c r="Q81" s="11"/>
      <c r="R81" s="11"/>
      <c r="S81" s="11"/>
    </row>
    <row r="82" spans="2:19" ht="29.4" customHeight="1" x14ac:dyDescent="0.3">
      <c r="B82" s="142"/>
      <c r="C82" s="175"/>
      <c r="D82" s="175"/>
      <c r="E82" s="175"/>
      <c r="F82" s="175"/>
      <c r="G82" s="175"/>
      <c r="H82" s="175"/>
      <c r="I82" s="175"/>
      <c r="J82" s="175"/>
      <c r="K82" s="175"/>
      <c r="L82" s="175"/>
      <c r="M82" s="175"/>
      <c r="N82" s="142"/>
      <c r="O82" s="11"/>
      <c r="P82" s="11"/>
      <c r="Q82" s="11"/>
      <c r="R82" s="11"/>
      <c r="S82" s="11"/>
    </row>
    <row r="83" spans="2:19" ht="13.2" customHeight="1" x14ac:dyDescent="0.3">
      <c r="B83" s="144"/>
      <c r="C83" s="84"/>
      <c r="D83" s="144"/>
      <c r="E83" s="144"/>
      <c r="F83" s="144"/>
      <c r="G83" s="144"/>
      <c r="H83" s="144"/>
      <c r="I83" s="144"/>
      <c r="J83" s="144"/>
      <c r="K83" s="144"/>
      <c r="L83" s="144"/>
      <c r="M83" s="144"/>
      <c r="N83" s="144"/>
      <c r="O83" s="10"/>
      <c r="P83" s="10"/>
      <c r="Q83" s="10"/>
      <c r="R83" s="10"/>
      <c r="S83" s="10"/>
    </row>
    <row r="84" spans="2:19" ht="13.95" customHeight="1" x14ac:dyDescent="0.3">
      <c r="B84" s="142"/>
      <c r="C84" s="84"/>
      <c r="D84" s="144"/>
      <c r="E84" s="144"/>
      <c r="F84" s="144"/>
      <c r="G84" s="144"/>
      <c r="H84" s="144"/>
      <c r="I84" s="144"/>
      <c r="J84" s="144"/>
      <c r="K84" s="144"/>
      <c r="L84" s="144"/>
      <c r="M84" s="144"/>
      <c r="N84" s="144"/>
      <c r="O84" s="10"/>
      <c r="P84" s="10"/>
      <c r="Q84" s="10"/>
      <c r="R84" s="10"/>
      <c r="S84" s="10"/>
    </row>
    <row r="85" spans="2:19" ht="15.6" x14ac:dyDescent="0.3">
      <c r="B85" s="1"/>
      <c r="D85" s="11"/>
      <c r="E85" s="11"/>
      <c r="F85" s="11"/>
      <c r="G85" s="11"/>
      <c r="H85" s="11"/>
      <c r="I85" s="11"/>
      <c r="J85" s="11"/>
      <c r="K85" s="11"/>
      <c r="L85" s="11"/>
      <c r="M85" s="11"/>
      <c r="N85" s="11"/>
      <c r="O85" s="11"/>
      <c r="P85" s="11"/>
      <c r="Q85" s="11"/>
      <c r="R85" s="11"/>
      <c r="S85" s="11"/>
    </row>
    <row r="86" spans="2:19" ht="15.6" x14ac:dyDescent="0.3">
      <c r="D86" s="8"/>
      <c r="E86" s="8"/>
      <c r="F86" s="8"/>
      <c r="G86" s="8"/>
    </row>
    <row r="87" spans="2:19" ht="15.6" x14ac:dyDescent="0.3">
      <c r="B87" s="1"/>
    </row>
    <row r="92" spans="2:19" ht="15.6" x14ac:dyDescent="0.3">
      <c r="C92" s="30"/>
      <c r="D92" s="8"/>
      <c r="E92" s="8"/>
      <c r="F92" s="8"/>
    </row>
    <row r="93" spans="2:19" ht="15.6" x14ac:dyDescent="0.3">
      <c r="C93" s="174"/>
      <c r="D93" s="174"/>
      <c r="E93" s="174"/>
      <c r="F93" s="174"/>
      <c r="G93" s="174"/>
      <c r="H93" s="174"/>
      <c r="I93" s="174"/>
      <c r="J93" s="174"/>
      <c r="K93" s="174"/>
      <c r="L93" s="174"/>
      <c r="M93" s="174"/>
    </row>
    <row r="94" spans="2:19" ht="15.6" x14ac:dyDescent="0.3">
      <c r="B94" s="1"/>
      <c r="C94" s="30"/>
      <c r="D94" s="8"/>
      <c r="E94" s="8"/>
      <c r="F94" s="8"/>
    </row>
    <row r="95" spans="2:19" ht="15.6" x14ac:dyDescent="0.3">
      <c r="C95" s="30"/>
    </row>
    <row r="99" spans="2:3" ht="15.6" x14ac:dyDescent="0.3">
      <c r="B99" s="9"/>
      <c r="C99" s="30"/>
    </row>
  </sheetData>
  <mergeCells count="26">
    <mergeCell ref="C3:D3"/>
    <mergeCell ref="C2:D2"/>
    <mergeCell ref="E3:F3"/>
    <mergeCell ref="B10:M10"/>
    <mergeCell ref="C93:M93"/>
    <mergeCell ref="C74:M74"/>
    <mergeCell ref="C79:M79"/>
    <mergeCell ref="C82:M82"/>
    <mergeCell ref="L54:N54"/>
    <mergeCell ref="B25:M25"/>
    <mergeCell ref="B49:L49"/>
    <mergeCell ref="B33:M33"/>
    <mergeCell ref="L37:N37"/>
    <mergeCell ref="L39:N39"/>
    <mergeCell ref="L47:N47"/>
    <mergeCell ref="E2:F2"/>
    <mergeCell ref="H2:I2"/>
    <mergeCell ref="J2:K2"/>
    <mergeCell ref="M2:N2"/>
    <mergeCell ref="O2:P2"/>
    <mergeCell ref="M4:N4"/>
    <mergeCell ref="O4:P4"/>
    <mergeCell ref="H3:I3"/>
    <mergeCell ref="J3:K3"/>
    <mergeCell ref="M3:N3"/>
    <mergeCell ref="O3:P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44503-02D7-40B2-B77B-25087221A857}">
  <sheetPr codeName="ShVP">
    <tabColor theme="5"/>
    <pageSetUpPr fitToPage="1"/>
  </sheetPr>
  <dimension ref="B1:P33"/>
  <sheetViews>
    <sheetView showGridLines="0" topLeftCell="C1" zoomScaleNormal="100" workbookViewId="0">
      <selection activeCell="Q7" sqref="Q7"/>
    </sheetView>
  </sheetViews>
  <sheetFormatPr defaultColWidth="9.109375" defaultRowHeight="15.6" x14ac:dyDescent="0.3"/>
  <cols>
    <col min="1" max="1" width="3.33203125" style="2" customWidth="1"/>
    <col min="2" max="2" width="12.44140625" style="2" customWidth="1"/>
    <col min="3" max="3" width="35.44140625" style="2" customWidth="1"/>
    <col min="4" max="4" width="18.33203125" style="2" customWidth="1"/>
    <col min="5" max="9" width="10.5546875" style="2" customWidth="1"/>
    <col min="10" max="10" width="12.109375" style="2" customWidth="1"/>
    <col min="11" max="16" width="11.6640625" style="2" customWidth="1"/>
    <col min="17" max="254" width="11.44140625" style="2" customWidth="1"/>
    <col min="255" max="16384" width="9.109375" style="2"/>
  </cols>
  <sheetData>
    <row r="1" spans="2:16" s="31" customFormat="1" ht="5.4" customHeight="1" x14ac:dyDescent="0.25"/>
    <row r="2" spans="2:16" customFormat="1" ht="19.95" customHeight="1" x14ac:dyDescent="0.3">
      <c r="D2" s="32" t="s">
        <v>344</v>
      </c>
      <c r="E2" s="165" t="s">
        <v>345</v>
      </c>
      <c r="F2" s="165"/>
      <c r="G2" s="2"/>
      <c r="H2" s="163" t="s">
        <v>346</v>
      </c>
      <c r="I2" s="164"/>
      <c r="J2" s="165" t="s">
        <v>347</v>
      </c>
      <c r="K2" s="165"/>
      <c r="L2" s="2"/>
      <c r="M2" s="166" t="s">
        <v>348</v>
      </c>
      <c r="N2" s="166"/>
      <c r="O2" s="167">
        <v>44893</v>
      </c>
      <c r="P2" s="167"/>
    </row>
    <row r="3" spans="2:16" customFormat="1" ht="19.95" customHeight="1" x14ac:dyDescent="0.3">
      <c r="D3" s="32" t="s">
        <v>349</v>
      </c>
      <c r="E3" s="172" t="s">
        <v>356</v>
      </c>
      <c r="F3" s="172"/>
      <c r="G3" s="2"/>
      <c r="H3" s="170" t="s">
        <v>350</v>
      </c>
      <c r="I3" s="171"/>
      <c r="J3" s="172" t="s">
        <v>351</v>
      </c>
      <c r="K3" s="172"/>
      <c r="L3" s="2"/>
      <c r="M3" s="166" t="s">
        <v>352</v>
      </c>
      <c r="N3" s="166"/>
      <c r="O3" s="167"/>
      <c r="P3" s="167"/>
    </row>
    <row r="4" spans="2:16" customFormat="1" ht="19.95" customHeight="1" thickBot="1" x14ac:dyDescent="0.35">
      <c r="K4" s="2"/>
      <c r="L4" s="2"/>
      <c r="M4" s="168" t="s">
        <v>353</v>
      </c>
      <c r="N4" s="168"/>
      <c r="O4" s="169" t="s">
        <v>354</v>
      </c>
      <c r="P4" s="169"/>
    </row>
    <row r="5" spans="2:16" customFormat="1" ht="28.2" customHeight="1" thickTop="1" thickBot="1" x14ac:dyDescent="0.3">
      <c r="B5" s="33" t="s">
        <v>355</v>
      </c>
      <c r="C5" s="33"/>
      <c r="D5" s="33"/>
      <c r="E5" s="33"/>
      <c r="F5" s="34"/>
      <c r="G5" s="33"/>
      <c r="H5" s="33"/>
      <c r="I5" s="33"/>
      <c r="J5" s="33"/>
      <c r="K5" s="33"/>
      <c r="L5" s="33"/>
      <c r="M5" s="33"/>
      <c r="N5" s="34" t="s">
        <v>370</v>
      </c>
      <c r="O5" s="33">
        <v>2</v>
      </c>
      <c r="P5" s="33"/>
    </row>
    <row r="6" spans="2:16" ht="16.2" thickTop="1" x14ac:dyDescent="0.3"/>
    <row r="7" spans="2:16" s="6" customFormat="1" x14ac:dyDescent="0.3">
      <c r="B7" s="146" t="s">
        <v>385</v>
      </c>
      <c r="C7" s="56"/>
      <c r="D7" s="56"/>
      <c r="E7" s="56"/>
      <c r="F7" s="56"/>
      <c r="G7" s="56"/>
      <c r="H7" s="56"/>
      <c r="I7" s="56"/>
      <c r="J7" s="56"/>
      <c r="K7" s="56"/>
      <c r="L7" s="56"/>
      <c r="M7" s="56"/>
      <c r="N7" s="56"/>
      <c r="O7" s="56"/>
      <c r="P7" s="56"/>
    </row>
    <row r="8" spans="2:16" ht="19.2" customHeight="1" x14ac:dyDescent="0.3">
      <c r="B8" s="177" t="s">
        <v>74</v>
      </c>
      <c r="C8" s="177"/>
      <c r="D8" s="177"/>
      <c r="E8" s="177"/>
      <c r="F8" s="177"/>
      <c r="G8" s="177"/>
      <c r="H8" s="177"/>
      <c r="I8" s="177"/>
      <c r="J8" s="177"/>
      <c r="K8" s="177"/>
      <c r="L8" s="177"/>
      <c r="M8" s="177"/>
      <c r="N8" s="177"/>
      <c r="O8" s="177"/>
      <c r="P8" s="177"/>
    </row>
    <row r="9" spans="2:16" ht="10.199999999999999" customHeight="1" x14ac:dyDescent="0.3">
      <c r="B9" s="38"/>
      <c r="C9" s="38"/>
      <c r="D9" s="38"/>
      <c r="E9" s="37"/>
      <c r="F9" s="38"/>
      <c r="G9" s="38"/>
      <c r="H9" s="38"/>
      <c r="I9" s="38"/>
      <c r="J9" s="38"/>
      <c r="K9" s="38"/>
      <c r="L9" s="38"/>
      <c r="M9" s="38"/>
      <c r="N9" s="38"/>
      <c r="O9" s="38"/>
      <c r="P9" s="38"/>
    </row>
    <row r="10" spans="2:16" ht="33.75" customHeight="1" x14ac:dyDescent="0.3">
      <c r="B10" s="42" t="s">
        <v>11</v>
      </c>
      <c r="C10" s="42" t="s">
        <v>10</v>
      </c>
      <c r="D10" s="42" t="s">
        <v>63</v>
      </c>
      <c r="E10" s="43">
        <v>44621</v>
      </c>
      <c r="F10" s="43">
        <v>44652</v>
      </c>
      <c r="G10" s="43">
        <v>44682</v>
      </c>
      <c r="H10" s="43">
        <v>44713</v>
      </c>
      <c r="I10" s="43">
        <v>44743</v>
      </c>
      <c r="J10" s="43">
        <v>44774</v>
      </c>
      <c r="K10" s="43">
        <v>44805</v>
      </c>
      <c r="L10" s="43">
        <v>44835</v>
      </c>
      <c r="M10" s="43">
        <v>44866</v>
      </c>
      <c r="N10" s="43">
        <v>44896</v>
      </c>
      <c r="O10" s="43">
        <v>44927</v>
      </c>
      <c r="P10" s="43">
        <v>44958</v>
      </c>
    </row>
    <row r="11" spans="2:16" ht="18" customHeight="1" x14ac:dyDescent="0.3">
      <c r="B11" s="46">
        <v>1</v>
      </c>
      <c r="C11" s="47" t="s">
        <v>40</v>
      </c>
      <c r="D11" s="49">
        <f>SUM(E11:P11)</f>
        <v>20000</v>
      </c>
      <c r="E11" s="48">
        <v>5000</v>
      </c>
      <c r="F11" s="48">
        <v>5000</v>
      </c>
      <c r="G11" s="48">
        <v>5000</v>
      </c>
      <c r="H11" s="48">
        <v>5000</v>
      </c>
      <c r="I11" s="48"/>
      <c r="J11" s="48"/>
      <c r="K11" s="48"/>
      <c r="L11" s="48"/>
      <c r="M11" s="48"/>
      <c r="N11" s="48"/>
      <c r="O11" s="48"/>
      <c r="P11" s="48"/>
    </row>
    <row r="12" spans="2:16" ht="18" customHeight="1" x14ac:dyDescent="0.3">
      <c r="B12" s="46">
        <v>2</v>
      </c>
      <c r="C12" s="47" t="s">
        <v>22</v>
      </c>
      <c r="D12" s="50">
        <f>SUM(E12:P12)</f>
        <v>36000</v>
      </c>
      <c r="E12" s="48"/>
      <c r="F12" s="48">
        <v>12000</v>
      </c>
      <c r="G12" s="48">
        <v>12000</v>
      </c>
      <c r="H12" s="48">
        <v>12000</v>
      </c>
      <c r="I12" s="48"/>
      <c r="J12" s="48"/>
      <c r="K12" s="48"/>
      <c r="L12" s="48"/>
      <c r="M12" s="48"/>
      <c r="N12" s="48"/>
      <c r="O12" s="48"/>
      <c r="P12" s="48"/>
    </row>
    <row r="13" spans="2:16" ht="18" customHeight="1" x14ac:dyDescent="0.3">
      <c r="B13" s="46">
        <v>3</v>
      </c>
      <c r="C13" s="47" t="s">
        <v>23</v>
      </c>
      <c r="D13" s="50">
        <f t="shared" ref="D13:D25" si="0">SUM(E13:P13)</f>
        <v>24000</v>
      </c>
      <c r="E13" s="48"/>
      <c r="F13" s="48"/>
      <c r="G13" s="48"/>
      <c r="H13" s="48"/>
      <c r="I13" s="48">
        <v>8000</v>
      </c>
      <c r="J13" s="48">
        <v>8000</v>
      </c>
      <c r="K13" s="48">
        <v>8000</v>
      </c>
      <c r="L13" s="48"/>
      <c r="M13" s="48"/>
      <c r="N13" s="48"/>
      <c r="O13" s="48"/>
      <c r="P13" s="48"/>
    </row>
    <row r="14" spans="2:16" ht="18" customHeight="1" x14ac:dyDescent="0.3">
      <c r="B14" s="46">
        <v>4</v>
      </c>
      <c r="C14" s="47" t="s">
        <v>24</v>
      </c>
      <c r="D14" s="50">
        <f t="shared" si="0"/>
        <v>24000</v>
      </c>
      <c r="E14" s="48"/>
      <c r="F14" s="48"/>
      <c r="G14" s="48"/>
      <c r="H14" s="48"/>
      <c r="I14" s="48">
        <v>8000</v>
      </c>
      <c r="J14" s="48">
        <v>8000</v>
      </c>
      <c r="K14" s="48">
        <v>8000</v>
      </c>
      <c r="L14" s="48"/>
      <c r="M14" s="48"/>
      <c r="N14" s="48"/>
      <c r="O14" s="48"/>
      <c r="P14" s="48"/>
    </row>
    <row r="15" spans="2:16" ht="18" customHeight="1" x14ac:dyDescent="0.3">
      <c r="B15" s="46">
        <v>5</v>
      </c>
      <c r="C15" s="47" t="s">
        <v>25</v>
      </c>
      <c r="D15" s="50">
        <f t="shared" si="0"/>
        <v>24000</v>
      </c>
      <c r="E15" s="48"/>
      <c r="F15" s="48"/>
      <c r="G15" s="48"/>
      <c r="H15" s="48"/>
      <c r="I15" s="48">
        <v>8000</v>
      </c>
      <c r="J15" s="48">
        <v>8000</v>
      </c>
      <c r="K15" s="48">
        <v>8000</v>
      </c>
      <c r="L15" s="48"/>
      <c r="M15" s="48"/>
      <c r="N15" s="48"/>
      <c r="O15" s="48"/>
      <c r="P15" s="48"/>
    </row>
    <row r="16" spans="2:16" ht="18" customHeight="1" x14ac:dyDescent="0.3">
      <c r="B16" s="46">
        <v>6</v>
      </c>
      <c r="C16" s="47" t="s">
        <v>26</v>
      </c>
      <c r="D16" s="50">
        <f t="shared" si="0"/>
        <v>24000</v>
      </c>
      <c r="E16" s="48"/>
      <c r="F16" s="48"/>
      <c r="G16" s="48"/>
      <c r="H16" s="48"/>
      <c r="I16" s="48">
        <v>8000</v>
      </c>
      <c r="J16" s="48">
        <v>8000</v>
      </c>
      <c r="K16" s="48">
        <v>8000</v>
      </c>
      <c r="L16" s="48"/>
      <c r="M16" s="48"/>
      <c r="N16" s="48"/>
      <c r="O16" s="48"/>
      <c r="P16" s="48"/>
    </row>
    <row r="17" spans="2:16" ht="18" customHeight="1" x14ac:dyDescent="0.3">
      <c r="B17" s="46">
        <v>7</v>
      </c>
      <c r="C17" s="47" t="s">
        <v>27</v>
      </c>
      <c r="D17" s="50">
        <f t="shared" si="0"/>
        <v>6000</v>
      </c>
      <c r="E17" s="48"/>
      <c r="F17" s="48"/>
      <c r="G17" s="48"/>
      <c r="H17" s="48"/>
      <c r="I17" s="48">
        <v>2000</v>
      </c>
      <c r="J17" s="48">
        <v>2000</v>
      </c>
      <c r="K17" s="48">
        <v>2000</v>
      </c>
      <c r="L17" s="48"/>
      <c r="M17" s="48"/>
      <c r="N17" s="48"/>
      <c r="O17" s="48"/>
      <c r="P17" s="48"/>
    </row>
    <row r="18" spans="2:16" ht="18" customHeight="1" x14ac:dyDescent="0.3">
      <c r="B18" s="46">
        <v>8</v>
      </c>
      <c r="C18" s="47" t="s">
        <v>28</v>
      </c>
      <c r="D18" s="50">
        <f t="shared" si="0"/>
        <v>16000</v>
      </c>
      <c r="E18" s="48"/>
      <c r="F18" s="48"/>
      <c r="G18" s="48"/>
      <c r="H18" s="48"/>
      <c r="I18" s="48">
        <v>4000</v>
      </c>
      <c r="J18" s="48">
        <v>4000</v>
      </c>
      <c r="K18" s="48">
        <v>4000</v>
      </c>
      <c r="L18" s="48">
        <v>4000</v>
      </c>
      <c r="M18" s="48"/>
      <c r="N18" s="48"/>
      <c r="O18" s="48"/>
      <c r="P18" s="48"/>
    </row>
    <row r="19" spans="2:16" ht="18" customHeight="1" x14ac:dyDescent="0.3">
      <c r="B19" s="46">
        <v>9</v>
      </c>
      <c r="C19" s="47" t="s">
        <v>29</v>
      </c>
      <c r="D19" s="50">
        <f t="shared" si="0"/>
        <v>7500</v>
      </c>
      <c r="E19" s="48"/>
      <c r="F19" s="48"/>
      <c r="G19" s="48"/>
      <c r="H19" s="48"/>
      <c r="I19" s="48"/>
      <c r="J19" s="48"/>
      <c r="K19" s="48"/>
      <c r="L19" s="48">
        <v>7500</v>
      </c>
      <c r="M19" s="48"/>
      <c r="N19" s="48"/>
      <c r="O19" s="48"/>
      <c r="P19" s="48"/>
    </row>
    <row r="20" spans="2:16" ht="18" customHeight="1" x14ac:dyDescent="0.3">
      <c r="B20" s="46">
        <v>10</v>
      </c>
      <c r="C20" s="47" t="s">
        <v>30</v>
      </c>
      <c r="D20" s="50">
        <f>SUM(E20:P20)</f>
        <v>54500</v>
      </c>
      <c r="E20" s="48"/>
      <c r="F20" s="48"/>
      <c r="G20" s="48"/>
      <c r="H20" s="48"/>
      <c r="I20" s="48"/>
      <c r="J20" s="48"/>
      <c r="K20" s="48"/>
      <c r="L20" s="48"/>
      <c r="M20" s="48">
        <v>54500</v>
      </c>
      <c r="N20" s="48"/>
      <c r="O20" s="48"/>
      <c r="P20" s="48"/>
    </row>
    <row r="21" spans="2:16" ht="18" customHeight="1" x14ac:dyDescent="0.3">
      <c r="B21" s="46">
        <v>11</v>
      </c>
      <c r="C21" s="47" t="s">
        <v>31</v>
      </c>
      <c r="D21" s="50">
        <f t="shared" si="0"/>
        <v>45000</v>
      </c>
      <c r="E21" s="48"/>
      <c r="F21" s="48"/>
      <c r="G21" s="48"/>
      <c r="H21" s="48"/>
      <c r="I21" s="48"/>
      <c r="J21" s="48"/>
      <c r="K21" s="48"/>
      <c r="L21" s="48"/>
      <c r="M21" s="48"/>
      <c r="N21" s="48">
        <v>45000</v>
      </c>
      <c r="O21" s="48"/>
      <c r="P21" s="48"/>
    </row>
    <row r="22" spans="2:16" ht="18" customHeight="1" x14ac:dyDescent="0.3">
      <c r="B22" s="46">
        <v>12</v>
      </c>
      <c r="C22" s="47" t="s">
        <v>339</v>
      </c>
      <c r="D22" s="50">
        <f t="shared" si="0"/>
        <v>16000</v>
      </c>
      <c r="E22" s="48"/>
      <c r="F22" s="48"/>
      <c r="G22" s="48"/>
      <c r="H22" s="48"/>
      <c r="I22" s="48"/>
      <c r="J22" s="48"/>
      <c r="K22" s="48"/>
      <c r="L22" s="48"/>
      <c r="M22" s="48">
        <v>16000</v>
      </c>
      <c r="N22" s="48"/>
      <c r="O22" s="48"/>
      <c r="P22" s="48"/>
    </row>
    <row r="23" spans="2:16" ht="18" customHeight="1" x14ac:dyDescent="0.3">
      <c r="B23" s="46">
        <v>13</v>
      </c>
      <c r="C23" s="47" t="s">
        <v>32</v>
      </c>
      <c r="D23" s="50">
        <f t="shared" si="0"/>
        <v>24000</v>
      </c>
      <c r="E23" s="48"/>
      <c r="F23" s="48"/>
      <c r="G23" s="48"/>
      <c r="H23" s="48"/>
      <c r="I23" s="48"/>
      <c r="J23" s="48"/>
      <c r="K23" s="48"/>
      <c r="L23" s="48"/>
      <c r="M23" s="47"/>
      <c r="N23" s="48">
        <v>12000</v>
      </c>
      <c r="O23" s="48">
        <v>12000</v>
      </c>
      <c r="P23" s="48"/>
    </row>
    <row r="24" spans="2:16" ht="18" customHeight="1" x14ac:dyDescent="0.3">
      <c r="B24" s="46">
        <v>14</v>
      </c>
      <c r="C24" s="47" t="s">
        <v>340</v>
      </c>
      <c r="D24" s="50">
        <f t="shared" si="0"/>
        <v>12000</v>
      </c>
      <c r="E24" s="48"/>
      <c r="F24" s="48"/>
      <c r="G24" s="48"/>
      <c r="H24" s="48"/>
      <c r="I24" s="48"/>
      <c r="J24" s="48"/>
      <c r="K24" s="48"/>
      <c r="L24" s="48"/>
      <c r="M24" s="48"/>
      <c r="N24" s="48">
        <v>12000</v>
      </c>
      <c r="O24" s="47"/>
      <c r="P24" s="48"/>
    </row>
    <row r="25" spans="2:16" ht="18" customHeight="1" x14ac:dyDescent="0.3">
      <c r="B25" s="46">
        <v>15</v>
      </c>
      <c r="C25" s="47" t="s">
        <v>36</v>
      </c>
      <c r="D25" s="50">
        <f t="shared" si="0"/>
        <v>8000</v>
      </c>
      <c r="E25" s="48"/>
      <c r="F25" s="48"/>
      <c r="G25" s="48"/>
      <c r="H25" s="48"/>
      <c r="I25" s="48"/>
      <c r="J25" s="48"/>
      <c r="K25" s="48"/>
      <c r="L25" s="48"/>
      <c r="M25" s="48"/>
      <c r="N25" s="48"/>
      <c r="O25" s="48">
        <v>8000</v>
      </c>
      <c r="P25" s="48"/>
    </row>
    <row r="26" spans="2:16" ht="18" customHeight="1" x14ac:dyDescent="0.3">
      <c r="B26" s="46">
        <v>16</v>
      </c>
      <c r="C26" s="47" t="s">
        <v>33</v>
      </c>
      <c r="D26" s="50">
        <f>SUM(E26:P26)</f>
        <v>5000</v>
      </c>
      <c r="E26" s="48"/>
      <c r="F26" s="48"/>
      <c r="G26" s="48"/>
      <c r="H26" s="48"/>
      <c r="I26" s="48"/>
      <c r="J26" s="48"/>
      <c r="K26" s="48"/>
      <c r="L26" s="48"/>
      <c r="M26" s="48"/>
      <c r="N26" s="48"/>
      <c r="O26" s="48">
        <v>3000</v>
      </c>
      <c r="P26" s="48">
        <v>2000</v>
      </c>
    </row>
    <row r="27" spans="2:16" ht="18" customHeight="1" x14ac:dyDescent="0.3">
      <c r="B27" s="46" t="s">
        <v>37</v>
      </c>
      <c r="C27" s="47" t="s">
        <v>34</v>
      </c>
      <c r="D27" s="51"/>
      <c r="E27" s="48"/>
      <c r="F27" s="48"/>
      <c r="G27" s="48"/>
      <c r="H27" s="48"/>
      <c r="I27" s="48"/>
      <c r="J27" s="48"/>
      <c r="K27" s="48"/>
      <c r="L27" s="48"/>
      <c r="M27" s="48"/>
      <c r="N27" s="48"/>
      <c r="O27" s="48"/>
      <c r="P27" s="48"/>
    </row>
    <row r="28" spans="2:16" x14ac:dyDescent="0.3">
      <c r="B28" s="62" t="s">
        <v>381</v>
      </c>
      <c r="C28" s="63"/>
      <c r="D28" s="63"/>
      <c r="E28" s="63"/>
      <c r="F28" s="63"/>
      <c r="G28" s="63"/>
      <c r="H28" s="63"/>
      <c r="I28" s="63"/>
      <c r="J28" s="63"/>
      <c r="K28" s="63"/>
      <c r="L28" s="63"/>
      <c r="M28" s="63"/>
      <c r="N28" s="63"/>
      <c r="O28" s="63"/>
      <c r="P28" s="63"/>
    </row>
    <row r="29" spans="2:16" x14ac:dyDescent="0.3">
      <c r="B29" s="40"/>
      <c r="C29" s="41" t="s">
        <v>382</v>
      </c>
      <c r="D29" s="52">
        <f>SUM(D11:D27)</f>
        <v>346000</v>
      </c>
      <c r="E29" s="61">
        <f>SUM(E11:E28)</f>
        <v>5000</v>
      </c>
      <c r="F29" s="61">
        <f t="shared" ref="F29:O29" si="1">SUM(F11:F28)</f>
        <v>17000</v>
      </c>
      <c r="G29" s="61">
        <f t="shared" si="1"/>
        <v>17000</v>
      </c>
      <c r="H29" s="61">
        <f t="shared" si="1"/>
        <v>17000</v>
      </c>
      <c r="I29" s="61">
        <f t="shared" si="1"/>
        <v>38000</v>
      </c>
      <c r="J29" s="61">
        <f t="shared" si="1"/>
        <v>38000</v>
      </c>
      <c r="K29" s="61">
        <f t="shared" si="1"/>
        <v>38000</v>
      </c>
      <c r="L29" s="61">
        <f t="shared" si="1"/>
        <v>11500</v>
      </c>
      <c r="M29" s="61">
        <f t="shared" si="1"/>
        <v>70500</v>
      </c>
      <c r="N29" s="61">
        <f t="shared" si="1"/>
        <v>69000</v>
      </c>
      <c r="O29" s="61">
        <f t="shared" si="1"/>
        <v>23000</v>
      </c>
      <c r="P29" s="61">
        <f>SUM(P11:P28)</f>
        <v>2000</v>
      </c>
    </row>
    <row r="30" spans="2:16" x14ac:dyDescent="0.3">
      <c r="B30" s="40"/>
      <c r="C30" s="41"/>
      <c r="D30" s="41" t="s">
        <v>8</v>
      </c>
      <c r="E30" s="60">
        <f>IF(ISBLANK(E10),NA(),SUM($E29:E29))</f>
        <v>5000</v>
      </c>
      <c r="F30" s="60">
        <f>IF(ISBLANK(F10),NA(),SUM($E29:F29))</f>
        <v>22000</v>
      </c>
      <c r="G30" s="60">
        <f>IF(ISBLANK(G10),NA(),SUM($E29:G29))</f>
        <v>39000</v>
      </c>
      <c r="H30" s="60">
        <f>IF(ISBLANK(H10),NA(),SUM($E29:H29))</f>
        <v>56000</v>
      </c>
      <c r="I30" s="60">
        <f>IF(ISBLANK(I10),NA(),SUM($E29:I29))</f>
        <v>94000</v>
      </c>
      <c r="J30" s="60">
        <f>IF(ISBLANK(J10),NA(),SUM($E29:J29))</f>
        <v>132000</v>
      </c>
      <c r="K30" s="60">
        <f>IF(ISBLANK(K10),NA(),SUM($E29:K29))</f>
        <v>170000</v>
      </c>
      <c r="L30" s="60">
        <f>IF(ISBLANK(L10),NA(),SUM($E29:L29))</f>
        <v>181500</v>
      </c>
      <c r="M30" s="60">
        <f>IF(ISBLANK(M10),NA(),SUM($E29:M29))</f>
        <v>252000</v>
      </c>
      <c r="N30" s="60">
        <f>IF(ISBLANK(N10),NA(),SUM($E29:N29))</f>
        <v>321000</v>
      </c>
      <c r="O30" s="60">
        <f>IF(ISBLANK(O10),NA(),SUM($E29:O29))</f>
        <v>344000</v>
      </c>
      <c r="P30" s="60">
        <f>IF(ISBLANK(P10),NA(),SUM($E29:P29))</f>
        <v>346000</v>
      </c>
    </row>
    <row r="31" spans="2:16" x14ac:dyDescent="0.3">
      <c r="B31" s="38"/>
      <c r="C31" s="38"/>
      <c r="D31" s="38"/>
      <c r="E31" s="38"/>
      <c r="F31" s="38"/>
      <c r="G31" s="38"/>
      <c r="H31" s="38"/>
      <c r="I31" s="38"/>
      <c r="J31" s="38"/>
      <c r="K31" s="38"/>
      <c r="L31" s="38"/>
      <c r="M31" s="38"/>
      <c r="N31" s="38"/>
      <c r="O31" s="38"/>
      <c r="P31" s="38"/>
    </row>
    <row r="32" spans="2:16" x14ac:dyDescent="0.3">
      <c r="B32" s="38"/>
      <c r="C32" s="38"/>
      <c r="D32" s="38"/>
      <c r="E32" s="38"/>
      <c r="F32" s="38"/>
      <c r="G32" s="38"/>
      <c r="H32" s="38"/>
      <c r="I32" s="38"/>
      <c r="J32" s="38"/>
      <c r="K32" s="38"/>
      <c r="L32" s="38"/>
      <c r="M32" s="38"/>
      <c r="N32" s="38"/>
      <c r="O32" s="38"/>
      <c r="P32" s="38"/>
    </row>
    <row r="33" spans="2:16" x14ac:dyDescent="0.3">
      <c r="B33" s="38"/>
      <c r="C33" s="38"/>
      <c r="D33" s="38"/>
      <c r="E33" s="39"/>
      <c r="F33" s="38"/>
      <c r="G33" s="38"/>
      <c r="H33" s="38"/>
      <c r="I33" s="38"/>
      <c r="J33" s="38"/>
      <c r="K33" s="38"/>
      <c r="L33" s="38"/>
      <c r="M33" s="38"/>
      <c r="N33" s="38"/>
      <c r="O33" s="38"/>
      <c r="P33" s="38"/>
    </row>
  </sheetData>
  <mergeCells count="13">
    <mergeCell ref="B8:P8"/>
    <mergeCell ref="E2:F2"/>
    <mergeCell ref="E3:F3"/>
    <mergeCell ref="H3:I3"/>
    <mergeCell ref="H2:I2"/>
    <mergeCell ref="J3:K3"/>
    <mergeCell ref="J2:K2"/>
    <mergeCell ref="O2:P2"/>
    <mergeCell ref="O3:P3"/>
    <mergeCell ref="O4:P4"/>
    <mergeCell ref="M4:N4"/>
    <mergeCell ref="M3:N3"/>
    <mergeCell ref="M2:N2"/>
  </mergeCells>
  <pageMargins left="0.5" right="0.5" top="0.25" bottom="0.25" header="0.5" footer="0.25"/>
  <pageSetup scale="83" orientation="landscape" r:id="rId1"/>
  <headerFooter alignWithMargins="0"/>
  <ignoredErrors>
    <ignoredError sqref="E29:P29"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8195" r:id="rId4" name="Drop Down 3">
              <controlPr defaultSize="0" autoLine="0" autoPict="0" macro="[0]!change_langue">
                <anchor moveWithCells="1">
                  <from>
                    <xdr:col>14</xdr:col>
                    <xdr:colOff>182880</xdr:colOff>
                    <xdr:row>4</xdr:row>
                    <xdr:rowOff>76200</xdr:rowOff>
                  </from>
                  <to>
                    <xdr:col>15</xdr:col>
                    <xdr:colOff>731520</xdr:colOff>
                    <xdr:row>4</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R">
    <tabColor theme="7"/>
    <pageSetUpPr fitToPage="1"/>
  </sheetPr>
  <dimension ref="A1:Q36"/>
  <sheetViews>
    <sheetView showGridLines="0" zoomScaleNormal="100" workbookViewId="0">
      <selection activeCell="D26" sqref="D26"/>
    </sheetView>
  </sheetViews>
  <sheetFormatPr defaultColWidth="9.109375" defaultRowHeight="15.6" x14ac:dyDescent="0.3"/>
  <cols>
    <col min="1" max="1" width="3.33203125" style="2" customWidth="1"/>
    <col min="2" max="2" width="6.5546875" style="2" customWidth="1"/>
    <col min="3" max="3" width="34.88671875" style="2" customWidth="1"/>
    <col min="4" max="4" width="14.109375" style="2" customWidth="1"/>
    <col min="5" max="5" width="10.6640625" style="2" bestFit="1" customWidth="1"/>
    <col min="6" max="16" width="9.33203125" style="2" customWidth="1"/>
    <col min="17" max="17" width="11.33203125" style="2" customWidth="1"/>
    <col min="18" max="256" width="11.44140625" style="2" customWidth="1"/>
    <col min="257" max="16384" width="9.109375" style="2"/>
  </cols>
  <sheetData>
    <row r="1" spans="1:17" s="31" customFormat="1" ht="5.4" customHeight="1" x14ac:dyDescent="0.25"/>
    <row r="2" spans="1:17" customFormat="1" ht="19.95" customHeight="1" x14ac:dyDescent="0.3">
      <c r="D2" s="32" t="s">
        <v>344</v>
      </c>
      <c r="E2" s="165" t="s">
        <v>345</v>
      </c>
      <c r="F2" s="165"/>
      <c r="G2" s="2"/>
      <c r="H2" s="163" t="s">
        <v>346</v>
      </c>
      <c r="I2" s="164"/>
      <c r="J2" s="165" t="s">
        <v>347</v>
      </c>
      <c r="K2" s="165"/>
      <c r="L2" s="2"/>
      <c r="M2" s="166" t="s">
        <v>348</v>
      </c>
      <c r="N2" s="166"/>
      <c r="O2" s="167">
        <v>44893</v>
      </c>
      <c r="P2" s="167"/>
    </row>
    <row r="3" spans="1:17" customFormat="1" ht="19.95" customHeight="1" x14ac:dyDescent="0.3">
      <c r="D3" s="32" t="s">
        <v>349</v>
      </c>
      <c r="E3" s="172" t="s">
        <v>356</v>
      </c>
      <c r="F3" s="172"/>
      <c r="G3" s="2"/>
      <c r="H3" s="170" t="s">
        <v>350</v>
      </c>
      <c r="I3" s="171"/>
      <c r="J3" s="172" t="s">
        <v>351</v>
      </c>
      <c r="K3" s="172"/>
      <c r="L3" s="2"/>
      <c r="M3" s="166" t="s">
        <v>352</v>
      </c>
      <c r="N3" s="166"/>
      <c r="O3" s="167"/>
      <c r="P3" s="167"/>
    </row>
    <row r="4" spans="1:17" customFormat="1" ht="19.95" customHeight="1" thickBot="1" x14ac:dyDescent="0.35">
      <c r="K4" s="2"/>
      <c r="L4" s="2"/>
      <c r="M4" s="168" t="s">
        <v>353</v>
      </c>
      <c r="N4" s="168"/>
      <c r="O4" s="169" t="s">
        <v>354</v>
      </c>
      <c r="P4" s="169"/>
    </row>
    <row r="5" spans="1:17" customFormat="1" ht="28.2" customHeight="1" thickTop="1" thickBot="1" x14ac:dyDescent="0.3">
      <c r="B5" s="33" t="s">
        <v>357</v>
      </c>
      <c r="C5" s="33"/>
      <c r="D5" s="33"/>
      <c r="E5" s="33"/>
      <c r="F5" s="34"/>
      <c r="G5" s="33"/>
      <c r="H5" s="33"/>
      <c r="I5" s="33"/>
      <c r="J5" s="33"/>
      <c r="K5" s="33"/>
      <c r="L5" s="33"/>
      <c r="M5" s="33"/>
      <c r="N5" s="33"/>
      <c r="O5" s="33"/>
      <c r="P5" s="33"/>
    </row>
    <row r="6" spans="1:17" ht="15" customHeight="1" thickTop="1" x14ac:dyDescent="0.5">
      <c r="F6" s="7"/>
    </row>
    <row r="7" spans="1:17" x14ac:dyDescent="0.3">
      <c r="B7" s="178" t="s">
        <v>61</v>
      </c>
      <c r="C7" s="178"/>
      <c r="D7" s="178"/>
      <c r="E7" s="178"/>
      <c r="F7" s="178"/>
      <c r="G7" s="178"/>
      <c r="H7" s="178"/>
      <c r="I7" s="178"/>
      <c r="J7" s="178"/>
      <c r="K7" s="178"/>
      <c r="L7" s="178"/>
      <c r="M7" s="178"/>
      <c r="N7" s="178"/>
      <c r="O7" s="178"/>
      <c r="P7" s="178"/>
      <c r="Q7" s="4"/>
    </row>
    <row r="8" spans="1:17" ht="15.6" customHeight="1" x14ac:dyDescent="0.3">
      <c r="B8" s="179" t="s">
        <v>75</v>
      </c>
      <c r="C8" s="179"/>
      <c r="D8" s="179"/>
      <c r="E8" s="179"/>
      <c r="F8" s="179"/>
      <c r="G8" s="179"/>
      <c r="H8" s="179"/>
      <c r="I8" s="179"/>
      <c r="J8" s="179"/>
      <c r="K8" s="179"/>
      <c r="L8" s="179"/>
      <c r="M8" s="179"/>
      <c r="N8" s="179"/>
      <c r="O8" s="179"/>
      <c r="P8" s="179"/>
      <c r="Q8" s="53"/>
    </row>
    <row r="9" spans="1:17" ht="9" customHeight="1" x14ac:dyDescent="0.3">
      <c r="A9" s="40"/>
      <c r="B9" s="40"/>
      <c r="C9" s="40"/>
      <c r="D9" s="40"/>
      <c r="E9" s="40"/>
      <c r="F9" s="40"/>
      <c r="G9" s="40"/>
      <c r="H9" s="40"/>
      <c r="I9" s="40"/>
      <c r="J9" s="40"/>
      <c r="K9" s="40"/>
      <c r="L9" s="40"/>
      <c r="M9" s="40"/>
      <c r="N9" s="40"/>
      <c r="O9" s="40"/>
      <c r="P9" s="40"/>
    </row>
    <row r="10" spans="1:17" x14ac:dyDescent="0.3">
      <c r="A10" s="40"/>
      <c r="B10" s="55" t="s">
        <v>55</v>
      </c>
      <c r="C10" s="40"/>
      <c r="D10" s="40"/>
      <c r="E10" s="56"/>
      <c r="F10" s="40"/>
      <c r="G10" s="40"/>
      <c r="H10" s="40"/>
      <c r="I10" s="40"/>
      <c r="J10" s="40"/>
      <c r="K10" s="40"/>
      <c r="L10" s="40"/>
      <c r="M10" s="40"/>
      <c r="N10" s="40"/>
      <c r="O10" s="40"/>
      <c r="P10" s="57"/>
    </row>
    <row r="11" spans="1:17" ht="28.8" x14ac:dyDescent="0.3">
      <c r="A11" s="40"/>
      <c r="B11" s="42" t="s">
        <v>11</v>
      </c>
      <c r="C11" s="42" t="s">
        <v>10</v>
      </c>
      <c r="D11" s="42" t="s">
        <v>62</v>
      </c>
      <c r="E11" s="43">
        <v>44621</v>
      </c>
      <c r="F11" s="43">
        <v>44652</v>
      </c>
      <c r="G11" s="43">
        <v>44682</v>
      </c>
      <c r="H11" s="43">
        <v>44713</v>
      </c>
      <c r="I11" s="43">
        <v>44743</v>
      </c>
      <c r="J11" s="43">
        <v>44774</v>
      </c>
      <c r="K11" s="43">
        <v>44805</v>
      </c>
      <c r="L11" s="43">
        <v>44835</v>
      </c>
      <c r="M11" s="43">
        <v>44866</v>
      </c>
      <c r="N11" s="43">
        <v>44896</v>
      </c>
      <c r="O11" s="43">
        <v>44927</v>
      </c>
      <c r="P11" s="43">
        <v>44958</v>
      </c>
    </row>
    <row r="12" spans="1:17" x14ac:dyDescent="0.3">
      <c r="A12" s="40"/>
      <c r="B12" s="46">
        <v>1</v>
      </c>
      <c r="C12" s="47" t="s">
        <v>40</v>
      </c>
      <c r="D12" s="49">
        <f>SUM(E12:P12)</f>
        <v>19500</v>
      </c>
      <c r="E12" s="58">
        <v>4000</v>
      </c>
      <c r="F12" s="48">
        <v>6000</v>
      </c>
      <c r="G12" s="48">
        <v>5000</v>
      </c>
      <c r="H12" s="48">
        <v>4500</v>
      </c>
      <c r="I12" s="48"/>
      <c r="J12" s="48"/>
      <c r="K12" s="48"/>
      <c r="L12" s="48"/>
      <c r="M12" s="48"/>
      <c r="N12" s="48"/>
      <c r="O12" s="48"/>
      <c r="P12" s="48"/>
    </row>
    <row r="13" spans="1:17" x14ac:dyDescent="0.3">
      <c r="A13" s="40"/>
      <c r="B13" s="46">
        <v>2</v>
      </c>
      <c r="C13" s="47" t="s">
        <v>22</v>
      </c>
      <c r="D13" s="50">
        <f t="shared" ref="D13:D27" si="0">SUM(E13:P13)</f>
        <v>36000</v>
      </c>
      <c r="E13" s="58"/>
      <c r="F13" s="48">
        <v>12000</v>
      </c>
      <c r="G13" s="48">
        <v>12000</v>
      </c>
      <c r="H13" s="48">
        <v>12000</v>
      </c>
      <c r="I13" s="48"/>
      <c r="J13" s="48"/>
      <c r="K13" s="48"/>
      <c r="L13" s="48"/>
      <c r="M13" s="48"/>
      <c r="N13" s="48"/>
      <c r="O13" s="48"/>
      <c r="P13" s="48"/>
    </row>
    <row r="14" spans="1:17" x14ac:dyDescent="0.3">
      <c r="A14" s="40"/>
      <c r="B14" s="46">
        <v>3</v>
      </c>
      <c r="C14" s="47" t="s">
        <v>23</v>
      </c>
      <c r="D14" s="50">
        <f t="shared" si="0"/>
        <v>24000</v>
      </c>
      <c r="E14" s="58"/>
      <c r="F14" s="48"/>
      <c r="G14" s="48"/>
      <c r="H14" s="48"/>
      <c r="I14" s="48">
        <v>8000</v>
      </c>
      <c r="J14" s="48">
        <v>8000</v>
      </c>
      <c r="K14" s="48">
        <v>8000</v>
      </c>
      <c r="L14" s="48"/>
      <c r="M14" s="48"/>
      <c r="N14" s="48"/>
      <c r="O14" s="48"/>
      <c r="P14" s="48"/>
    </row>
    <row r="15" spans="1:17" x14ac:dyDescent="0.3">
      <c r="A15" s="40"/>
      <c r="B15" s="46">
        <v>4</v>
      </c>
      <c r="C15" s="47" t="s">
        <v>24</v>
      </c>
      <c r="D15" s="50">
        <f t="shared" si="0"/>
        <v>24000</v>
      </c>
      <c r="E15" s="58"/>
      <c r="F15" s="48"/>
      <c r="G15" s="48"/>
      <c r="H15" s="48"/>
      <c r="I15" s="48">
        <v>8000</v>
      </c>
      <c r="J15" s="48">
        <v>8000</v>
      </c>
      <c r="K15" s="48">
        <v>8000</v>
      </c>
      <c r="L15" s="48"/>
      <c r="M15" s="48"/>
      <c r="N15" s="48"/>
      <c r="O15" s="48"/>
      <c r="P15" s="48"/>
    </row>
    <row r="16" spans="1:17" x14ac:dyDescent="0.3">
      <c r="A16" s="40"/>
      <c r="B16" s="46">
        <v>5</v>
      </c>
      <c r="C16" s="47" t="s">
        <v>25</v>
      </c>
      <c r="D16" s="50">
        <f t="shared" si="0"/>
        <v>24000</v>
      </c>
      <c r="E16" s="58"/>
      <c r="F16" s="48"/>
      <c r="G16" s="48"/>
      <c r="H16" s="48"/>
      <c r="I16" s="48">
        <v>8000</v>
      </c>
      <c r="J16" s="48">
        <v>8000</v>
      </c>
      <c r="K16" s="48">
        <v>8000</v>
      </c>
      <c r="L16" s="48"/>
      <c r="M16" s="48"/>
      <c r="N16" s="48"/>
      <c r="O16" s="48"/>
      <c r="P16" s="48"/>
    </row>
    <row r="17" spans="1:16" x14ac:dyDescent="0.3">
      <c r="A17" s="40"/>
      <c r="B17" s="46">
        <v>6</v>
      </c>
      <c r="C17" s="47" t="s">
        <v>26</v>
      </c>
      <c r="D17" s="50">
        <f t="shared" si="0"/>
        <v>24000</v>
      </c>
      <c r="E17" s="58"/>
      <c r="F17" s="48"/>
      <c r="G17" s="48"/>
      <c r="H17" s="48"/>
      <c r="I17" s="48">
        <v>8000</v>
      </c>
      <c r="J17" s="48">
        <v>8000</v>
      </c>
      <c r="K17" s="48">
        <v>8000</v>
      </c>
      <c r="L17" s="48"/>
      <c r="M17" s="48"/>
      <c r="N17" s="48"/>
      <c r="O17" s="48"/>
      <c r="P17" s="48"/>
    </row>
    <row r="18" spans="1:16" x14ac:dyDescent="0.3">
      <c r="A18" s="40"/>
      <c r="B18" s="46">
        <v>7</v>
      </c>
      <c r="C18" s="47" t="s">
        <v>27</v>
      </c>
      <c r="D18" s="50">
        <f t="shared" si="0"/>
        <v>6000</v>
      </c>
      <c r="E18" s="58"/>
      <c r="F18" s="48"/>
      <c r="G18" s="48"/>
      <c r="H18" s="48"/>
      <c r="I18" s="48">
        <v>2000</v>
      </c>
      <c r="J18" s="48">
        <v>2000</v>
      </c>
      <c r="K18" s="48">
        <v>2000</v>
      </c>
      <c r="L18" s="48"/>
      <c r="M18" s="48"/>
      <c r="N18" s="48"/>
      <c r="O18" s="48"/>
      <c r="P18" s="48"/>
    </row>
    <row r="19" spans="1:16" x14ac:dyDescent="0.3">
      <c r="A19" s="40"/>
      <c r="B19" s="46">
        <v>8</v>
      </c>
      <c r="C19" s="47" t="s">
        <v>28</v>
      </c>
      <c r="D19" s="50">
        <f t="shared" si="0"/>
        <v>16000</v>
      </c>
      <c r="E19" s="58"/>
      <c r="F19" s="48"/>
      <c r="G19" s="48"/>
      <c r="H19" s="48"/>
      <c r="I19" s="48">
        <v>4000</v>
      </c>
      <c r="J19" s="48">
        <v>4000</v>
      </c>
      <c r="K19" s="48">
        <v>4000</v>
      </c>
      <c r="L19" s="48">
        <v>4000</v>
      </c>
      <c r="M19" s="48"/>
      <c r="N19" s="48"/>
      <c r="O19" s="48"/>
      <c r="P19" s="48"/>
    </row>
    <row r="20" spans="1:16" x14ac:dyDescent="0.3">
      <c r="A20" s="40"/>
      <c r="B20" s="46">
        <v>9</v>
      </c>
      <c r="C20" s="47" t="s">
        <v>29</v>
      </c>
      <c r="D20" s="50">
        <f t="shared" si="0"/>
        <v>7500</v>
      </c>
      <c r="E20" s="58"/>
      <c r="F20" s="48"/>
      <c r="G20" s="48"/>
      <c r="H20" s="48"/>
      <c r="I20" s="48"/>
      <c r="J20" s="48"/>
      <c r="K20" s="48"/>
      <c r="L20" s="48">
        <v>7500</v>
      </c>
      <c r="M20" s="48"/>
      <c r="N20" s="48"/>
      <c r="O20" s="48"/>
      <c r="P20" s="48"/>
    </row>
    <row r="21" spans="1:16" x14ac:dyDescent="0.3">
      <c r="A21" s="40"/>
      <c r="B21" s="46">
        <v>10</v>
      </c>
      <c r="C21" s="47" t="s">
        <v>30</v>
      </c>
      <c r="D21" s="50">
        <f t="shared" si="0"/>
        <v>55000</v>
      </c>
      <c r="E21" s="58"/>
      <c r="F21" s="48"/>
      <c r="G21" s="48"/>
      <c r="H21" s="48"/>
      <c r="I21" s="48"/>
      <c r="J21" s="48"/>
      <c r="K21" s="48"/>
      <c r="L21" s="48"/>
      <c r="M21" s="48">
        <v>55000</v>
      </c>
      <c r="N21" s="48"/>
      <c r="O21" s="48"/>
      <c r="P21" s="48"/>
    </row>
    <row r="22" spans="1:16" x14ac:dyDescent="0.3">
      <c r="A22" s="40"/>
      <c r="B22" s="46">
        <v>11</v>
      </c>
      <c r="C22" s="47" t="s">
        <v>31</v>
      </c>
      <c r="D22" s="50">
        <f t="shared" si="0"/>
        <v>45000</v>
      </c>
      <c r="E22" s="58"/>
      <c r="F22" s="48"/>
      <c r="G22" s="48"/>
      <c r="H22" s="48"/>
      <c r="I22" s="48"/>
      <c r="J22" s="48"/>
      <c r="K22" s="48"/>
      <c r="L22" s="48"/>
      <c r="M22" s="48"/>
      <c r="N22" s="48">
        <v>45000</v>
      </c>
      <c r="O22" s="48"/>
      <c r="P22" s="48"/>
    </row>
    <row r="23" spans="1:16" x14ac:dyDescent="0.3">
      <c r="A23" s="40"/>
      <c r="B23" s="46">
        <v>12</v>
      </c>
      <c r="C23" s="47" t="s">
        <v>339</v>
      </c>
      <c r="D23" s="50">
        <f t="shared" si="0"/>
        <v>17000</v>
      </c>
      <c r="E23" s="58"/>
      <c r="F23" s="48"/>
      <c r="G23" s="48"/>
      <c r="H23" s="48"/>
      <c r="I23" s="48"/>
      <c r="J23" s="48"/>
      <c r="K23" s="48"/>
      <c r="L23" s="48"/>
      <c r="M23" s="48">
        <v>12000</v>
      </c>
      <c r="N23" s="48">
        <v>5000</v>
      </c>
      <c r="O23" s="48"/>
      <c r="P23" s="48"/>
    </row>
    <row r="24" spans="1:16" x14ac:dyDescent="0.3">
      <c r="A24" s="40"/>
      <c r="B24" s="46">
        <v>13</v>
      </c>
      <c r="C24" s="47" t="s">
        <v>32</v>
      </c>
      <c r="D24" s="50">
        <f>SUM(E24:P24)</f>
        <v>37000</v>
      </c>
      <c r="E24" s="58"/>
      <c r="F24" s="48"/>
      <c r="G24" s="48"/>
      <c r="H24" s="48"/>
      <c r="I24" s="48"/>
      <c r="J24" s="48"/>
      <c r="K24" s="48"/>
      <c r="L24" s="48"/>
      <c r="M24" s="48">
        <v>13000</v>
      </c>
      <c r="N24" s="48">
        <v>12000</v>
      </c>
      <c r="O24" s="48">
        <v>12000</v>
      </c>
      <c r="P24" s="48"/>
    </row>
    <row r="25" spans="1:16" x14ac:dyDescent="0.3">
      <c r="A25" s="40"/>
      <c r="B25" s="46">
        <v>14</v>
      </c>
      <c r="C25" s="47" t="s">
        <v>340</v>
      </c>
      <c r="D25" s="50">
        <f t="shared" si="0"/>
        <v>12000</v>
      </c>
      <c r="E25" s="58"/>
      <c r="F25" s="48"/>
      <c r="G25" s="48"/>
      <c r="H25" s="48"/>
      <c r="I25" s="48"/>
      <c r="J25" s="48"/>
      <c r="K25" s="48"/>
      <c r="L25" s="48"/>
      <c r="M25" s="48"/>
      <c r="N25" s="48">
        <v>12000</v>
      </c>
      <c r="O25" s="48"/>
      <c r="P25" s="48"/>
    </row>
    <row r="26" spans="1:16" x14ac:dyDescent="0.3">
      <c r="A26" s="40"/>
      <c r="B26" s="46">
        <v>15</v>
      </c>
      <c r="C26" s="47" t="s">
        <v>36</v>
      </c>
      <c r="D26" s="50">
        <f t="shared" si="0"/>
        <v>5000</v>
      </c>
      <c r="E26" s="58"/>
      <c r="F26" s="48"/>
      <c r="G26" s="48"/>
      <c r="H26" s="48"/>
      <c r="I26" s="48"/>
      <c r="J26" s="48"/>
      <c r="K26" s="48"/>
      <c r="L26" s="48"/>
      <c r="M26" s="48"/>
      <c r="N26" s="48"/>
      <c r="O26" s="48">
        <v>5000</v>
      </c>
      <c r="P26" s="48"/>
    </row>
    <row r="27" spans="1:16" x14ac:dyDescent="0.3">
      <c r="A27" s="40"/>
      <c r="B27" s="46">
        <v>16</v>
      </c>
      <c r="C27" s="47" t="s">
        <v>33</v>
      </c>
      <c r="D27" s="50">
        <f t="shared" si="0"/>
        <v>5000</v>
      </c>
      <c r="E27" s="58"/>
      <c r="F27" s="48"/>
      <c r="G27" s="48"/>
      <c r="H27" s="48"/>
      <c r="I27" s="48"/>
      <c r="J27" s="48"/>
      <c r="K27" s="48"/>
      <c r="L27" s="48"/>
      <c r="M27" s="48"/>
      <c r="N27" s="48"/>
      <c r="O27" s="48">
        <v>3000</v>
      </c>
      <c r="P27" s="48">
        <v>2000</v>
      </c>
    </row>
    <row r="28" spans="1:16" x14ac:dyDescent="0.3">
      <c r="A28" s="40"/>
      <c r="B28" s="46"/>
      <c r="C28" s="47"/>
      <c r="D28" s="51"/>
      <c r="E28" s="58"/>
      <c r="F28" s="48"/>
      <c r="G28" s="48"/>
      <c r="H28" s="48"/>
      <c r="I28" s="48"/>
      <c r="J28" s="48"/>
      <c r="K28" s="48"/>
      <c r="L28" s="48"/>
      <c r="M28" s="48"/>
      <c r="N28" s="48"/>
      <c r="O28" s="48"/>
      <c r="P28" s="48"/>
    </row>
    <row r="29" spans="1:16" x14ac:dyDescent="0.3">
      <c r="A29" s="40"/>
      <c r="B29" s="62" t="s">
        <v>381</v>
      </c>
      <c r="C29" s="62"/>
      <c r="D29" s="62"/>
      <c r="E29" s="62"/>
      <c r="F29" s="62"/>
      <c r="G29" s="62"/>
      <c r="H29" s="62"/>
      <c r="I29" s="62"/>
      <c r="J29" s="62"/>
      <c r="K29" s="62"/>
      <c r="L29" s="62"/>
      <c r="M29" s="62"/>
      <c r="N29" s="62"/>
      <c r="O29" s="62"/>
      <c r="P29" s="62"/>
    </row>
    <row r="30" spans="1:16" x14ac:dyDescent="0.3">
      <c r="A30" s="40"/>
      <c r="B30" s="40"/>
      <c r="C30" s="57" t="s">
        <v>58</v>
      </c>
      <c r="D30" s="57"/>
      <c r="E30" s="59">
        <f>SUM(E12:E29)</f>
        <v>4000</v>
      </c>
      <c r="F30" s="59">
        <f>SUM(F12:F29)</f>
        <v>18000</v>
      </c>
      <c r="G30" s="59">
        <f>SUM(G12:G29)</f>
        <v>17000</v>
      </c>
      <c r="H30" s="59">
        <f t="shared" ref="H30:P30" si="1">SUM(H12:H29)</f>
        <v>16500</v>
      </c>
      <c r="I30" s="59">
        <f t="shared" si="1"/>
        <v>38000</v>
      </c>
      <c r="J30" s="59">
        <f t="shared" si="1"/>
        <v>38000</v>
      </c>
      <c r="K30" s="59">
        <f>SUM(K12:K29)</f>
        <v>38000</v>
      </c>
      <c r="L30" s="59">
        <f t="shared" si="1"/>
        <v>11500</v>
      </c>
      <c r="M30" s="59">
        <f>SUM(M12:M29)</f>
        <v>80000</v>
      </c>
      <c r="N30" s="59">
        <f t="shared" si="1"/>
        <v>74000</v>
      </c>
      <c r="O30" s="59">
        <f>SUM(O12:O29)</f>
        <v>20000</v>
      </c>
      <c r="P30" s="59">
        <f t="shared" si="1"/>
        <v>2000</v>
      </c>
    </row>
    <row r="31" spans="1:16" x14ac:dyDescent="0.3">
      <c r="A31" s="40"/>
      <c r="B31" s="40"/>
      <c r="C31" s="41" t="s">
        <v>59</v>
      </c>
      <c r="D31" s="41"/>
      <c r="E31" s="60">
        <f>SUM($E30:E30)</f>
        <v>4000</v>
      </c>
      <c r="F31" s="60">
        <f>SUM($E30:F30)</f>
        <v>22000</v>
      </c>
      <c r="G31" s="60">
        <f>SUM($E30:G30)</f>
        <v>39000</v>
      </c>
      <c r="H31" s="60">
        <f>SUM($E30:H30)</f>
        <v>55500</v>
      </c>
      <c r="I31" s="60">
        <f>SUM($E30:I30)</f>
        <v>93500</v>
      </c>
      <c r="J31" s="60">
        <f>SUM($E30:J30)</f>
        <v>131500</v>
      </c>
      <c r="K31" s="60">
        <f>SUM($E30:K30)</f>
        <v>169500</v>
      </c>
      <c r="L31" s="60">
        <f>SUM($E30:L30)</f>
        <v>181000</v>
      </c>
      <c r="M31" s="60">
        <f>SUM($E30:M30)</f>
        <v>261000</v>
      </c>
      <c r="N31" s="60">
        <f>SUM($E30:N30)</f>
        <v>335000</v>
      </c>
      <c r="O31" s="60">
        <f>SUM($E30:O30)</f>
        <v>355000</v>
      </c>
      <c r="P31" s="60">
        <f>SUM($E30:P30)</f>
        <v>357000</v>
      </c>
    </row>
    <row r="32" spans="1:16" x14ac:dyDescent="0.3">
      <c r="A32" s="40"/>
      <c r="B32" s="40"/>
      <c r="C32" s="40"/>
      <c r="D32" s="40"/>
      <c r="E32" s="40"/>
      <c r="F32" s="40"/>
      <c r="G32" s="40"/>
      <c r="H32" s="40"/>
      <c r="I32" s="40"/>
      <c r="J32" s="40"/>
      <c r="K32" s="40"/>
      <c r="L32" s="40"/>
      <c r="M32" s="40"/>
      <c r="N32" s="40"/>
      <c r="O32" s="40"/>
      <c r="P32" s="40"/>
    </row>
    <row r="33" spans="2:16" x14ac:dyDescent="0.3">
      <c r="B33" s="54"/>
      <c r="C33" s="54"/>
      <c r="D33" s="54"/>
      <c r="E33" s="54"/>
      <c r="F33" s="54"/>
      <c r="G33" s="54"/>
      <c r="H33" s="54"/>
      <c r="I33" s="54"/>
      <c r="J33" s="54"/>
      <c r="K33" s="54"/>
      <c r="L33" s="54"/>
      <c r="M33" s="54"/>
      <c r="N33" s="54"/>
      <c r="O33" s="54"/>
      <c r="P33" s="54"/>
    </row>
    <row r="34" spans="2:16" x14ac:dyDescent="0.3">
      <c r="B34" s="54"/>
      <c r="C34" s="54"/>
      <c r="D34" s="54"/>
      <c r="E34" s="54"/>
      <c r="F34" s="54"/>
      <c r="G34" s="54"/>
      <c r="H34" s="54"/>
      <c r="I34" s="54"/>
      <c r="J34" s="54"/>
      <c r="K34" s="54"/>
      <c r="L34" s="54"/>
      <c r="M34" s="54"/>
      <c r="N34" s="54"/>
      <c r="O34" s="54"/>
      <c r="P34" s="54"/>
    </row>
    <row r="35" spans="2:16" x14ac:dyDescent="0.3">
      <c r="B35" s="54"/>
      <c r="C35" s="54"/>
      <c r="D35" s="54"/>
      <c r="E35" s="54"/>
      <c r="F35" s="54"/>
      <c r="G35" s="54"/>
      <c r="H35" s="54"/>
      <c r="I35" s="54"/>
      <c r="J35" s="54"/>
      <c r="K35" s="54"/>
      <c r="L35" s="54"/>
      <c r="M35" s="54"/>
      <c r="N35" s="54"/>
      <c r="O35" s="54"/>
      <c r="P35" s="54"/>
    </row>
    <row r="36" spans="2:16" x14ac:dyDescent="0.3">
      <c r="B36" s="54"/>
      <c r="C36" s="54"/>
      <c r="D36" s="54"/>
      <c r="E36" s="54"/>
      <c r="F36" s="54"/>
      <c r="G36" s="54"/>
      <c r="H36" s="54"/>
      <c r="I36" s="54"/>
      <c r="J36" s="54"/>
      <c r="K36" s="54"/>
      <c r="L36" s="54"/>
      <c r="M36" s="54"/>
      <c r="N36" s="54"/>
      <c r="O36" s="54"/>
      <c r="P36" s="54"/>
    </row>
  </sheetData>
  <mergeCells count="14">
    <mergeCell ref="E2:F2"/>
    <mergeCell ref="H2:I2"/>
    <mergeCell ref="J2:K2"/>
    <mergeCell ref="M2:N2"/>
    <mergeCell ref="O2:P2"/>
    <mergeCell ref="M4:N4"/>
    <mergeCell ref="O4:P4"/>
    <mergeCell ref="B7:P7"/>
    <mergeCell ref="B8:P8"/>
    <mergeCell ref="E3:F3"/>
    <mergeCell ref="H3:I3"/>
    <mergeCell ref="J3:K3"/>
    <mergeCell ref="M3:N3"/>
    <mergeCell ref="O3:P3"/>
  </mergeCells>
  <pageMargins left="0.5" right="0.5" top="0.25" bottom="0.25" header="0.5" footer="0.25"/>
  <pageSetup scale="93" orientation="landscape" r:id="rId1"/>
  <headerFooter alignWithMargins="0"/>
  <ignoredErrors>
    <ignoredError sqref="E30:F30 G30:P30" formulaRange="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VA">
    <tabColor theme="8" tint="-0.249977111117893"/>
    <pageSetUpPr fitToPage="1"/>
  </sheetPr>
  <dimension ref="B1:R32"/>
  <sheetViews>
    <sheetView showGridLines="0" zoomScaleNormal="100" workbookViewId="0">
      <selection activeCell="B8" sqref="B8:Q8"/>
    </sheetView>
  </sheetViews>
  <sheetFormatPr defaultColWidth="9.109375" defaultRowHeight="15.6" x14ac:dyDescent="0.3"/>
  <cols>
    <col min="1" max="1" width="3.33203125" style="2" customWidth="1"/>
    <col min="2" max="2" width="6.5546875" style="2" customWidth="1"/>
    <col min="3" max="3" width="32.33203125" style="2" customWidth="1"/>
    <col min="4" max="4" width="13.88671875" style="2" customWidth="1"/>
    <col min="5" max="5" width="8.6640625" style="2" customWidth="1"/>
    <col min="6" max="6" width="9.5546875" style="2" customWidth="1"/>
    <col min="7" max="7" width="10.5546875" style="2" customWidth="1"/>
    <col min="8" max="8" width="9.5546875" style="2" customWidth="1"/>
    <col min="9" max="9" width="9.109375" style="2" bestFit="1" customWidth="1"/>
    <col min="10" max="10" width="10.44140625" style="2" customWidth="1"/>
    <col min="11" max="11" width="10.109375" style="2" bestFit="1" customWidth="1"/>
    <col min="12" max="12" width="10.6640625" style="2" customWidth="1"/>
    <col min="13" max="14" width="11.109375" style="2" customWidth="1"/>
    <col min="15" max="15" width="10.6640625" style="2" customWidth="1"/>
    <col min="16" max="16" width="11.109375" style="2" customWidth="1"/>
    <col min="17" max="17" width="14.6640625" style="12" customWidth="1"/>
    <col min="18" max="18" width="17.33203125" style="2" customWidth="1"/>
    <col min="19" max="19" width="17.6640625" style="2" customWidth="1"/>
    <col min="20" max="257" width="11.44140625" style="2" customWidth="1"/>
    <col min="258" max="16384" width="9.109375" style="2"/>
  </cols>
  <sheetData>
    <row r="1" spans="2:18" s="31" customFormat="1" ht="5.4" customHeight="1" x14ac:dyDescent="0.25"/>
    <row r="2" spans="2:18" customFormat="1" ht="19.95" customHeight="1" x14ac:dyDescent="0.3">
      <c r="D2" s="32" t="s">
        <v>344</v>
      </c>
      <c r="E2" s="165" t="s">
        <v>345</v>
      </c>
      <c r="F2" s="165"/>
      <c r="G2" s="2"/>
      <c r="H2" s="163" t="s">
        <v>346</v>
      </c>
      <c r="I2" s="164"/>
      <c r="J2" s="165" t="s">
        <v>347</v>
      </c>
      <c r="K2" s="165"/>
      <c r="L2" s="2"/>
      <c r="M2" s="166" t="s">
        <v>348</v>
      </c>
      <c r="N2" s="166"/>
      <c r="O2" s="167">
        <v>44893</v>
      </c>
      <c r="P2" s="167"/>
    </row>
    <row r="3" spans="2:18" customFormat="1" ht="19.95" customHeight="1" x14ac:dyDescent="0.3">
      <c r="D3" s="32" t="s">
        <v>349</v>
      </c>
      <c r="E3" s="172" t="s">
        <v>356</v>
      </c>
      <c r="F3" s="172"/>
      <c r="G3" s="2"/>
      <c r="H3" s="170" t="s">
        <v>350</v>
      </c>
      <c r="I3" s="171"/>
      <c r="J3" s="172" t="s">
        <v>351</v>
      </c>
      <c r="K3" s="172"/>
      <c r="L3" s="2"/>
      <c r="M3" s="166" t="s">
        <v>352</v>
      </c>
      <c r="N3" s="166"/>
      <c r="O3" s="167"/>
      <c r="P3" s="167"/>
    </row>
    <row r="4" spans="2:18" customFormat="1" ht="19.95" customHeight="1" thickBot="1" x14ac:dyDescent="0.35">
      <c r="K4" s="2"/>
      <c r="L4" s="2"/>
      <c r="M4" s="168" t="s">
        <v>353</v>
      </c>
      <c r="N4" s="168"/>
      <c r="O4" s="169" t="s">
        <v>354</v>
      </c>
      <c r="P4" s="169"/>
    </row>
    <row r="5" spans="2:18" customFormat="1" ht="28.2" customHeight="1" thickTop="1" thickBot="1" x14ac:dyDescent="0.3">
      <c r="B5" s="33" t="s">
        <v>358</v>
      </c>
      <c r="C5" s="33"/>
      <c r="D5" s="33"/>
      <c r="E5" s="33"/>
      <c r="F5" s="34"/>
      <c r="G5" s="33"/>
      <c r="H5" s="33"/>
      <c r="I5" s="33"/>
      <c r="J5" s="33"/>
      <c r="K5" s="33"/>
      <c r="L5" s="33"/>
      <c r="M5" s="33"/>
      <c r="N5" s="33"/>
      <c r="O5" s="33"/>
      <c r="P5" s="33"/>
      <c r="Q5" s="33"/>
    </row>
    <row r="6" spans="2:18" ht="9.6" customHeight="1" thickTop="1" x14ac:dyDescent="0.3"/>
    <row r="7" spans="2:18" x14ac:dyDescent="0.3">
      <c r="B7" s="146" t="s">
        <v>64</v>
      </c>
      <c r="C7" s="40"/>
      <c r="D7" s="40"/>
      <c r="E7" s="40"/>
      <c r="F7" s="40"/>
      <c r="G7" s="40"/>
      <c r="H7" s="40"/>
      <c r="I7" s="40"/>
      <c r="J7" s="40"/>
      <c r="K7" s="40"/>
      <c r="L7" s="40"/>
      <c r="M7" s="40"/>
      <c r="N7" s="40"/>
      <c r="O7" s="40"/>
      <c r="P7" s="40"/>
      <c r="Q7" s="147"/>
      <c r="R7" s="4"/>
    </row>
    <row r="8" spans="2:18" x14ac:dyDescent="0.3">
      <c r="B8" s="180" t="s">
        <v>330</v>
      </c>
      <c r="C8" s="181"/>
      <c r="D8" s="181"/>
      <c r="E8" s="181"/>
      <c r="F8" s="181"/>
      <c r="G8" s="181"/>
      <c r="H8" s="181"/>
      <c r="I8" s="181"/>
      <c r="J8" s="181"/>
      <c r="K8" s="181"/>
      <c r="L8" s="181"/>
      <c r="M8" s="181"/>
      <c r="N8" s="181"/>
      <c r="O8" s="181"/>
      <c r="P8" s="181"/>
      <c r="Q8" s="181"/>
      <c r="R8" s="5"/>
    </row>
    <row r="9" spans="2:18" x14ac:dyDescent="0.3">
      <c r="B9" s="65" t="s">
        <v>76</v>
      </c>
      <c r="C9" s="40"/>
      <c r="D9" s="40"/>
      <c r="E9" s="40"/>
      <c r="F9" s="40"/>
      <c r="G9" s="40"/>
      <c r="H9" s="40"/>
      <c r="I9" s="40"/>
      <c r="J9" s="40"/>
      <c r="K9" s="40"/>
      <c r="L9" s="40"/>
      <c r="M9" s="40"/>
      <c r="N9" s="40"/>
      <c r="O9" s="40"/>
      <c r="P9" s="40"/>
      <c r="Q9" s="147"/>
    </row>
    <row r="11" spans="2:18" x14ac:dyDescent="0.3">
      <c r="B11" s="55" t="s">
        <v>18</v>
      </c>
      <c r="E11" s="6"/>
      <c r="P11" s="3"/>
    </row>
    <row r="12" spans="2:18" ht="28.8" x14ac:dyDescent="0.3">
      <c r="B12" s="66" t="s">
        <v>11</v>
      </c>
      <c r="C12" s="66" t="s">
        <v>10</v>
      </c>
      <c r="D12" s="66" t="s">
        <v>63</v>
      </c>
      <c r="E12" s="67">
        <v>44621</v>
      </c>
      <c r="F12" s="67">
        <v>44652</v>
      </c>
      <c r="G12" s="67">
        <v>44682</v>
      </c>
      <c r="H12" s="67">
        <v>44713</v>
      </c>
      <c r="I12" s="67">
        <v>44743</v>
      </c>
      <c r="J12" s="67">
        <v>44774</v>
      </c>
      <c r="K12" s="67">
        <v>44805</v>
      </c>
      <c r="L12" s="67">
        <v>44835</v>
      </c>
      <c r="M12" s="67">
        <v>44866</v>
      </c>
      <c r="N12" s="67">
        <v>44896</v>
      </c>
      <c r="O12" s="67">
        <v>44927</v>
      </c>
      <c r="P12" s="67">
        <v>44958</v>
      </c>
      <c r="Q12" s="42" t="s">
        <v>54</v>
      </c>
    </row>
    <row r="13" spans="2:18" x14ac:dyDescent="0.3">
      <c r="B13" s="46">
        <v>1</v>
      </c>
      <c r="C13" s="47" t="s">
        <v>40</v>
      </c>
      <c r="D13" s="49">
        <f>VP!D11</f>
        <v>20000</v>
      </c>
      <c r="E13" s="68">
        <v>0.15</v>
      </c>
      <c r="F13" s="68">
        <v>0.2</v>
      </c>
      <c r="G13" s="68">
        <v>0.25</v>
      </c>
      <c r="H13" s="68">
        <v>0.25</v>
      </c>
      <c r="I13" s="68">
        <v>0.15</v>
      </c>
      <c r="J13" s="68"/>
      <c r="K13" s="68"/>
      <c r="L13" s="68"/>
      <c r="M13" s="68"/>
      <c r="N13" s="68"/>
      <c r="O13" s="68"/>
      <c r="P13" s="68"/>
      <c r="Q13" s="68">
        <f t="shared" ref="Q13:Q28" si="0">SUM(E13:P13)</f>
        <v>1</v>
      </c>
    </row>
    <row r="14" spans="2:18" x14ac:dyDescent="0.3">
      <c r="B14" s="46">
        <v>2</v>
      </c>
      <c r="C14" s="47" t="s">
        <v>22</v>
      </c>
      <c r="D14" s="50">
        <f>VP!D12</f>
        <v>36000</v>
      </c>
      <c r="E14" s="68" t="s">
        <v>35</v>
      </c>
      <c r="F14" s="68">
        <v>0.33</v>
      </c>
      <c r="G14" s="68">
        <v>0.33</v>
      </c>
      <c r="H14" s="68">
        <v>0.34</v>
      </c>
      <c r="I14" s="68"/>
      <c r="J14" s="68"/>
      <c r="K14" s="68"/>
      <c r="L14" s="68"/>
      <c r="M14" s="68"/>
      <c r="N14" s="68"/>
      <c r="O14" s="68"/>
      <c r="P14" s="68"/>
      <c r="Q14" s="68">
        <f t="shared" si="0"/>
        <v>1</v>
      </c>
    </row>
    <row r="15" spans="2:18" x14ac:dyDescent="0.3">
      <c r="B15" s="46">
        <v>3</v>
      </c>
      <c r="C15" s="47" t="s">
        <v>23</v>
      </c>
      <c r="D15" s="50">
        <f>VP!D13</f>
        <v>24000</v>
      </c>
      <c r="E15" s="68"/>
      <c r="F15" s="68"/>
      <c r="G15" s="68"/>
      <c r="H15" s="68"/>
      <c r="I15" s="68">
        <v>0.33</v>
      </c>
      <c r="J15" s="68">
        <v>0.33</v>
      </c>
      <c r="K15" s="68">
        <v>0.34</v>
      </c>
      <c r="L15" s="68"/>
      <c r="M15" s="68"/>
      <c r="N15" s="68"/>
      <c r="O15" s="68"/>
      <c r="P15" s="68"/>
      <c r="Q15" s="68">
        <f t="shared" si="0"/>
        <v>1</v>
      </c>
    </row>
    <row r="16" spans="2:18" x14ac:dyDescent="0.3">
      <c r="B16" s="46">
        <v>4</v>
      </c>
      <c r="C16" s="47" t="s">
        <v>24</v>
      </c>
      <c r="D16" s="50">
        <f>VP!D14</f>
        <v>24000</v>
      </c>
      <c r="E16" s="68"/>
      <c r="F16" s="68"/>
      <c r="G16" s="68"/>
      <c r="H16" s="68"/>
      <c r="I16" s="68">
        <v>0.33</v>
      </c>
      <c r="J16" s="68">
        <v>0.33</v>
      </c>
      <c r="K16" s="68">
        <v>0.34</v>
      </c>
      <c r="L16" s="68"/>
      <c r="M16" s="68"/>
      <c r="N16" s="68"/>
      <c r="O16" s="68"/>
      <c r="P16" s="68"/>
      <c r="Q16" s="68">
        <f t="shared" si="0"/>
        <v>1</v>
      </c>
    </row>
    <row r="17" spans="2:17" x14ac:dyDescent="0.3">
      <c r="B17" s="46">
        <v>5</v>
      </c>
      <c r="C17" s="47" t="s">
        <v>25</v>
      </c>
      <c r="D17" s="50">
        <f>VP!D15</f>
        <v>24000</v>
      </c>
      <c r="E17" s="68"/>
      <c r="F17" s="68"/>
      <c r="G17" s="68"/>
      <c r="H17" s="68"/>
      <c r="I17" s="68">
        <v>0.33</v>
      </c>
      <c r="J17" s="68">
        <v>0.33</v>
      </c>
      <c r="K17" s="68">
        <v>0.34</v>
      </c>
      <c r="L17" s="68"/>
      <c r="M17" s="68"/>
      <c r="N17" s="68"/>
      <c r="O17" s="68"/>
      <c r="P17" s="68"/>
      <c r="Q17" s="68">
        <f t="shared" si="0"/>
        <v>1</v>
      </c>
    </row>
    <row r="18" spans="2:17" x14ac:dyDescent="0.3">
      <c r="B18" s="46">
        <v>6</v>
      </c>
      <c r="C18" s="47" t="s">
        <v>26</v>
      </c>
      <c r="D18" s="50">
        <f>VP!D16</f>
        <v>24000</v>
      </c>
      <c r="E18" s="68"/>
      <c r="F18" s="68"/>
      <c r="G18" s="68"/>
      <c r="H18" s="68"/>
      <c r="I18" s="68">
        <v>0.33</v>
      </c>
      <c r="J18" s="68">
        <v>0.33</v>
      </c>
      <c r="K18" s="68">
        <v>0.34</v>
      </c>
      <c r="L18" s="68"/>
      <c r="M18" s="68"/>
      <c r="N18" s="68"/>
      <c r="O18" s="68"/>
      <c r="P18" s="68"/>
      <c r="Q18" s="68">
        <f t="shared" si="0"/>
        <v>1</v>
      </c>
    </row>
    <row r="19" spans="2:17" x14ac:dyDescent="0.3">
      <c r="B19" s="46">
        <v>7</v>
      </c>
      <c r="C19" s="47" t="s">
        <v>27</v>
      </c>
      <c r="D19" s="50">
        <f>VP!D17</f>
        <v>6000</v>
      </c>
      <c r="E19" s="68"/>
      <c r="F19" s="68"/>
      <c r="G19" s="68"/>
      <c r="H19" s="68"/>
      <c r="I19" s="68">
        <v>0.33</v>
      </c>
      <c r="J19" s="68">
        <v>0.33</v>
      </c>
      <c r="K19" s="68">
        <v>0.34</v>
      </c>
      <c r="L19" s="68"/>
      <c r="M19" s="68"/>
      <c r="N19" s="68"/>
      <c r="O19" s="68"/>
      <c r="P19" s="68"/>
      <c r="Q19" s="68">
        <f t="shared" si="0"/>
        <v>1</v>
      </c>
    </row>
    <row r="20" spans="2:17" x14ac:dyDescent="0.3">
      <c r="B20" s="46">
        <v>8</v>
      </c>
      <c r="C20" s="47" t="s">
        <v>28</v>
      </c>
      <c r="D20" s="50">
        <f>VP!D18</f>
        <v>16000</v>
      </c>
      <c r="E20" s="68"/>
      <c r="F20" s="68"/>
      <c r="G20" s="68"/>
      <c r="H20" s="68"/>
      <c r="I20" s="68">
        <v>0.25</v>
      </c>
      <c r="J20" s="68">
        <v>0.25</v>
      </c>
      <c r="K20" s="68">
        <v>0.25</v>
      </c>
      <c r="L20" s="68">
        <v>0.25</v>
      </c>
      <c r="M20" s="68"/>
      <c r="N20" s="68"/>
      <c r="O20" s="68"/>
      <c r="P20" s="68"/>
      <c r="Q20" s="68">
        <f t="shared" si="0"/>
        <v>1</v>
      </c>
    </row>
    <row r="21" spans="2:17" x14ac:dyDescent="0.3">
      <c r="B21" s="46">
        <v>9</v>
      </c>
      <c r="C21" s="47" t="s">
        <v>29</v>
      </c>
      <c r="D21" s="50">
        <f>VP!D19</f>
        <v>7500</v>
      </c>
      <c r="E21" s="68"/>
      <c r="F21" s="68"/>
      <c r="G21" s="68"/>
      <c r="H21" s="68"/>
      <c r="I21" s="68"/>
      <c r="J21" s="68"/>
      <c r="K21" s="68"/>
      <c r="L21" s="68">
        <v>1</v>
      </c>
      <c r="M21" s="68"/>
      <c r="N21" s="68"/>
      <c r="O21" s="68"/>
      <c r="P21" s="68"/>
      <c r="Q21" s="68">
        <f t="shared" si="0"/>
        <v>1</v>
      </c>
    </row>
    <row r="22" spans="2:17" x14ac:dyDescent="0.3">
      <c r="B22" s="46">
        <v>10</v>
      </c>
      <c r="C22" s="47" t="s">
        <v>30</v>
      </c>
      <c r="D22" s="50">
        <f>VP!D20</f>
        <v>54500</v>
      </c>
      <c r="E22" s="68"/>
      <c r="F22" s="68"/>
      <c r="G22" s="68"/>
      <c r="H22" s="68"/>
      <c r="I22" s="68"/>
      <c r="J22" s="68"/>
      <c r="K22" s="68"/>
      <c r="L22" s="68"/>
      <c r="M22" s="68">
        <v>1</v>
      </c>
      <c r="N22" s="68"/>
      <c r="O22" s="68"/>
      <c r="P22" s="68"/>
      <c r="Q22" s="68">
        <f t="shared" si="0"/>
        <v>1</v>
      </c>
    </row>
    <row r="23" spans="2:17" x14ac:dyDescent="0.3">
      <c r="B23" s="46">
        <v>11</v>
      </c>
      <c r="C23" s="47" t="s">
        <v>31</v>
      </c>
      <c r="D23" s="50">
        <f>VP!D21</f>
        <v>45000</v>
      </c>
      <c r="E23" s="68"/>
      <c r="F23" s="68"/>
      <c r="G23" s="68"/>
      <c r="H23" s="68"/>
      <c r="I23" s="68"/>
      <c r="J23" s="68"/>
      <c r="K23" s="68"/>
      <c r="L23" s="68"/>
      <c r="M23" s="68"/>
      <c r="N23" s="68">
        <v>1</v>
      </c>
      <c r="O23" s="68"/>
      <c r="P23" s="68"/>
      <c r="Q23" s="68">
        <f t="shared" si="0"/>
        <v>1</v>
      </c>
    </row>
    <row r="24" spans="2:17" x14ac:dyDescent="0.3">
      <c r="B24" s="46">
        <v>12</v>
      </c>
      <c r="C24" s="47" t="s">
        <v>339</v>
      </c>
      <c r="D24" s="50">
        <f>VP!D22</f>
        <v>16000</v>
      </c>
      <c r="E24" s="68"/>
      <c r="F24" s="68"/>
      <c r="G24" s="68"/>
      <c r="H24" s="68"/>
      <c r="I24" s="68"/>
      <c r="J24" s="68"/>
      <c r="K24" s="68"/>
      <c r="L24" s="68"/>
      <c r="M24" s="68">
        <v>0.8</v>
      </c>
      <c r="N24" s="68">
        <v>0.2</v>
      </c>
      <c r="O24" s="44"/>
      <c r="P24" s="68"/>
      <c r="Q24" s="68">
        <f t="shared" si="0"/>
        <v>1</v>
      </c>
    </row>
    <row r="25" spans="2:17" x14ac:dyDescent="0.3">
      <c r="B25" s="46">
        <v>13</v>
      </c>
      <c r="C25" s="47" t="s">
        <v>32</v>
      </c>
      <c r="D25" s="50">
        <f>VP!D23</f>
        <v>24000</v>
      </c>
      <c r="E25" s="68"/>
      <c r="F25" s="68"/>
      <c r="G25" s="68"/>
      <c r="H25" s="68"/>
      <c r="I25" s="68"/>
      <c r="J25" s="68"/>
      <c r="K25" s="68"/>
      <c r="L25" s="68"/>
      <c r="M25" s="68"/>
      <c r="N25" s="68">
        <v>1</v>
      </c>
      <c r="O25" s="68"/>
      <c r="P25" s="68"/>
      <c r="Q25" s="68">
        <f t="shared" si="0"/>
        <v>1</v>
      </c>
    </row>
    <row r="26" spans="2:17" x14ac:dyDescent="0.3">
      <c r="B26" s="46">
        <v>14</v>
      </c>
      <c r="C26" s="47" t="s">
        <v>340</v>
      </c>
      <c r="D26" s="50">
        <f>VP!D24</f>
        <v>12000</v>
      </c>
      <c r="E26" s="68"/>
      <c r="F26" s="68"/>
      <c r="G26" s="68"/>
      <c r="H26" s="68"/>
      <c r="I26" s="68"/>
      <c r="J26" s="68"/>
      <c r="K26" s="68"/>
      <c r="L26" s="68"/>
      <c r="M26" s="68"/>
      <c r="N26" s="68">
        <v>1</v>
      </c>
      <c r="O26" s="44"/>
      <c r="P26" s="68"/>
      <c r="Q26" s="68">
        <f t="shared" si="0"/>
        <v>1</v>
      </c>
    </row>
    <row r="27" spans="2:17" x14ac:dyDescent="0.3">
      <c r="B27" s="46">
        <v>15</v>
      </c>
      <c r="C27" s="47" t="s">
        <v>36</v>
      </c>
      <c r="D27" s="50">
        <f>VP!D25</f>
        <v>8000</v>
      </c>
      <c r="E27" s="68"/>
      <c r="F27" s="68"/>
      <c r="G27" s="68"/>
      <c r="H27" s="68"/>
      <c r="I27" s="68"/>
      <c r="J27" s="68"/>
      <c r="K27" s="68"/>
      <c r="L27" s="68"/>
      <c r="M27" s="68"/>
      <c r="N27" s="68"/>
      <c r="O27" s="68">
        <v>0.55000000000000004</v>
      </c>
      <c r="P27" s="68"/>
      <c r="Q27" s="68">
        <f t="shared" si="0"/>
        <v>0.55000000000000004</v>
      </c>
    </row>
    <row r="28" spans="2:17" x14ac:dyDescent="0.3">
      <c r="B28" s="46">
        <v>16</v>
      </c>
      <c r="C28" s="47" t="s">
        <v>33</v>
      </c>
      <c r="D28" s="50">
        <f>VP!D26</f>
        <v>5000</v>
      </c>
      <c r="E28" s="68"/>
      <c r="F28" s="68"/>
      <c r="G28" s="68"/>
      <c r="H28" s="68"/>
      <c r="I28" s="68"/>
      <c r="J28" s="68"/>
      <c r="K28" s="68"/>
      <c r="L28" s="68"/>
      <c r="M28" s="68"/>
      <c r="N28" s="68"/>
      <c r="O28" s="68">
        <v>0.6</v>
      </c>
      <c r="P28" s="68">
        <v>0.2</v>
      </c>
      <c r="Q28" s="68">
        <f t="shared" si="0"/>
        <v>0.8</v>
      </c>
    </row>
    <row r="29" spans="2:17" x14ac:dyDescent="0.3">
      <c r="B29" s="69"/>
      <c r="C29" s="45"/>
      <c r="D29" s="70"/>
      <c r="E29" s="68"/>
      <c r="F29" s="68"/>
      <c r="G29" s="68"/>
      <c r="H29" s="68"/>
      <c r="I29" s="68"/>
      <c r="J29" s="68"/>
      <c r="K29" s="68"/>
      <c r="L29" s="68"/>
      <c r="M29" s="68"/>
      <c r="N29" s="68"/>
      <c r="O29" s="68"/>
      <c r="P29" s="68"/>
      <c r="Q29" s="68"/>
    </row>
    <row r="30" spans="2:17" x14ac:dyDescent="0.3">
      <c r="B30" s="62" t="s">
        <v>381</v>
      </c>
      <c r="C30" s="62"/>
      <c r="D30" s="62"/>
      <c r="E30" s="62"/>
      <c r="F30" s="62"/>
      <c r="G30" s="62"/>
      <c r="H30" s="62"/>
      <c r="I30" s="62"/>
      <c r="J30" s="62"/>
      <c r="K30" s="62"/>
      <c r="L30" s="62"/>
      <c r="M30" s="62"/>
      <c r="N30" s="62"/>
      <c r="O30" s="62"/>
      <c r="P30" s="62"/>
      <c r="Q30" s="62"/>
    </row>
    <row r="31" spans="2:17" x14ac:dyDescent="0.3">
      <c r="B31" s="65"/>
      <c r="C31" s="151" t="s">
        <v>65</v>
      </c>
      <c r="D31" s="152"/>
      <c r="E31" s="59">
        <f>SUMPRODUCT(E13:E30,$D$13:$D$30)</f>
        <v>3000</v>
      </c>
      <c r="F31" s="59">
        <f>SUMPRODUCT(F13:F30,$D$13:$D$30)</f>
        <v>15880</v>
      </c>
      <c r="G31" s="59">
        <f t="shared" ref="G31:P31" si="1">SUMPRODUCT(G13:G30,$D$13:$D$30)</f>
        <v>16880</v>
      </c>
      <c r="H31" s="59">
        <f>SUMPRODUCT(H13:H30,$D$13:$D$30)</f>
        <v>17240</v>
      </c>
      <c r="I31" s="59">
        <f t="shared" si="1"/>
        <v>40660</v>
      </c>
      <c r="J31" s="59">
        <f t="shared" si="1"/>
        <v>37660</v>
      </c>
      <c r="K31" s="59">
        <f t="shared" si="1"/>
        <v>38680.000000000007</v>
      </c>
      <c r="L31" s="59">
        <f t="shared" si="1"/>
        <v>11500</v>
      </c>
      <c r="M31" s="59">
        <f t="shared" si="1"/>
        <v>67300</v>
      </c>
      <c r="N31" s="59">
        <f t="shared" si="1"/>
        <v>84200</v>
      </c>
      <c r="O31" s="59">
        <f t="shared" si="1"/>
        <v>7400</v>
      </c>
      <c r="P31" s="59">
        <f t="shared" si="1"/>
        <v>1000</v>
      </c>
      <c r="Q31" s="74">
        <f>SUM(E31:P31)</f>
        <v>341400</v>
      </c>
    </row>
    <row r="32" spans="2:17" x14ac:dyDescent="0.3">
      <c r="B32" s="65"/>
      <c r="C32" s="153" t="s">
        <v>18</v>
      </c>
      <c r="D32" s="152"/>
      <c r="E32" s="72">
        <f>SUM($E31:E31)</f>
        <v>3000</v>
      </c>
      <c r="F32" s="72">
        <f>SUM($E31:F31)</f>
        <v>18880</v>
      </c>
      <c r="G32" s="72">
        <f>SUM($E31:G31)</f>
        <v>35760</v>
      </c>
      <c r="H32" s="72">
        <f>SUM($E31:H31)</f>
        <v>53000</v>
      </c>
      <c r="I32" s="72">
        <f>SUM($E31:I31)</f>
        <v>93660</v>
      </c>
      <c r="J32" s="72">
        <f>SUM($E31:J31)</f>
        <v>131320</v>
      </c>
      <c r="K32" s="72">
        <f>SUM($E31:K31)</f>
        <v>170000</v>
      </c>
      <c r="L32" s="72">
        <f>SUM($E31:L31)</f>
        <v>181500</v>
      </c>
      <c r="M32" s="72">
        <f>SUM($E31:M31)</f>
        <v>248800</v>
      </c>
      <c r="N32" s="72">
        <f>SUM($E31:N31)</f>
        <v>333000</v>
      </c>
      <c r="O32" s="72">
        <f>SUM($E31:O31)</f>
        <v>340400</v>
      </c>
      <c r="P32" s="72">
        <f>SUM($E31:P31)</f>
        <v>341400</v>
      </c>
      <c r="Q32" s="73"/>
    </row>
  </sheetData>
  <mergeCells count="13">
    <mergeCell ref="B8:Q8"/>
    <mergeCell ref="E2:F2"/>
    <mergeCell ref="H2:I2"/>
    <mergeCell ref="J2:K2"/>
    <mergeCell ref="M2:N2"/>
    <mergeCell ref="O2:P2"/>
    <mergeCell ref="E3:F3"/>
    <mergeCell ref="H3:I3"/>
    <mergeCell ref="J3:K3"/>
    <mergeCell ref="M3:N3"/>
    <mergeCell ref="O3:P3"/>
    <mergeCell ref="M4:N4"/>
    <mergeCell ref="O4:P4"/>
  </mergeCells>
  <pageMargins left="0.5" right="0.5" top="0.25" bottom="0.25" header="0.5" footer="0.25"/>
  <pageSetup scale="93" orientation="landscape" r:id="rId1"/>
  <headerFooter alignWithMargins="0"/>
  <ignoredErrors>
    <ignoredError sqref="F31:P31" formulaRange="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Suivi">
    <tabColor rgb="FF00B050"/>
    <pageSetUpPr fitToPage="1"/>
  </sheetPr>
  <dimension ref="B1:R47"/>
  <sheetViews>
    <sheetView showGridLines="0" tabSelected="1" zoomScaleNormal="100" workbookViewId="0">
      <selection activeCell="F23" sqref="F23"/>
    </sheetView>
  </sheetViews>
  <sheetFormatPr defaultColWidth="9.109375" defaultRowHeight="15.6" x14ac:dyDescent="0.3"/>
  <cols>
    <col min="1" max="1" width="3.33203125" style="2" customWidth="1"/>
    <col min="2" max="2" width="11" style="2" customWidth="1"/>
    <col min="3" max="3" width="30" style="2" customWidth="1"/>
    <col min="4" max="4" width="15.88671875" style="2" customWidth="1"/>
    <col min="5" max="5" width="11.109375" style="2" customWidth="1"/>
    <col min="6" max="6" width="14.88671875" style="2" customWidth="1"/>
    <col min="7" max="7" width="13.5546875" style="2" customWidth="1"/>
    <col min="8" max="8" width="12.6640625" style="2" bestFit="1" customWidth="1"/>
    <col min="9" max="9" width="13.109375" style="2" bestFit="1" customWidth="1"/>
    <col min="10" max="12" width="13.44140625" style="2" bestFit="1" customWidth="1"/>
    <col min="13" max="14" width="13.33203125" style="2" bestFit="1" customWidth="1"/>
    <col min="15" max="16" width="13.44140625" style="2" bestFit="1" customWidth="1"/>
    <col min="17" max="17" width="13.109375" style="2" customWidth="1"/>
    <col min="18" max="18" width="10.88671875" style="2" customWidth="1"/>
    <col min="19" max="257" width="11.44140625" style="2" customWidth="1"/>
    <col min="258" max="16384" width="9.109375" style="2"/>
  </cols>
  <sheetData>
    <row r="1" spans="2:18" s="31" customFormat="1" ht="5.4" customHeight="1" x14ac:dyDescent="0.25"/>
    <row r="2" spans="2:18" customFormat="1" ht="19.95" customHeight="1" x14ac:dyDescent="0.3">
      <c r="D2" s="164" t="s">
        <v>344</v>
      </c>
      <c r="E2" s="164"/>
      <c r="F2" s="86" t="s">
        <v>345</v>
      </c>
      <c r="G2" s="86"/>
      <c r="H2" s="163" t="s">
        <v>346</v>
      </c>
      <c r="I2" s="164"/>
      <c r="J2" s="165" t="s">
        <v>347</v>
      </c>
      <c r="K2" s="165"/>
      <c r="L2" s="2"/>
      <c r="M2" s="166" t="s">
        <v>348</v>
      </c>
      <c r="N2" s="166"/>
      <c r="O2" s="167">
        <v>44893</v>
      </c>
      <c r="P2" s="167"/>
    </row>
    <row r="3" spans="2:18" customFormat="1" ht="19.95" customHeight="1" x14ac:dyDescent="0.3">
      <c r="D3" s="171" t="s">
        <v>349</v>
      </c>
      <c r="E3" s="171"/>
      <c r="F3" s="85" t="s">
        <v>356</v>
      </c>
      <c r="G3" s="85"/>
      <c r="H3" s="170" t="s">
        <v>350</v>
      </c>
      <c r="I3" s="171"/>
      <c r="J3" s="172" t="s">
        <v>351</v>
      </c>
      <c r="K3" s="172"/>
      <c r="L3" s="2"/>
      <c r="M3" s="166" t="s">
        <v>352</v>
      </c>
      <c r="N3" s="166"/>
      <c r="O3" s="167"/>
      <c r="P3" s="167"/>
    </row>
    <row r="4" spans="2:18" customFormat="1" ht="19.95" customHeight="1" thickBot="1" x14ac:dyDescent="0.35">
      <c r="K4" s="2"/>
      <c r="L4" s="2"/>
      <c r="M4" s="168" t="s">
        <v>353</v>
      </c>
      <c r="N4" s="168"/>
      <c r="O4" s="169" t="s">
        <v>354</v>
      </c>
      <c r="P4" s="169"/>
    </row>
    <row r="5" spans="2:18" customFormat="1" ht="28.2" customHeight="1" thickTop="1" thickBot="1" x14ac:dyDescent="0.3">
      <c r="B5" s="33" t="s">
        <v>359</v>
      </c>
      <c r="C5" s="33"/>
      <c r="D5" s="33"/>
      <c r="E5" s="33"/>
      <c r="F5" s="34"/>
      <c r="G5" s="33"/>
      <c r="H5" s="33"/>
      <c r="I5" s="33"/>
      <c r="J5" s="33"/>
      <c r="K5" s="33"/>
      <c r="L5" s="33"/>
      <c r="M5" s="33"/>
      <c r="N5" s="33"/>
      <c r="O5" s="33"/>
      <c r="P5" s="33"/>
    </row>
    <row r="6" spans="2:18" ht="16.2" thickTop="1" x14ac:dyDescent="0.3">
      <c r="B6" s="55"/>
      <c r="C6" s="40"/>
      <c r="D6" s="40"/>
      <c r="E6" s="40"/>
      <c r="F6" s="40"/>
      <c r="G6" s="40"/>
      <c r="H6" s="40"/>
      <c r="I6" s="40"/>
      <c r="J6" s="40"/>
      <c r="L6" s="40"/>
      <c r="M6" s="40"/>
      <c r="N6" s="40"/>
      <c r="O6" s="40"/>
      <c r="P6" s="40"/>
    </row>
    <row r="7" spans="2:18" x14ac:dyDescent="0.3">
      <c r="B7" s="65" t="s">
        <v>17</v>
      </c>
      <c r="C7" s="65"/>
      <c r="D7" s="65"/>
      <c r="E7" s="65"/>
      <c r="F7" s="65"/>
      <c r="G7" s="40"/>
      <c r="H7" s="40"/>
      <c r="I7" s="40"/>
      <c r="J7" s="40"/>
      <c r="L7" s="40"/>
      <c r="M7" s="40"/>
      <c r="N7" s="40"/>
      <c r="O7" s="40"/>
      <c r="P7" s="40"/>
      <c r="R7" s="4"/>
    </row>
    <row r="8" spans="2:18" x14ac:dyDescent="0.3">
      <c r="B8" s="65"/>
      <c r="C8" s="71" t="s">
        <v>16</v>
      </c>
      <c r="D8" s="145" t="s">
        <v>39</v>
      </c>
      <c r="E8" s="145"/>
      <c r="F8" s="145"/>
      <c r="G8" s="40"/>
      <c r="H8" s="40"/>
      <c r="I8" s="40"/>
      <c r="J8" s="40"/>
      <c r="K8" s="40"/>
      <c r="L8" s="40"/>
      <c r="M8" s="40"/>
      <c r="N8" s="40"/>
      <c r="O8" s="40"/>
      <c r="P8" s="40"/>
      <c r="R8" s="5"/>
    </row>
    <row r="9" spans="2:18" x14ac:dyDescent="0.3">
      <c r="B9" s="65"/>
      <c r="C9" s="71" t="s">
        <v>15</v>
      </c>
      <c r="D9" s="182">
        <v>44596</v>
      </c>
      <c r="E9" s="183"/>
      <c r="F9" s="65"/>
      <c r="G9" s="40"/>
      <c r="H9" s="40"/>
      <c r="I9" s="40"/>
      <c r="J9" s="40"/>
      <c r="K9" s="40"/>
      <c r="L9" s="40"/>
      <c r="M9" s="40"/>
      <c r="N9" s="40"/>
      <c r="O9" s="40"/>
      <c r="P9" s="40"/>
    </row>
    <row r="10" spans="2:18" x14ac:dyDescent="0.3">
      <c r="B10" s="65"/>
      <c r="C10" s="65"/>
      <c r="D10" s="71" t="s">
        <v>14</v>
      </c>
      <c r="E10" s="65"/>
      <c r="F10" s="65"/>
      <c r="G10" s="40"/>
      <c r="H10" s="40"/>
      <c r="I10" s="40"/>
      <c r="J10" s="40"/>
      <c r="K10" s="40"/>
      <c r="L10" s="40"/>
      <c r="M10" s="40"/>
      <c r="N10" s="40"/>
      <c r="O10" s="40"/>
      <c r="P10" s="40"/>
    </row>
    <row r="11" spans="2:18" x14ac:dyDescent="0.3">
      <c r="B11" s="65"/>
      <c r="C11" s="71" t="s">
        <v>13</v>
      </c>
      <c r="D11" s="187">
        <v>44562</v>
      </c>
      <c r="E11" s="188"/>
      <c r="F11" s="65"/>
      <c r="G11" s="40"/>
      <c r="H11" s="40"/>
      <c r="I11" s="40"/>
      <c r="J11" s="40"/>
      <c r="K11" s="40"/>
      <c r="L11" s="40"/>
      <c r="M11" s="40"/>
      <c r="N11" s="40"/>
      <c r="O11" s="40"/>
      <c r="P11" s="40"/>
    </row>
    <row r="12" spans="2:18" x14ac:dyDescent="0.3">
      <c r="B12" s="65"/>
      <c r="C12" s="65"/>
      <c r="D12" s="71"/>
      <c r="E12" s="65"/>
      <c r="F12" s="65"/>
      <c r="G12" s="40"/>
      <c r="H12" s="40"/>
      <c r="I12" s="40"/>
      <c r="J12" s="40"/>
      <c r="K12" s="40"/>
      <c r="L12" s="40"/>
      <c r="M12" s="40"/>
      <c r="N12" s="40"/>
      <c r="O12" s="40"/>
      <c r="P12" s="40"/>
    </row>
    <row r="13" spans="2:18" x14ac:dyDescent="0.3">
      <c r="B13" s="76" t="s">
        <v>12</v>
      </c>
      <c r="C13" s="71"/>
      <c r="D13" s="71"/>
      <c r="E13" s="65"/>
      <c r="F13" s="65"/>
      <c r="G13" s="40"/>
      <c r="H13" s="40"/>
      <c r="I13" s="40"/>
      <c r="J13" s="40"/>
      <c r="K13" s="40"/>
      <c r="L13" s="40"/>
      <c r="M13" s="40"/>
      <c r="N13" s="40"/>
      <c r="O13" s="40"/>
      <c r="P13" s="40"/>
    </row>
    <row r="14" spans="2:18" x14ac:dyDescent="0.3">
      <c r="B14" s="65"/>
      <c r="C14" s="186" t="s">
        <v>338</v>
      </c>
      <c r="D14" s="186"/>
      <c r="E14" s="186"/>
      <c r="F14" s="186"/>
      <c r="G14" s="40"/>
      <c r="H14" s="40"/>
      <c r="I14" s="40"/>
      <c r="J14" s="40"/>
      <c r="K14" s="40"/>
      <c r="L14" s="40"/>
      <c r="M14" s="40"/>
      <c r="N14" s="40"/>
      <c r="O14" s="40"/>
      <c r="P14" s="40"/>
    </row>
    <row r="15" spans="2:18" x14ac:dyDescent="0.3">
      <c r="B15" s="65"/>
      <c r="C15" s="186"/>
      <c r="D15" s="186"/>
      <c r="E15" s="186"/>
      <c r="F15" s="186"/>
      <c r="G15" s="40"/>
      <c r="H15" s="40"/>
      <c r="I15" s="40"/>
      <c r="J15" s="40"/>
      <c r="K15" s="40"/>
      <c r="L15" s="40"/>
      <c r="M15" s="40"/>
      <c r="N15" s="40"/>
      <c r="O15" s="40"/>
      <c r="P15" s="40"/>
    </row>
    <row r="16" spans="2:18" x14ac:dyDescent="0.3">
      <c r="B16" s="65"/>
      <c r="C16" s="186"/>
      <c r="D16" s="186"/>
      <c r="E16" s="186"/>
      <c r="F16" s="186"/>
      <c r="G16" s="40"/>
      <c r="H16" s="40"/>
      <c r="I16" s="40"/>
      <c r="J16" s="40"/>
      <c r="K16" s="40"/>
      <c r="L16" s="40"/>
      <c r="M16" s="40"/>
      <c r="N16" s="40"/>
      <c r="O16" s="40"/>
    </row>
    <row r="17" spans="2:16" x14ac:dyDescent="0.3">
      <c r="B17" s="65"/>
      <c r="C17" s="186"/>
      <c r="D17" s="186"/>
      <c r="E17" s="186"/>
      <c r="F17" s="186"/>
      <c r="G17" s="40"/>
      <c r="H17" s="40"/>
      <c r="I17" s="40"/>
      <c r="J17" s="40"/>
      <c r="K17" s="40"/>
      <c r="L17" s="40"/>
      <c r="M17" s="40"/>
      <c r="N17" s="40"/>
      <c r="O17" s="40"/>
    </row>
    <row r="18" spans="2:16" x14ac:dyDescent="0.3">
      <c r="B18" s="65"/>
      <c r="C18" s="186"/>
      <c r="D18" s="186"/>
      <c r="E18" s="186"/>
      <c r="F18" s="186"/>
      <c r="G18" s="40"/>
      <c r="H18" s="40"/>
      <c r="I18" s="40"/>
      <c r="J18" s="40"/>
      <c r="K18" s="40"/>
      <c r="L18" s="40"/>
      <c r="M18" s="40"/>
      <c r="N18" s="40"/>
      <c r="O18" s="40"/>
    </row>
    <row r="19" spans="2:16" x14ac:dyDescent="0.3">
      <c r="B19" s="65"/>
      <c r="C19" s="186"/>
      <c r="D19" s="186"/>
      <c r="E19" s="186"/>
      <c r="F19" s="186"/>
      <c r="G19" s="40"/>
      <c r="H19" s="40"/>
      <c r="I19" s="40"/>
      <c r="J19" s="40"/>
      <c r="K19" s="40"/>
      <c r="L19" s="40"/>
      <c r="M19" s="40"/>
      <c r="N19" s="40"/>
      <c r="O19" s="40"/>
      <c r="P19" s="40"/>
    </row>
    <row r="20" spans="2:16" x14ac:dyDescent="0.3">
      <c r="B20" s="65"/>
      <c r="C20" s="186"/>
      <c r="D20" s="186"/>
      <c r="E20" s="186"/>
      <c r="F20" s="186"/>
      <c r="G20" s="40"/>
      <c r="H20" s="40"/>
      <c r="I20" s="40"/>
      <c r="J20" s="40"/>
      <c r="K20" s="40"/>
      <c r="L20" s="40"/>
      <c r="M20" s="40"/>
      <c r="N20" s="40"/>
      <c r="O20" s="40"/>
      <c r="P20" s="40"/>
    </row>
    <row r="21" spans="2:16" x14ac:dyDescent="0.3">
      <c r="B21" s="65"/>
      <c r="C21" s="186"/>
      <c r="D21" s="186"/>
      <c r="E21" s="186"/>
      <c r="F21" s="186"/>
      <c r="G21" s="40"/>
      <c r="H21" s="40"/>
      <c r="I21" s="40"/>
      <c r="J21" s="40"/>
      <c r="K21" s="40"/>
      <c r="L21" s="40"/>
      <c r="M21" s="40"/>
      <c r="N21" s="40"/>
      <c r="O21" s="40"/>
    </row>
    <row r="22" spans="2:16" x14ac:dyDescent="0.3">
      <c r="B22" s="65"/>
      <c r="C22" s="186"/>
      <c r="D22" s="186"/>
      <c r="E22" s="186"/>
      <c r="F22" s="186"/>
      <c r="G22" s="40"/>
      <c r="H22" s="40"/>
      <c r="I22" s="40"/>
      <c r="J22" s="40"/>
      <c r="K22" s="40"/>
      <c r="L22" s="40"/>
      <c r="M22" s="40"/>
      <c r="N22" s="40"/>
      <c r="O22" s="40"/>
      <c r="P22" s="40"/>
    </row>
    <row r="23" spans="2:16" x14ac:dyDescent="0.3">
      <c r="B23" s="40"/>
      <c r="C23" s="40"/>
      <c r="D23" s="75"/>
      <c r="E23" s="40"/>
      <c r="F23" s="40"/>
      <c r="G23" s="64" t="s">
        <v>360</v>
      </c>
      <c r="I23" s="40"/>
      <c r="K23" s="40" t="s">
        <v>20</v>
      </c>
      <c r="L23" s="40"/>
      <c r="N23" s="40" t="s">
        <v>19</v>
      </c>
      <c r="P23" s="40"/>
    </row>
    <row r="24" spans="2:16" x14ac:dyDescent="0.3">
      <c r="B24" s="55"/>
      <c r="C24" s="40"/>
      <c r="D24" s="40"/>
      <c r="E24" s="56"/>
      <c r="F24" s="40"/>
      <c r="G24" s="40"/>
      <c r="H24" s="40"/>
      <c r="I24" s="40"/>
      <c r="J24" s="40"/>
      <c r="K24" s="40"/>
      <c r="L24" s="40"/>
      <c r="M24" s="40"/>
      <c r="N24" s="40"/>
      <c r="O24" s="40"/>
      <c r="P24" s="40"/>
    </row>
    <row r="25" spans="2:16" x14ac:dyDescent="0.3">
      <c r="B25" s="66"/>
      <c r="C25" s="66"/>
      <c r="D25" s="66"/>
      <c r="E25" s="67">
        <v>44621</v>
      </c>
      <c r="F25" s="67">
        <v>44652</v>
      </c>
      <c r="G25" s="67">
        <v>44682</v>
      </c>
      <c r="H25" s="67">
        <v>44713</v>
      </c>
      <c r="I25" s="67">
        <v>44743</v>
      </c>
      <c r="J25" s="67">
        <v>44774</v>
      </c>
      <c r="K25" s="67">
        <v>44805</v>
      </c>
      <c r="L25" s="67">
        <v>44835</v>
      </c>
      <c r="M25" s="67">
        <v>44866</v>
      </c>
      <c r="N25" s="67">
        <v>44896</v>
      </c>
      <c r="O25" s="67">
        <v>44927</v>
      </c>
      <c r="P25" s="67">
        <v>44958</v>
      </c>
    </row>
    <row r="26" spans="2:16" x14ac:dyDescent="0.3">
      <c r="B26" s="76" t="s">
        <v>67</v>
      </c>
      <c r="C26" s="65"/>
      <c r="D26" s="65"/>
      <c r="E26" s="65"/>
      <c r="F26" s="65"/>
      <c r="G26" s="65"/>
      <c r="H26" s="65"/>
      <c r="I26" s="65"/>
      <c r="J26" s="65"/>
      <c r="K26" s="65"/>
      <c r="L26" s="65"/>
      <c r="M26" s="65"/>
      <c r="N26" s="65"/>
      <c r="O26" s="65"/>
      <c r="P26" s="65"/>
    </row>
    <row r="27" spans="2:16" x14ac:dyDescent="0.3">
      <c r="B27" s="65"/>
      <c r="C27" s="184" t="s">
        <v>6</v>
      </c>
      <c r="D27" s="185"/>
      <c r="E27" s="77">
        <f>CR!E31</f>
        <v>4000</v>
      </c>
      <c r="F27" s="77">
        <f>CR!F31</f>
        <v>22000</v>
      </c>
      <c r="G27" s="77">
        <f>CR!G31</f>
        <v>39000</v>
      </c>
      <c r="H27" s="77">
        <f>CR!H31</f>
        <v>55500</v>
      </c>
      <c r="I27" s="77">
        <f>CR!I31</f>
        <v>93500</v>
      </c>
      <c r="J27" s="77">
        <f>CR!J31</f>
        <v>131500</v>
      </c>
      <c r="K27" s="77">
        <f>CR!K31</f>
        <v>169500</v>
      </c>
      <c r="L27" s="77">
        <f>CR!L31</f>
        <v>181000</v>
      </c>
      <c r="M27" s="77">
        <f>CR!M31</f>
        <v>261000</v>
      </c>
      <c r="N27" s="77">
        <f>CR!N31</f>
        <v>335000</v>
      </c>
      <c r="O27" s="77">
        <f>CR!O31</f>
        <v>355000</v>
      </c>
      <c r="P27" s="77">
        <f>CR!P31</f>
        <v>357000</v>
      </c>
    </row>
    <row r="28" spans="2:16" x14ac:dyDescent="0.3">
      <c r="B28" s="65"/>
      <c r="C28" s="184" t="s">
        <v>5</v>
      </c>
      <c r="D28" s="185"/>
      <c r="E28" s="77">
        <f>VA!E32</f>
        <v>3000</v>
      </c>
      <c r="F28" s="77">
        <f>VA!F32</f>
        <v>18880</v>
      </c>
      <c r="G28" s="77">
        <f>VA!G32</f>
        <v>35760</v>
      </c>
      <c r="H28" s="77">
        <f>VA!H32</f>
        <v>53000</v>
      </c>
      <c r="I28" s="77">
        <f>VA!I32</f>
        <v>93660</v>
      </c>
      <c r="J28" s="77">
        <f>VA!J32</f>
        <v>131320</v>
      </c>
      <c r="K28" s="77">
        <f>VA!K32</f>
        <v>170000</v>
      </c>
      <c r="L28" s="77">
        <f>VA!L32</f>
        <v>181500</v>
      </c>
      <c r="M28" s="77">
        <f>VA!M32</f>
        <v>248800</v>
      </c>
      <c r="N28" s="77">
        <f>VA!N32</f>
        <v>333000</v>
      </c>
      <c r="O28" s="77">
        <f>VA!O32</f>
        <v>340400</v>
      </c>
      <c r="P28" s="77">
        <f>VA!P32</f>
        <v>341400</v>
      </c>
    </row>
    <row r="29" spans="2:16" x14ac:dyDescent="0.3">
      <c r="B29" s="65"/>
      <c r="C29" s="184" t="s">
        <v>66</v>
      </c>
      <c r="D29" s="185"/>
      <c r="E29" s="77">
        <f>IF(ISBLANK(E25),NA(),VP!E30)</f>
        <v>5000</v>
      </c>
      <c r="F29" s="77">
        <f>VP!F30</f>
        <v>22000</v>
      </c>
      <c r="G29" s="77">
        <f>VP!G30</f>
        <v>39000</v>
      </c>
      <c r="H29" s="77">
        <f>VP!H30</f>
        <v>56000</v>
      </c>
      <c r="I29" s="77">
        <f>VP!I30</f>
        <v>94000</v>
      </c>
      <c r="J29" s="77">
        <f>VP!J30</f>
        <v>132000</v>
      </c>
      <c r="K29" s="77">
        <f>VP!K30</f>
        <v>170000</v>
      </c>
      <c r="L29" s="77">
        <f>VP!L30</f>
        <v>181500</v>
      </c>
      <c r="M29" s="77">
        <f>VP!M30</f>
        <v>252000</v>
      </c>
      <c r="N29" s="77">
        <f>VP!N30</f>
        <v>321000</v>
      </c>
      <c r="O29" s="77">
        <f>VP!O30</f>
        <v>344000</v>
      </c>
      <c r="P29" s="77">
        <f>VP!P30</f>
        <v>346000</v>
      </c>
    </row>
    <row r="30" spans="2:16" x14ac:dyDescent="0.3">
      <c r="B30" s="65"/>
      <c r="C30" s="184" t="s">
        <v>543</v>
      </c>
      <c r="D30" s="185"/>
      <c r="E30" s="78">
        <f>VP!D29</f>
        <v>346000</v>
      </c>
      <c r="F30" s="79"/>
      <c r="G30" s="79"/>
      <c r="H30" s="79"/>
      <c r="I30" s="79"/>
      <c r="J30" s="79"/>
      <c r="K30" s="79"/>
      <c r="L30" s="79"/>
      <c r="M30" s="79"/>
      <c r="N30" s="79"/>
      <c r="O30" s="79"/>
      <c r="P30" s="79"/>
    </row>
    <row r="31" spans="2:16" ht="10.199999999999999" customHeight="1" x14ac:dyDescent="0.3">
      <c r="B31" s="40"/>
      <c r="C31" s="40"/>
      <c r="D31" s="40"/>
      <c r="E31" s="40"/>
      <c r="F31" s="40"/>
      <c r="G31" s="40"/>
      <c r="H31" s="40"/>
      <c r="I31" s="40"/>
      <c r="J31" s="40"/>
      <c r="K31" s="40"/>
      <c r="L31" s="40"/>
      <c r="M31" s="40"/>
      <c r="N31" s="40"/>
      <c r="O31" s="40"/>
      <c r="P31" s="40"/>
    </row>
    <row r="32" spans="2:16" x14ac:dyDescent="0.3">
      <c r="B32" s="76" t="s">
        <v>4</v>
      </c>
      <c r="C32" s="65"/>
      <c r="D32" s="65"/>
      <c r="E32" s="40"/>
      <c r="F32" s="40"/>
      <c r="G32" s="40"/>
      <c r="H32" s="40"/>
      <c r="I32" s="40"/>
      <c r="J32" s="40"/>
      <c r="K32" s="40"/>
      <c r="L32" s="40"/>
      <c r="M32" s="40"/>
      <c r="N32" s="40"/>
      <c r="O32" s="40"/>
      <c r="P32" s="40"/>
    </row>
    <row r="33" spans="2:16" x14ac:dyDescent="0.3">
      <c r="B33" s="65"/>
      <c r="C33" s="184" t="s">
        <v>3</v>
      </c>
      <c r="D33" s="185"/>
      <c r="E33" s="80">
        <f>IF(AND(ISBLANK(E27),ISBLANK(E28))," - ",E28-E27)</f>
        <v>-1000</v>
      </c>
      <c r="F33" s="80">
        <f t="shared" ref="F33:P33" si="0">IF(AND(ISBLANK(F27),ISBLANK(F28))," - ",F28-F27)</f>
        <v>-3120</v>
      </c>
      <c r="G33" s="80">
        <f t="shared" si="0"/>
        <v>-3240</v>
      </c>
      <c r="H33" s="80">
        <f t="shared" si="0"/>
        <v>-2500</v>
      </c>
      <c r="I33" s="80">
        <f t="shared" si="0"/>
        <v>160</v>
      </c>
      <c r="J33" s="80">
        <f t="shared" si="0"/>
        <v>-180</v>
      </c>
      <c r="K33" s="80">
        <f t="shared" si="0"/>
        <v>500</v>
      </c>
      <c r="L33" s="80">
        <f>IF(AND(ISBLANK(L27),ISBLANK(L28))," - ",L28-L27)</f>
        <v>500</v>
      </c>
      <c r="M33" s="80">
        <f>IF(AND(ISBLANK(M27),ISBLANK(M28))," - ",M28-M27)</f>
        <v>-12200</v>
      </c>
      <c r="N33" s="80">
        <f t="shared" si="0"/>
        <v>-2000</v>
      </c>
      <c r="O33" s="80">
        <f t="shared" si="0"/>
        <v>-14600</v>
      </c>
      <c r="P33" s="80">
        <f t="shared" si="0"/>
        <v>-15600</v>
      </c>
    </row>
    <row r="34" spans="2:16" x14ac:dyDescent="0.3">
      <c r="B34" s="65"/>
      <c r="C34" s="184" t="s">
        <v>2</v>
      </c>
      <c r="D34" s="185"/>
      <c r="E34" s="80">
        <f t="shared" ref="E34:P34" si="1">IF(AND(ISBLANK(E27),ISBLANK(E28))," - ",E28-E29)</f>
        <v>-2000</v>
      </c>
      <c r="F34" s="80">
        <f t="shared" si="1"/>
        <v>-3120</v>
      </c>
      <c r="G34" s="80">
        <f t="shared" si="1"/>
        <v>-3240</v>
      </c>
      <c r="H34" s="80">
        <f t="shared" si="1"/>
        <v>-3000</v>
      </c>
      <c r="I34" s="80">
        <f t="shared" si="1"/>
        <v>-340</v>
      </c>
      <c r="J34" s="80">
        <f t="shared" si="1"/>
        <v>-680</v>
      </c>
      <c r="K34" s="80">
        <f t="shared" si="1"/>
        <v>0</v>
      </c>
      <c r="L34" s="80">
        <f t="shared" si="1"/>
        <v>0</v>
      </c>
      <c r="M34" s="80">
        <f t="shared" si="1"/>
        <v>-3200</v>
      </c>
      <c r="N34" s="80">
        <f t="shared" si="1"/>
        <v>12000</v>
      </c>
      <c r="O34" s="80">
        <f t="shared" si="1"/>
        <v>-3600</v>
      </c>
      <c r="P34" s="80">
        <f t="shared" si="1"/>
        <v>-4600</v>
      </c>
    </row>
    <row r="35" spans="2:16" x14ac:dyDescent="0.3">
      <c r="B35" s="65"/>
      <c r="C35" s="184" t="s">
        <v>1</v>
      </c>
      <c r="D35" s="185"/>
      <c r="E35" s="81">
        <f>IF(AND(ISBLANK(E27),ISBLANK(E28))," - ",E28/E27)</f>
        <v>0.75</v>
      </c>
      <c r="F35" s="81">
        <f t="shared" ref="F35:N35" si="2">IF(AND(ISBLANK(F27),ISBLANK(F28))," - ",F28/F27)</f>
        <v>0.85818181818181816</v>
      </c>
      <c r="G35" s="81">
        <f t="shared" si="2"/>
        <v>0.91692307692307695</v>
      </c>
      <c r="H35" s="81">
        <f t="shared" si="2"/>
        <v>0.95495495495495497</v>
      </c>
      <c r="I35" s="81">
        <f t="shared" si="2"/>
        <v>1.0017112299465241</v>
      </c>
      <c r="J35" s="81">
        <f t="shared" si="2"/>
        <v>0.99863117870722429</v>
      </c>
      <c r="K35" s="81">
        <f t="shared" si="2"/>
        <v>1.0029498525073746</v>
      </c>
      <c r="L35" s="81">
        <f t="shared" si="2"/>
        <v>1.0027624309392265</v>
      </c>
      <c r="M35" s="81">
        <f t="shared" si="2"/>
        <v>0.95325670498084292</v>
      </c>
      <c r="N35" s="81">
        <f t="shared" si="2"/>
        <v>0.99402985074626871</v>
      </c>
      <c r="O35" s="81">
        <f>IF(AND(ISBLANK(O27),ISBLANK(O28))," - ",O28/O27)</f>
        <v>0.95887323943661973</v>
      </c>
      <c r="P35" s="81">
        <f>IF(AND(ISBLANK(P27),ISBLANK(P28))," - ",P28/P27)</f>
        <v>0.95630252100840341</v>
      </c>
    </row>
    <row r="36" spans="2:16" x14ac:dyDescent="0.3">
      <c r="B36" s="65"/>
      <c r="C36" s="184" t="s">
        <v>38</v>
      </c>
      <c r="D36" s="185"/>
      <c r="E36" s="81">
        <f>IF(AND(ISBLANK(E27),ISBLANK(E28))," - ",E28/E29)</f>
        <v>0.6</v>
      </c>
      <c r="F36" s="81">
        <f>IF(AND(ISBLANK(F27),ISBLANK(F28))," - ",F28/F29)</f>
        <v>0.85818181818181816</v>
      </c>
      <c r="G36" s="81">
        <f>IF(AND(ISBLANK(G27),ISBLANK(G28))," - ",G28/G29)</f>
        <v>0.91692307692307695</v>
      </c>
      <c r="H36" s="81">
        <f>IF(AND(ISBLANK(H27),ISBLANK(H28))," - ",H28/H29)</f>
        <v>0.9464285714285714</v>
      </c>
      <c r="I36" s="81">
        <f t="shared" ref="I36:P36" si="3">IF(AND(ISBLANK(I27),ISBLANK(I28))," - ",I28/I29)</f>
        <v>0.9963829787234042</v>
      </c>
      <c r="J36" s="81">
        <f t="shared" si="3"/>
        <v>0.99484848484848487</v>
      </c>
      <c r="K36" s="81">
        <f t="shared" si="3"/>
        <v>1</v>
      </c>
      <c r="L36" s="81">
        <f t="shared" si="3"/>
        <v>1</v>
      </c>
      <c r="M36" s="81">
        <f t="shared" si="3"/>
        <v>0.98730158730158735</v>
      </c>
      <c r="N36" s="81">
        <f t="shared" si="3"/>
        <v>1.0373831775700935</v>
      </c>
      <c r="O36" s="81">
        <f t="shared" si="3"/>
        <v>0.98953488372093024</v>
      </c>
      <c r="P36" s="81">
        <f t="shared" si="3"/>
        <v>0.98670520231213876</v>
      </c>
    </row>
    <row r="37" spans="2:16" x14ac:dyDescent="0.3">
      <c r="B37" s="65"/>
      <c r="C37" s="184" t="s">
        <v>0</v>
      </c>
      <c r="D37" s="185"/>
      <c r="E37" s="82">
        <f>IF(AND(ISBLANK(E27),ISBLANK(E28))," - ",E30/E35)</f>
        <v>461333.33333333331</v>
      </c>
      <c r="F37" s="82">
        <f>IF(AND(ISBLANK(F27),ISBLANK(F28))," - ",E30/F35)</f>
        <v>403177.96610169491</v>
      </c>
      <c r="G37" s="82">
        <f>IF(AND(ISBLANK(G27),ISBLANK(G28))," - ",E30/G35)</f>
        <v>377348.99328859057</v>
      </c>
      <c r="H37" s="82">
        <f>IF(AND(ISBLANK(H27),ISBLANK(H28))," - ",E30/H35)</f>
        <v>362320.75471698114</v>
      </c>
      <c r="I37" s="82">
        <f>IF(AND(ISBLANK(I27),ISBLANK(I28))," - ",E30/I35)</f>
        <v>345408.92590219947</v>
      </c>
      <c r="J37" s="82">
        <f>IF(AND(ISBLANK(J27),ISBLANK(J28))," - ",E30/J35)</f>
        <v>346474.26134632959</v>
      </c>
      <c r="K37" s="82">
        <f>IF(AND(ISBLANK(K27),ISBLANK(K28))," - ",E30/K35)</f>
        <v>344982.3529411765</v>
      </c>
      <c r="L37" s="82">
        <f>IF(AND(ISBLANK(L27),ISBLANK(L28))," - ",E30/L35)</f>
        <v>345046.83195592288</v>
      </c>
      <c r="M37" s="82">
        <f>IF(AND(ISBLANK(M27),ISBLANK(M28))," - ",E30/M35)</f>
        <v>362966.23794212216</v>
      </c>
      <c r="N37" s="82">
        <f>IF(AND(ISBLANK(N27),ISBLANK(N28))," - ",E30/N35)</f>
        <v>348078.07807807805</v>
      </c>
      <c r="O37" s="82">
        <f>IF(AND(ISBLANK(O27),ISBLANK(O28))," - ",E30/O35)</f>
        <v>360840.18801410106</v>
      </c>
      <c r="P37" s="82">
        <f>IF(AND(ISBLANK(P27),ISBLANK(P28))," - ",E30/P35)</f>
        <v>361810.19332161685</v>
      </c>
    </row>
    <row r="38" spans="2:16" x14ac:dyDescent="0.3">
      <c r="B38" s="65"/>
      <c r="C38" s="65"/>
      <c r="D38" s="65"/>
      <c r="E38" s="40"/>
      <c r="F38" s="40"/>
      <c r="G38" s="40"/>
      <c r="H38" s="40"/>
      <c r="I38" s="40"/>
      <c r="J38" s="40"/>
      <c r="K38" s="40"/>
      <c r="L38" s="40"/>
      <c r="M38" s="40"/>
      <c r="N38" s="40"/>
      <c r="O38" s="40"/>
      <c r="P38" s="40"/>
    </row>
    <row r="39" spans="2:16" x14ac:dyDescent="0.3">
      <c r="B39" s="65"/>
      <c r="C39" s="65" t="s">
        <v>68</v>
      </c>
      <c r="D39" s="65"/>
      <c r="E39" s="40"/>
      <c r="F39" s="40"/>
      <c r="G39" s="40"/>
      <c r="H39" s="40"/>
      <c r="I39" s="40"/>
      <c r="J39" s="40"/>
      <c r="K39" s="40"/>
      <c r="L39" s="40"/>
      <c r="M39" s="40"/>
      <c r="N39" s="40"/>
      <c r="O39" s="40"/>
      <c r="P39" s="40"/>
    </row>
    <row r="40" spans="2:16" x14ac:dyDescent="0.3">
      <c r="B40" s="65"/>
      <c r="C40" s="65" t="s">
        <v>69</v>
      </c>
      <c r="D40" s="65"/>
      <c r="E40" s="40"/>
      <c r="F40" s="40"/>
      <c r="G40" s="40"/>
      <c r="H40" s="40"/>
      <c r="I40" s="40"/>
      <c r="J40" s="40"/>
      <c r="K40" s="40"/>
      <c r="L40" s="40"/>
      <c r="M40" s="40"/>
      <c r="N40" s="40"/>
      <c r="O40" s="40"/>
      <c r="P40" s="40"/>
    </row>
    <row r="41" spans="2:16" x14ac:dyDescent="0.3">
      <c r="B41" s="65"/>
      <c r="C41" s="65"/>
      <c r="D41" s="65"/>
      <c r="E41" s="40"/>
      <c r="F41" s="40"/>
      <c r="G41" s="40"/>
      <c r="H41" s="40"/>
      <c r="I41" s="40"/>
      <c r="J41" s="40"/>
      <c r="K41" s="40"/>
      <c r="L41" s="40"/>
      <c r="M41" s="40"/>
      <c r="N41" s="40"/>
      <c r="O41" s="40"/>
      <c r="P41" s="40"/>
    </row>
    <row r="42" spans="2:16" x14ac:dyDescent="0.3">
      <c r="B42" s="65"/>
      <c r="C42" s="65"/>
      <c r="D42" s="65"/>
      <c r="E42" s="40"/>
      <c r="F42" s="40"/>
      <c r="G42" s="40"/>
      <c r="H42" s="40"/>
      <c r="I42" s="40"/>
      <c r="J42" s="40"/>
      <c r="K42" s="40"/>
      <c r="L42" s="40"/>
      <c r="M42" s="40"/>
      <c r="N42" s="40"/>
      <c r="O42" s="40"/>
      <c r="P42" s="40"/>
    </row>
    <row r="43" spans="2:16" x14ac:dyDescent="0.3">
      <c r="B43" s="40"/>
      <c r="C43" s="40"/>
      <c r="D43" s="40"/>
      <c r="E43" s="40"/>
      <c r="F43" s="40"/>
      <c r="G43" s="40"/>
      <c r="H43" s="40"/>
      <c r="I43" s="40"/>
      <c r="J43" s="40"/>
      <c r="K43" s="40"/>
      <c r="L43" s="40"/>
      <c r="M43" s="40"/>
      <c r="N43" s="40"/>
      <c r="O43" s="40"/>
      <c r="P43" s="40"/>
    </row>
    <row r="44" spans="2:16" x14ac:dyDescent="0.3">
      <c r="B44" s="40"/>
      <c r="C44" s="40"/>
      <c r="D44" s="40"/>
      <c r="E44" s="40"/>
      <c r="F44" s="40"/>
      <c r="G44" s="40"/>
      <c r="H44" s="40"/>
      <c r="I44" s="40"/>
      <c r="J44" s="40"/>
      <c r="K44" s="40"/>
      <c r="L44" s="40"/>
      <c r="M44" s="40"/>
      <c r="N44" s="40"/>
      <c r="O44" s="40"/>
      <c r="P44" s="40"/>
    </row>
    <row r="45" spans="2:16" x14ac:dyDescent="0.3">
      <c r="B45" s="40"/>
      <c r="C45" s="40"/>
      <c r="D45" s="40"/>
      <c r="E45" s="40"/>
      <c r="F45" s="40"/>
      <c r="G45" s="40"/>
      <c r="H45" s="40"/>
      <c r="I45" s="40"/>
      <c r="J45" s="40"/>
      <c r="K45" s="40"/>
      <c r="L45" s="40"/>
      <c r="M45" s="40"/>
      <c r="N45" s="40"/>
      <c r="O45" s="40"/>
      <c r="P45" s="40"/>
    </row>
    <row r="46" spans="2:16" x14ac:dyDescent="0.3">
      <c r="B46" s="40"/>
      <c r="C46" s="40"/>
      <c r="D46" s="40"/>
      <c r="E46" s="40"/>
      <c r="F46" s="40"/>
      <c r="G46" s="40"/>
      <c r="H46" s="40"/>
      <c r="I46" s="40"/>
      <c r="J46" s="40"/>
      <c r="K46" s="40"/>
      <c r="L46" s="40"/>
      <c r="M46" s="40"/>
      <c r="N46" s="40"/>
      <c r="O46" s="40"/>
      <c r="P46" s="40"/>
    </row>
    <row r="47" spans="2:16" x14ac:dyDescent="0.3">
      <c r="B47" s="40"/>
      <c r="C47" s="40"/>
      <c r="D47" s="40"/>
      <c r="E47" s="40"/>
      <c r="F47" s="40"/>
      <c r="G47" s="40"/>
      <c r="H47" s="40"/>
      <c r="I47" s="40"/>
      <c r="J47" s="40"/>
      <c r="K47" s="40"/>
      <c r="L47" s="40"/>
      <c r="M47" s="40"/>
      <c r="N47" s="40"/>
      <c r="O47" s="40"/>
      <c r="P47" s="40"/>
    </row>
  </sheetData>
  <mergeCells count="24">
    <mergeCell ref="C27:D27"/>
    <mergeCell ref="C28:D28"/>
    <mergeCell ref="C29:D29"/>
    <mergeCell ref="C30:D30"/>
    <mergeCell ref="H3:I3"/>
    <mergeCell ref="C14:F22"/>
    <mergeCell ref="D3:E3"/>
    <mergeCell ref="D11:E11"/>
    <mergeCell ref="C37:D37"/>
    <mergeCell ref="C36:D36"/>
    <mergeCell ref="C35:D35"/>
    <mergeCell ref="C34:D34"/>
    <mergeCell ref="C33:D33"/>
    <mergeCell ref="D2:E2"/>
    <mergeCell ref="O3:P3"/>
    <mergeCell ref="M4:N4"/>
    <mergeCell ref="O4:P4"/>
    <mergeCell ref="D9:E9"/>
    <mergeCell ref="J2:K2"/>
    <mergeCell ref="M2:N2"/>
    <mergeCell ref="O2:P2"/>
    <mergeCell ref="H2:I2"/>
    <mergeCell ref="J3:K3"/>
    <mergeCell ref="M3:N3"/>
  </mergeCells>
  <conditionalFormatting sqref="E35:P36">
    <cfRule type="cellIs" dxfId="189" priority="1" stopIfTrue="1" operator="lessThan">
      <formula>1</formula>
    </cfRule>
    <cfRule type="cellIs" dxfId="188" priority="2" stopIfTrue="1" operator="greaterThanOrEqual">
      <formula>1</formula>
    </cfRule>
  </conditionalFormatting>
  <conditionalFormatting sqref="E33:P34">
    <cfRule type="cellIs" dxfId="187" priority="3" stopIfTrue="1" operator="greaterThanOrEqual">
      <formula>0</formula>
    </cfRule>
    <cfRule type="cellIs" dxfId="186" priority="4" stopIfTrue="1" operator="lessThan">
      <formula>0</formula>
    </cfRule>
  </conditionalFormatting>
  <pageMargins left="0.5" right="0.5" top="0.25" bottom="0.25" header="0.5" footer="0.25"/>
  <pageSetup scale="83"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A9D9-7639-484C-8329-A6B213F4951B}">
  <sheetPr codeName="ShAvancement">
    <tabColor rgb="FF7030A0"/>
  </sheetPr>
  <dimension ref="A1:DI705"/>
  <sheetViews>
    <sheetView showGridLines="0" zoomScaleNormal="100" workbookViewId="0">
      <selection activeCell="F79" sqref="F79"/>
    </sheetView>
  </sheetViews>
  <sheetFormatPr defaultColWidth="11.44140625" defaultRowHeight="14.4" x14ac:dyDescent="0.3"/>
  <cols>
    <col min="1" max="1" width="5.33203125" style="13" customWidth="1"/>
    <col min="2" max="2" width="18.6640625" style="14" customWidth="1"/>
    <col min="3" max="3" width="15.6640625" style="14" customWidth="1"/>
    <col min="4" max="4" width="10" style="14" customWidth="1"/>
    <col min="5" max="5" width="18.6640625" style="14" customWidth="1"/>
    <col min="6" max="6" width="14.44140625" style="14" customWidth="1"/>
    <col min="7" max="7" width="11.6640625" style="14" customWidth="1"/>
    <col min="8" max="8" width="12.44140625" style="14" customWidth="1"/>
    <col min="9" max="9" width="11.33203125" style="14" customWidth="1"/>
    <col min="10" max="10" width="9.6640625" style="14" customWidth="1"/>
    <col min="11" max="11" width="13.44140625" style="14" customWidth="1"/>
    <col min="12" max="12" width="11.88671875" style="14" customWidth="1"/>
    <col min="13" max="13" width="11.109375" style="14" customWidth="1"/>
    <col min="14" max="14" width="2.109375" style="14" bestFit="1" customWidth="1"/>
    <col min="15" max="15" width="6" style="14" customWidth="1"/>
    <col min="16" max="18" width="9" style="14" customWidth="1"/>
    <col min="19" max="19" width="22.44140625" style="14" customWidth="1"/>
    <col min="20" max="113" width="11.44140625" style="13"/>
    <col min="114" max="176" width="11.44140625" style="14"/>
    <col min="177" max="177" width="10" style="14" customWidth="1"/>
    <col min="178" max="178" width="18.6640625" style="14" customWidth="1"/>
    <col min="179" max="179" width="13.88671875" style="14" customWidth="1"/>
    <col min="180" max="180" width="5.6640625" style="14" customWidth="1"/>
    <col min="181" max="181" width="9.6640625" style="14" customWidth="1"/>
    <col min="182" max="182" width="9.109375" style="14" customWidth="1"/>
    <col min="183" max="183" width="9.6640625" style="14" customWidth="1"/>
    <col min="184" max="184" width="11.44140625" style="14"/>
    <col min="185" max="185" width="11.88671875" style="14" customWidth="1"/>
    <col min="186" max="186" width="11.109375" style="14" customWidth="1"/>
    <col min="187" max="188" width="6" style="14" customWidth="1"/>
    <col min="189" max="191" width="9" style="14" customWidth="1"/>
    <col min="192" max="192" width="22.44140625" style="14" customWidth="1"/>
    <col min="193" max="432" width="11.44140625" style="14"/>
    <col min="433" max="433" width="10" style="14" customWidth="1"/>
    <col min="434" max="434" width="18.6640625" style="14" customWidth="1"/>
    <col min="435" max="435" width="13.88671875" style="14" customWidth="1"/>
    <col min="436" max="436" width="5.6640625" style="14" customWidth="1"/>
    <col min="437" max="437" width="9.6640625" style="14" customWidth="1"/>
    <col min="438" max="438" width="9.109375" style="14" customWidth="1"/>
    <col min="439" max="439" width="9.6640625" style="14" customWidth="1"/>
    <col min="440" max="440" width="11.44140625" style="14"/>
    <col min="441" max="441" width="11.88671875" style="14" customWidth="1"/>
    <col min="442" max="442" width="11.109375" style="14" customWidth="1"/>
    <col min="443" max="444" width="6" style="14" customWidth="1"/>
    <col min="445" max="447" width="9" style="14" customWidth="1"/>
    <col min="448" max="448" width="22.44140625" style="14" customWidth="1"/>
    <col min="449" max="688" width="11.44140625" style="14"/>
    <col min="689" max="689" width="10" style="14" customWidth="1"/>
    <col min="690" max="690" width="18.6640625" style="14" customWidth="1"/>
    <col min="691" max="691" width="13.88671875" style="14" customWidth="1"/>
    <col min="692" max="692" width="5.6640625" style="14" customWidth="1"/>
    <col min="693" max="693" width="9.6640625" style="14" customWidth="1"/>
    <col min="694" max="694" width="9.109375" style="14" customWidth="1"/>
    <col min="695" max="695" width="9.6640625" style="14" customWidth="1"/>
    <col min="696" max="696" width="11.44140625" style="14"/>
    <col min="697" max="697" width="11.88671875" style="14" customWidth="1"/>
    <col min="698" max="698" width="11.109375" style="14" customWidth="1"/>
    <col min="699" max="700" width="6" style="14" customWidth="1"/>
    <col min="701" max="703" width="9" style="14" customWidth="1"/>
    <col min="704" max="704" width="22.44140625" style="14" customWidth="1"/>
    <col min="705" max="944" width="11.44140625" style="14"/>
    <col min="945" max="945" width="10" style="14" customWidth="1"/>
    <col min="946" max="946" width="18.6640625" style="14" customWidth="1"/>
    <col min="947" max="947" width="13.88671875" style="14" customWidth="1"/>
    <col min="948" max="948" width="5.6640625" style="14" customWidth="1"/>
    <col min="949" max="949" width="9.6640625" style="14" customWidth="1"/>
    <col min="950" max="950" width="9.109375" style="14" customWidth="1"/>
    <col min="951" max="951" width="9.6640625" style="14" customWidth="1"/>
    <col min="952" max="952" width="11.44140625" style="14"/>
    <col min="953" max="953" width="11.88671875" style="14" customWidth="1"/>
    <col min="954" max="954" width="11.109375" style="14" customWidth="1"/>
    <col min="955" max="956" width="6" style="14" customWidth="1"/>
    <col min="957" max="959" width="9" style="14" customWidth="1"/>
    <col min="960" max="960" width="22.44140625" style="14" customWidth="1"/>
    <col min="961" max="1200" width="11.44140625" style="14"/>
    <col min="1201" max="1201" width="10" style="14" customWidth="1"/>
    <col min="1202" max="1202" width="18.6640625" style="14" customWidth="1"/>
    <col min="1203" max="1203" width="13.88671875" style="14" customWidth="1"/>
    <col min="1204" max="1204" width="5.6640625" style="14" customWidth="1"/>
    <col min="1205" max="1205" width="9.6640625" style="14" customWidth="1"/>
    <col min="1206" max="1206" width="9.109375" style="14" customWidth="1"/>
    <col min="1207" max="1207" width="9.6640625" style="14" customWidth="1"/>
    <col min="1208" max="1208" width="11.44140625" style="14"/>
    <col min="1209" max="1209" width="11.88671875" style="14" customWidth="1"/>
    <col min="1210" max="1210" width="11.109375" style="14" customWidth="1"/>
    <col min="1211" max="1212" width="6" style="14" customWidth="1"/>
    <col min="1213" max="1215" width="9" style="14" customWidth="1"/>
    <col min="1216" max="1216" width="22.44140625" style="14" customWidth="1"/>
    <col min="1217" max="1456" width="11.44140625" style="14"/>
    <col min="1457" max="1457" width="10" style="14" customWidth="1"/>
    <col min="1458" max="1458" width="18.6640625" style="14" customWidth="1"/>
    <col min="1459" max="1459" width="13.88671875" style="14" customWidth="1"/>
    <col min="1460" max="1460" width="5.6640625" style="14" customWidth="1"/>
    <col min="1461" max="1461" width="9.6640625" style="14" customWidth="1"/>
    <col min="1462" max="1462" width="9.109375" style="14" customWidth="1"/>
    <col min="1463" max="1463" width="9.6640625" style="14" customWidth="1"/>
    <col min="1464" max="1464" width="11.44140625" style="14"/>
    <col min="1465" max="1465" width="11.88671875" style="14" customWidth="1"/>
    <col min="1466" max="1466" width="11.109375" style="14" customWidth="1"/>
    <col min="1467" max="1468" width="6" style="14" customWidth="1"/>
    <col min="1469" max="1471" width="9" style="14" customWidth="1"/>
    <col min="1472" max="1472" width="22.44140625" style="14" customWidth="1"/>
    <col min="1473" max="1712" width="11.44140625" style="14"/>
    <col min="1713" max="1713" width="10" style="14" customWidth="1"/>
    <col min="1714" max="1714" width="18.6640625" style="14" customWidth="1"/>
    <col min="1715" max="1715" width="13.88671875" style="14" customWidth="1"/>
    <col min="1716" max="1716" width="5.6640625" style="14" customWidth="1"/>
    <col min="1717" max="1717" width="9.6640625" style="14" customWidth="1"/>
    <col min="1718" max="1718" width="9.109375" style="14" customWidth="1"/>
    <col min="1719" max="1719" width="9.6640625" style="14" customWidth="1"/>
    <col min="1720" max="1720" width="11.44140625" style="14"/>
    <col min="1721" max="1721" width="11.88671875" style="14" customWidth="1"/>
    <col min="1722" max="1722" width="11.109375" style="14" customWidth="1"/>
    <col min="1723" max="1724" width="6" style="14" customWidth="1"/>
    <col min="1725" max="1727" width="9" style="14" customWidth="1"/>
    <col min="1728" max="1728" width="22.44140625" style="14" customWidth="1"/>
    <col min="1729" max="1968" width="11.44140625" style="14"/>
    <col min="1969" max="1969" width="10" style="14" customWidth="1"/>
    <col min="1970" max="1970" width="18.6640625" style="14" customWidth="1"/>
    <col min="1971" max="1971" width="13.88671875" style="14" customWidth="1"/>
    <col min="1972" max="1972" width="5.6640625" style="14" customWidth="1"/>
    <col min="1973" max="1973" width="9.6640625" style="14" customWidth="1"/>
    <col min="1974" max="1974" width="9.109375" style="14" customWidth="1"/>
    <col min="1975" max="1975" width="9.6640625" style="14" customWidth="1"/>
    <col min="1976" max="1976" width="11.44140625" style="14"/>
    <col min="1977" max="1977" width="11.88671875" style="14" customWidth="1"/>
    <col min="1978" max="1978" width="11.109375" style="14" customWidth="1"/>
    <col min="1979" max="1980" width="6" style="14" customWidth="1"/>
    <col min="1981" max="1983" width="9" style="14" customWidth="1"/>
    <col min="1984" max="1984" width="22.44140625" style="14" customWidth="1"/>
    <col min="1985" max="2224" width="11.44140625" style="14"/>
    <col min="2225" max="2225" width="10" style="14" customWidth="1"/>
    <col min="2226" max="2226" width="18.6640625" style="14" customWidth="1"/>
    <col min="2227" max="2227" width="13.88671875" style="14" customWidth="1"/>
    <col min="2228" max="2228" width="5.6640625" style="14" customWidth="1"/>
    <col min="2229" max="2229" width="9.6640625" style="14" customWidth="1"/>
    <col min="2230" max="2230" width="9.109375" style="14" customWidth="1"/>
    <col min="2231" max="2231" width="9.6640625" style="14" customWidth="1"/>
    <col min="2232" max="2232" width="11.44140625" style="14"/>
    <col min="2233" max="2233" width="11.88671875" style="14" customWidth="1"/>
    <col min="2234" max="2234" width="11.109375" style="14" customWidth="1"/>
    <col min="2235" max="2236" width="6" style="14" customWidth="1"/>
    <col min="2237" max="2239" width="9" style="14" customWidth="1"/>
    <col min="2240" max="2240" width="22.44140625" style="14" customWidth="1"/>
    <col min="2241" max="2480" width="11.44140625" style="14"/>
    <col min="2481" max="2481" width="10" style="14" customWidth="1"/>
    <col min="2482" max="2482" width="18.6640625" style="14" customWidth="1"/>
    <col min="2483" max="2483" width="13.88671875" style="14" customWidth="1"/>
    <col min="2484" max="2484" width="5.6640625" style="14" customWidth="1"/>
    <col min="2485" max="2485" width="9.6640625" style="14" customWidth="1"/>
    <col min="2486" max="2486" width="9.109375" style="14" customWidth="1"/>
    <col min="2487" max="2487" width="9.6640625" style="14" customWidth="1"/>
    <col min="2488" max="2488" width="11.44140625" style="14"/>
    <col min="2489" max="2489" width="11.88671875" style="14" customWidth="1"/>
    <col min="2490" max="2490" width="11.109375" style="14" customWidth="1"/>
    <col min="2491" max="2492" width="6" style="14" customWidth="1"/>
    <col min="2493" max="2495" width="9" style="14" customWidth="1"/>
    <col min="2496" max="2496" width="22.44140625" style="14" customWidth="1"/>
    <col min="2497" max="2736" width="11.44140625" style="14"/>
    <col min="2737" max="2737" width="10" style="14" customWidth="1"/>
    <col min="2738" max="2738" width="18.6640625" style="14" customWidth="1"/>
    <col min="2739" max="2739" width="13.88671875" style="14" customWidth="1"/>
    <col min="2740" max="2740" width="5.6640625" style="14" customWidth="1"/>
    <col min="2741" max="2741" width="9.6640625" style="14" customWidth="1"/>
    <col min="2742" max="2742" width="9.109375" style="14" customWidth="1"/>
    <col min="2743" max="2743" width="9.6640625" style="14" customWidth="1"/>
    <col min="2744" max="2744" width="11.44140625" style="14"/>
    <col min="2745" max="2745" width="11.88671875" style="14" customWidth="1"/>
    <col min="2746" max="2746" width="11.109375" style="14" customWidth="1"/>
    <col min="2747" max="2748" width="6" style="14" customWidth="1"/>
    <col min="2749" max="2751" width="9" style="14" customWidth="1"/>
    <col min="2752" max="2752" width="22.44140625" style="14" customWidth="1"/>
    <col min="2753" max="2992" width="11.44140625" style="14"/>
    <col min="2993" max="2993" width="10" style="14" customWidth="1"/>
    <col min="2994" max="2994" width="18.6640625" style="14" customWidth="1"/>
    <col min="2995" max="2995" width="13.88671875" style="14" customWidth="1"/>
    <col min="2996" max="2996" width="5.6640625" style="14" customWidth="1"/>
    <col min="2997" max="2997" width="9.6640625" style="14" customWidth="1"/>
    <col min="2998" max="2998" width="9.109375" style="14" customWidth="1"/>
    <col min="2999" max="2999" width="9.6640625" style="14" customWidth="1"/>
    <col min="3000" max="3000" width="11.44140625" style="14"/>
    <col min="3001" max="3001" width="11.88671875" style="14" customWidth="1"/>
    <col min="3002" max="3002" width="11.109375" style="14" customWidth="1"/>
    <col min="3003" max="3004" width="6" style="14" customWidth="1"/>
    <col min="3005" max="3007" width="9" style="14" customWidth="1"/>
    <col min="3008" max="3008" width="22.44140625" style="14" customWidth="1"/>
    <col min="3009" max="3248" width="11.44140625" style="14"/>
    <col min="3249" max="3249" width="10" style="14" customWidth="1"/>
    <col min="3250" max="3250" width="18.6640625" style="14" customWidth="1"/>
    <col min="3251" max="3251" width="13.88671875" style="14" customWidth="1"/>
    <col min="3252" max="3252" width="5.6640625" style="14" customWidth="1"/>
    <col min="3253" max="3253" width="9.6640625" style="14" customWidth="1"/>
    <col min="3254" max="3254" width="9.109375" style="14" customWidth="1"/>
    <col min="3255" max="3255" width="9.6640625" style="14" customWidth="1"/>
    <col min="3256" max="3256" width="11.44140625" style="14"/>
    <col min="3257" max="3257" width="11.88671875" style="14" customWidth="1"/>
    <col min="3258" max="3258" width="11.109375" style="14" customWidth="1"/>
    <col min="3259" max="3260" width="6" style="14" customWidth="1"/>
    <col min="3261" max="3263" width="9" style="14" customWidth="1"/>
    <col min="3264" max="3264" width="22.44140625" style="14" customWidth="1"/>
    <col min="3265" max="3504" width="11.44140625" style="14"/>
    <col min="3505" max="3505" width="10" style="14" customWidth="1"/>
    <col min="3506" max="3506" width="18.6640625" style="14" customWidth="1"/>
    <col min="3507" max="3507" width="13.88671875" style="14" customWidth="1"/>
    <col min="3508" max="3508" width="5.6640625" style="14" customWidth="1"/>
    <col min="3509" max="3509" width="9.6640625" style="14" customWidth="1"/>
    <col min="3510" max="3510" width="9.109375" style="14" customWidth="1"/>
    <col min="3511" max="3511" width="9.6640625" style="14" customWidth="1"/>
    <col min="3512" max="3512" width="11.44140625" style="14"/>
    <col min="3513" max="3513" width="11.88671875" style="14" customWidth="1"/>
    <col min="3514" max="3514" width="11.109375" style="14" customWidth="1"/>
    <col min="3515" max="3516" width="6" style="14" customWidth="1"/>
    <col min="3517" max="3519" width="9" style="14" customWidth="1"/>
    <col min="3520" max="3520" width="22.44140625" style="14" customWidth="1"/>
    <col min="3521" max="3760" width="11.44140625" style="14"/>
    <col min="3761" max="3761" width="10" style="14" customWidth="1"/>
    <col min="3762" max="3762" width="18.6640625" style="14" customWidth="1"/>
    <col min="3763" max="3763" width="13.88671875" style="14" customWidth="1"/>
    <col min="3764" max="3764" width="5.6640625" style="14" customWidth="1"/>
    <col min="3765" max="3765" width="9.6640625" style="14" customWidth="1"/>
    <col min="3766" max="3766" width="9.109375" style="14" customWidth="1"/>
    <col min="3767" max="3767" width="9.6640625" style="14" customWidth="1"/>
    <col min="3768" max="3768" width="11.44140625" style="14"/>
    <col min="3769" max="3769" width="11.88671875" style="14" customWidth="1"/>
    <col min="3770" max="3770" width="11.109375" style="14" customWidth="1"/>
    <col min="3771" max="3772" width="6" style="14" customWidth="1"/>
    <col min="3773" max="3775" width="9" style="14" customWidth="1"/>
    <col min="3776" max="3776" width="22.44140625" style="14" customWidth="1"/>
    <col min="3777" max="4016" width="11.44140625" style="14"/>
    <col min="4017" max="4017" width="10" style="14" customWidth="1"/>
    <col min="4018" max="4018" width="18.6640625" style="14" customWidth="1"/>
    <col min="4019" max="4019" width="13.88671875" style="14" customWidth="1"/>
    <col min="4020" max="4020" width="5.6640625" style="14" customWidth="1"/>
    <col min="4021" max="4021" width="9.6640625" style="14" customWidth="1"/>
    <col min="4022" max="4022" width="9.109375" style="14" customWidth="1"/>
    <col min="4023" max="4023" width="9.6640625" style="14" customWidth="1"/>
    <col min="4024" max="4024" width="11.44140625" style="14"/>
    <col min="4025" max="4025" width="11.88671875" style="14" customWidth="1"/>
    <col min="4026" max="4026" width="11.109375" style="14" customWidth="1"/>
    <col min="4027" max="4028" width="6" style="14" customWidth="1"/>
    <col min="4029" max="4031" width="9" style="14" customWidth="1"/>
    <col min="4032" max="4032" width="22.44140625" style="14" customWidth="1"/>
    <col min="4033" max="4272" width="11.44140625" style="14"/>
    <col min="4273" max="4273" width="10" style="14" customWidth="1"/>
    <col min="4274" max="4274" width="18.6640625" style="14" customWidth="1"/>
    <col min="4275" max="4275" width="13.88671875" style="14" customWidth="1"/>
    <col min="4276" max="4276" width="5.6640625" style="14" customWidth="1"/>
    <col min="4277" max="4277" width="9.6640625" style="14" customWidth="1"/>
    <col min="4278" max="4278" width="9.109375" style="14" customWidth="1"/>
    <col min="4279" max="4279" width="9.6640625" style="14" customWidth="1"/>
    <col min="4280" max="4280" width="11.44140625" style="14"/>
    <col min="4281" max="4281" width="11.88671875" style="14" customWidth="1"/>
    <col min="4282" max="4282" width="11.109375" style="14" customWidth="1"/>
    <col min="4283" max="4284" width="6" style="14" customWidth="1"/>
    <col min="4285" max="4287" width="9" style="14" customWidth="1"/>
    <col min="4288" max="4288" width="22.44140625" style="14" customWidth="1"/>
    <col min="4289" max="4528" width="11.44140625" style="14"/>
    <col min="4529" max="4529" width="10" style="14" customWidth="1"/>
    <col min="4530" max="4530" width="18.6640625" style="14" customWidth="1"/>
    <col min="4531" max="4531" width="13.88671875" style="14" customWidth="1"/>
    <col min="4532" max="4532" width="5.6640625" style="14" customWidth="1"/>
    <col min="4533" max="4533" width="9.6640625" style="14" customWidth="1"/>
    <col min="4534" max="4534" width="9.109375" style="14" customWidth="1"/>
    <col min="4535" max="4535" width="9.6640625" style="14" customWidth="1"/>
    <col min="4536" max="4536" width="11.44140625" style="14"/>
    <col min="4537" max="4537" width="11.88671875" style="14" customWidth="1"/>
    <col min="4538" max="4538" width="11.109375" style="14" customWidth="1"/>
    <col min="4539" max="4540" width="6" style="14" customWidth="1"/>
    <col min="4541" max="4543" width="9" style="14" customWidth="1"/>
    <col min="4544" max="4544" width="22.44140625" style="14" customWidth="1"/>
    <col min="4545" max="4784" width="11.44140625" style="14"/>
    <col min="4785" max="4785" width="10" style="14" customWidth="1"/>
    <col min="4786" max="4786" width="18.6640625" style="14" customWidth="1"/>
    <col min="4787" max="4787" width="13.88671875" style="14" customWidth="1"/>
    <col min="4788" max="4788" width="5.6640625" style="14" customWidth="1"/>
    <col min="4789" max="4789" width="9.6640625" style="14" customWidth="1"/>
    <col min="4790" max="4790" width="9.109375" style="14" customWidth="1"/>
    <col min="4791" max="4791" width="9.6640625" style="14" customWidth="1"/>
    <col min="4792" max="4792" width="11.44140625" style="14"/>
    <col min="4793" max="4793" width="11.88671875" style="14" customWidth="1"/>
    <col min="4794" max="4794" width="11.109375" style="14" customWidth="1"/>
    <col min="4795" max="4796" width="6" style="14" customWidth="1"/>
    <col min="4797" max="4799" width="9" style="14" customWidth="1"/>
    <col min="4800" max="4800" width="22.44140625" style="14" customWidth="1"/>
    <col min="4801" max="5040" width="11.44140625" style="14"/>
    <col min="5041" max="5041" width="10" style="14" customWidth="1"/>
    <col min="5042" max="5042" width="18.6640625" style="14" customWidth="1"/>
    <col min="5043" max="5043" width="13.88671875" style="14" customWidth="1"/>
    <col min="5044" max="5044" width="5.6640625" style="14" customWidth="1"/>
    <col min="5045" max="5045" width="9.6640625" style="14" customWidth="1"/>
    <col min="5046" max="5046" width="9.109375" style="14" customWidth="1"/>
    <col min="5047" max="5047" width="9.6640625" style="14" customWidth="1"/>
    <col min="5048" max="5048" width="11.44140625" style="14"/>
    <col min="5049" max="5049" width="11.88671875" style="14" customWidth="1"/>
    <col min="5050" max="5050" width="11.109375" style="14" customWidth="1"/>
    <col min="5051" max="5052" width="6" style="14" customWidth="1"/>
    <col min="5053" max="5055" width="9" style="14" customWidth="1"/>
    <col min="5056" max="5056" width="22.44140625" style="14" customWidth="1"/>
    <col min="5057" max="5296" width="11.44140625" style="14"/>
    <col min="5297" max="5297" width="10" style="14" customWidth="1"/>
    <col min="5298" max="5298" width="18.6640625" style="14" customWidth="1"/>
    <col min="5299" max="5299" width="13.88671875" style="14" customWidth="1"/>
    <col min="5300" max="5300" width="5.6640625" style="14" customWidth="1"/>
    <col min="5301" max="5301" width="9.6640625" style="14" customWidth="1"/>
    <col min="5302" max="5302" width="9.109375" style="14" customWidth="1"/>
    <col min="5303" max="5303" width="9.6640625" style="14" customWidth="1"/>
    <col min="5304" max="5304" width="11.44140625" style="14"/>
    <col min="5305" max="5305" width="11.88671875" style="14" customWidth="1"/>
    <col min="5306" max="5306" width="11.109375" style="14" customWidth="1"/>
    <col min="5307" max="5308" width="6" style="14" customWidth="1"/>
    <col min="5309" max="5311" width="9" style="14" customWidth="1"/>
    <col min="5312" max="5312" width="22.44140625" style="14" customWidth="1"/>
    <col min="5313" max="5552" width="11.44140625" style="14"/>
    <col min="5553" max="5553" width="10" style="14" customWidth="1"/>
    <col min="5554" max="5554" width="18.6640625" style="14" customWidth="1"/>
    <col min="5555" max="5555" width="13.88671875" style="14" customWidth="1"/>
    <col min="5556" max="5556" width="5.6640625" style="14" customWidth="1"/>
    <col min="5557" max="5557" width="9.6640625" style="14" customWidth="1"/>
    <col min="5558" max="5558" width="9.109375" style="14" customWidth="1"/>
    <col min="5559" max="5559" width="9.6640625" style="14" customWidth="1"/>
    <col min="5560" max="5560" width="11.44140625" style="14"/>
    <col min="5561" max="5561" width="11.88671875" style="14" customWidth="1"/>
    <col min="5562" max="5562" width="11.109375" style="14" customWidth="1"/>
    <col min="5563" max="5564" width="6" style="14" customWidth="1"/>
    <col min="5565" max="5567" width="9" style="14" customWidth="1"/>
    <col min="5568" max="5568" width="22.44140625" style="14" customWidth="1"/>
    <col min="5569" max="5808" width="11.44140625" style="14"/>
    <col min="5809" max="5809" width="10" style="14" customWidth="1"/>
    <col min="5810" max="5810" width="18.6640625" style="14" customWidth="1"/>
    <col min="5811" max="5811" width="13.88671875" style="14" customWidth="1"/>
    <col min="5812" max="5812" width="5.6640625" style="14" customWidth="1"/>
    <col min="5813" max="5813" width="9.6640625" style="14" customWidth="1"/>
    <col min="5814" max="5814" width="9.109375" style="14" customWidth="1"/>
    <col min="5815" max="5815" width="9.6640625" style="14" customWidth="1"/>
    <col min="5816" max="5816" width="11.44140625" style="14"/>
    <col min="5817" max="5817" width="11.88671875" style="14" customWidth="1"/>
    <col min="5818" max="5818" width="11.109375" style="14" customWidth="1"/>
    <col min="5819" max="5820" width="6" style="14" customWidth="1"/>
    <col min="5821" max="5823" width="9" style="14" customWidth="1"/>
    <col min="5824" max="5824" width="22.44140625" style="14" customWidth="1"/>
    <col min="5825" max="6064" width="11.44140625" style="14"/>
    <col min="6065" max="6065" width="10" style="14" customWidth="1"/>
    <col min="6066" max="6066" width="18.6640625" style="14" customWidth="1"/>
    <col min="6067" max="6067" width="13.88671875" style="14" customWidth="1"/>
    <col min="6068" max="6068" width="5.6640625" style="14" customWidth="1"/>
    <col min="6069" max="6069" width="9.6640625" style="14" customWidth="1"/>
    <col min="6070" max="6070" width="9.109375" style="14" customWidth="1"/>
    <col min="6071" max="6071" width="9.6640625" style="14" customWidth="1"/>
    <col min="6072" max="6072" width="11.44140625" style="14"/>
    <col min="6073" max="6073" width="11.88671875" style="14" customWidth="1"/>
    <col min="6074" max="6074" width="11.109375" style="14" customWidth="1"/>
    <col min="6075" max="6076" width="6" style="14" customWidth="1"/>
    <col min="6077" max="6079" width="9" style="14" customWidth="1"/>
    <col min="6080" max="6080" width="22.44140625" style="14" customWidth="1"/>
    <col min="6081" max="6320" width="11.44140625" style="14"/>
    <col min="6321" max="6321" width="10" style="14" customWidth="1"/>
    <col min="6322" max="6322" width="18.6640625" style="14" customWidth="1"/>
    <col min="6323" max="6323" width="13.88671875" style="14" customWidth="1"/>
    <col min="6324" max="6324" width="5.6640625" style="14" customWidth="1"/>
    <col min="6325" max="6325" width="9.6640625" style="14" customWidth="1"/>
    <col min="6326" max="6326" width="9.109375" style="14" customWidth="1"/>
    <col min="6327" max="6327" width="9.6640625" style="14" customWidth="1"/>
    <col min="6328" max="6328" width="11.44140625" style="14"/>
    <col min="6329" max="6329" width="11.88671875" style="14" customWidth="1"/>
    <col min="6330" max="6330" width="11.109375" style="14" customWidth="1"/>
    <col min="6331" max="6332" width="6" style="14" customWidth="1"/>
    <col min="6333" max="6335" width="9" style="14" customWidth="1"/>
    <col min="6336" max="6336" width="22.44140625" style="14" customWidth="1"/>
    <col min="6337" max="6576" width="11.44140625" style="14"/>
    <col min="6577" max="6577" width="10" style="14" customWidth="1"/>
    <col min="6578" max="6578" width="18.6640625" style="14" customWidth="1"/>
    <col min="6579" max="6579" width="13.88671875" style="14" customWidth="1"/>
    <col min="6580" max="6580" width="5.6640625" style="14" customWidth="1"/>
    <col min="6581" max="6581" width="9.6640625" style="14" customWidth="1"/>
    <col min="6582" max="6582" width="9.109375" style="14" customWidth="1"/>
    <col min="6583" max="6583" width="9.6640625" style="14" customWidth="1"/>
    <col min="6584" max="6584" width="11.44140625" style="14"/>
    <col min="6585" max="6585" width="11.88671875" style="14" customWidth="1"/>
    <col min="6586" max="6586" width="11.109375" style="14" customWidth="1"/>
    <col min="6587" max="6588" width="6" style="14" customWidth="1"/>
    <col min="6589" max="6591" width="9" style="14" customWidth="1"/>
    <col min="6592" max="6592" width="22.44140625" style="14" customWidth="1"/>
    <col min="6593" max="6832" width="11.44140625" style="14"/>
    <col min="6833" max="6833" width="10" style="14" customWidth="1"/>
    <col min="6834" max="6834" width="18.6640625" style="14" customWidth="1"/>
    <col min="6835" max="6835" width="13.88671875" style="14" customWidth="1"/>
    <col min="6836" max="6836" width="5.6640625" style="14" customWidth="1"/>
    <col min="6837" max="6837" width="9.6640625" style="14" customWidth="1"/>
    <col min="6838" max="6838" width="9.109375" style="14" customWidth="1"/>
    <col min="6839" max="6839" width="9.6640625" style="14" customWidth="1"/>
    <col min="6840" max="6840" width="11.44140625" style="14"/>
    <col min="6841" max="6841" width="11.88671875" style="14" customWidth="1"/>
    <col min="6842" max="6842" width="11.109375" style="14" customWidth="1"/>
    <col min="6843" max="6844" width="6" style="14" customWidth="1"/>
    <col min="6845" max="6847" width="9" style="14" customWidth="1"/>
    <col min="6848" max="6848" width="22.44140625" style="14" customWidth="1"/>
    <col min="6849" max="7088" width="11.44140625" style="14"/>
    <col min="7089" max="7089" width="10" style="14" customWidth="1"/>
    <col min="7090" max="7090" width="18.6640625" style="14" customWidth="1"/>
    <col min="7091" max="7091" width="13.88671875" style="14" customWidth="1"/>
    <col min="7092" max="7092" width="5.6640625" style="14" customWidth="1"/>
    <col min="7093" max="7093" width="9.6640625" style="14" customWidth="1"/>
    <col min="7094" max="7094" width="9.109375" style="14" customWidth="1"/>
    <col min="7095" max="7095" width="9.6640625" style="14" customWidth="1"/>
    <col min="7096" max="7096" width="11.44140625" style="14"/>
    <col min="7097" max="7097" width="11.88671875" style="14" customWidth="1"/>
    <col min="7098" max="7098" width="11.109375" style="14" customWidth="1"/>
    <col min="7099" max="7100" width="6" style="14" customWidth="1"/>
    <col min="7101" max="7103" width="9" style="14" customWidth="1"/>
    <col min="7104" max="7104" width="22.44140625" style="14" customWidth="1"/>
    <col min="7105" max="7344" width="11.44140625" style="14"/>
    <col min="7345" max="7345" width="10" style="14" customWidth="1"/>
    <col min="7346" max="7346" width="18.6640625" style="14" customWidth="1"/>
    <col min="7347" max="7347" width="13.88671875" style="14" customWidth="1"/>
    <col min="7348" max="7348" width="5.6640625" style="14" customWidth="1"/>
    <col min="7349" max="7349" width="9.6640625" style="14" customWidth="1"/>
    <col min="7350" max="7350" width="9.109375" style="14" customWidth="1"/>
    <col min="7351" max="7351" width="9.6640625" style="14" customWidth="1"/>
    <col min="7352" max="7352" width="11.44140625" style="14"/>
    <col min="7353" max="7353" width="11.88671875" style="14" customWidth="1"/>
    <col min="7354" max="7354" width="11.109375" style="14" customWidth="1"/>
    <col min="7355" max="7356" width="6" style="14" customWidth="1"/>
    <col min="7357" max="7359" width="9" style="14" customWidth="1"/>
    <col min="7360" max="7360" width="22.44140625" style="14" customWidth="1"/>
    <col min="7361" max="7600" width="11.44140625" style="14"/>
    <col min="7601" max="7601" width="10" style="14" customWidth="1"/>
    <col min="7602" max="7602" width="18.6640625" style="14" customWidth="1"/>
    <col min="7603" max="7603" width="13.88671875" style="14" customWidth="1"/>
    <col min="7604" max="7604" width="5.6640625" style="14" customWidth="1"/>
    <col min="7605" max="7605" width="9.6640625" style="14" customWidth="1"/>
    <col min="7606" max="7606" width="9.109375" style="14" customWidth="1"/>
    <col min="7607" max="7607" width="9.6640625" style="14" customWidth="1"/>
    <col min="7608" max="7608" width="11.44140625" style="14"/>
    <col min="7609" max="7609" width="11.88671875" style="14" customWidth="1"/>
    <col min="7610" max="7610" width="11.109375" style="14" customWidth="1"/>
    <col min="7611" max="7612" width="6" style="14" customWidth="1"/>
    <col min="7613" max="7615" width="9" style="14" customWidth="1"/>
    <col min="7616" max="7616" width="22.44140625" style="14" customWidth="1"/>
    <col min="7617" max="7856" width="11.44140625" style="14"/>
    <col min="7857" max="7857" width="10" style="14" customWidth="1"/>
    <col min="7858" max="7858" width="18.6640625" style="14" customWidth="1"/>
    <col min="7859" max="7859" width="13.88671875" style="14" customWidth="1"/>
    <col min="7860" max="7860" width="5.6640625" style="14" customWidth="1"/>
    <col min="7861" max="7861" width="9.6640625" style="14" customWidth="1"/>
    <col min="7862" max="7862" width="9.109375" style="14" customWidth="1"/>
    <col min="7863" max="7863" width="9.6640625" style="14" customWidth="1"/>
    <col min="7864" max="7864" width="11.44140625" style="14"/>
    <col min="7865" max="7865" width="11.88671875" style="14" customWidth="1"/>
    <col min="7866" max="7866" width="11.109375" style="14" customWidth="1"/>
    <col min="7867" max="7868" width="6" style="14" customWidth="1"/>
    <col min="7869" max="7871" width="9" style="14" customWidth="1"/>
    <col min="7872" max="7872" width="22.44140625" style="14" customWidth="1"/>
    <col min="7873" max="8112" width="11.44140625" style="14"/>
    <col min="8113" max="8113" width="10" style="14" customWidth="1"/>
    <col min="8114" max="8114" width="18.6640625" style="14" customWidth="1"/>
    <col min="8115" max="8115" width="13.88671875" style="14" customWidth="1"/>
    <col min="8116" max="8116" width="5.6640625" style="14" customWidth="1"/>
    <col min="8117" max="8117" width="9.6640625" style="14" customWidth="1"/>
    <col min="8118" max="8118" width="9.109375" style="14" customWidth="1"/>
    <col min="8119" max="8119" width="9.6640625" style="14" customWidth="1"/>
    <col min="8120" max="8120" width="11.44140625" style="14"/>
    <col min="8121" max="8121" width="11.88671875" style="14" customWidth="1"/>
    <col min="8122" max="8122" width="11.109375" style="14" customWidth="1"/>
    <col min="8123" max="8124" width="6" style="14" customWidth="1"/>
    <col min="8125" max="8127" width="9" style="14" customWidth="1"/>
    <col min="8128" max="8128" width="22.44140625" style="14" customWidth="1"/>
    <col min="8129" max="8368" width="11.44140625" style="14"/>
    <col min="8369" max="8369" width="10" style="14" customWidth="1"/>
    <col min="8370" max="8370" width="18.6640625" style="14" customWidth="1"/>
    <col min="8371" max="8371" width="13.88671875" style="14" customWidth="1"/>
    <col min="8372" max="8372" width="5.6640625" style="14" customWidth="1"/>
    <col min="8373" max="8373" width="9.6640625" style="14" customWidth="1"/>
    <col min="8374" max="8374" width="9.109375" style="14" customWidth="1"/>
    <col min="8375" max="8375" width="9.6640625" style="14" customWidth="1"/>
    <col min="8376" max="8376" width="11.44140625" style="14"/>
    <col min="8377" max="8377" width="11.88671875" style="14" customWidth="1"/>
    <col min="8378" max="8378" width="11.109375" style="14" customWidth="1"/>
    <col min="8379" max="8380" width="6" style="14" customWidth="1"/>
    <col min="8381" max="8383" width="9" style="14" customWidth="1"/>
    <col min="8384" max="8384" width="22.44140625" style="14" customWidth="1"/>
    <col min="8385" max="8624" width="11.44140625" style="14"/>
    <col min="8625" max="8625" width="10" style="14" customWidth="1"/>
    <col min="8626" max="8626" width="18.6640625" style="14" customWidth="1"/>
    <col min="8627" max="8627" width="13.88671875" style="14" customWidth="1"/>
    <col min="8628" max="8628" width="5.6640625" style="14" customWidth="1"/>
    <col min="8629" max="8629" width="9.6640625" style="14" customWidth="1"/>
    <col min="8630" max="8630" width="9.109375" style="14" customWidth="1"/>
    <col min="8631" max="8631" width="9.6640625" style="14" customWidth="1"/>
    <col min="8632" max="8632" width="11.44140625" style="14"/>
    <col min="8633" max="8633" width="11.88671875" style="14" customWidth="1"/>
    <col min="8634" max="8634" width="11.109375" style="14" customWidth="1"/>
    <col min="8635" max="8636" width="6" style="14" customWidth="1"/>
    <col min="8637" max="8639" width="9" style="14" customWidth="1"/>
    <col min="8640" max="8640" width="22.44140625" style="14" customWidth="1"/>
    <col min="8641" max="8880" width="11.44140625" style="14"/>
    <col min="8881" max="8881" width="10" style="14" customWidth="1"/>
    <col min="8882" max="8882" width="18.6640625" style="14" customWidth="1"/>
    <col min="8883" max="8883" width="13.88671875" style="14" customWidth="1"/>
    <col min="8884" max="8884" width="5.6640625" style="14" customWidth="1"/>
    <col min="8885" max="8885" width="9.6640625" style="14" customWidth="1"/>
    <col min="8886" max="8886" width="9.109375" style="14" customWidth="1"/>
    <col min="8887" max="8887" width="9.6640625" style="14" customWidth="1"/>
    <col min="8888" max="8888" width="11.44140625" style="14"/>
    <col min="8889" max="8889" width="11.88671875" style="14" customWidth="1"/>
    <col min="8890" max="8890" width="11.109375" style="14" customWidth="1"/>
    <col min="8891" max="8892" width="6" style="14" customWidth="1"/>
    <col min="8893" max="8895" width="9" style="14" customWidth="1"/>
    <col min="8896" max="8896" width="22.44140625" style="14" customWidth="1"/>
    <col min="8897" max="9136" width="11.44140625" style="14"/>
    <col min="9137" max="9137" width="10" style="14" customWidth="1"/>
    <col min="9138" max="9138" width="18.6640625" style="14" customWidth="1"/>
    <col min="9139" max="9139" width="13.88671875" style="14" customWidth="1"/>
    <col min="9140" max="9140" width="5.6640625" style="14" customWidth="1"/>
    <col min="9141" max="9141" width="9.6640625" style="14" customWidth="1"/>
    <col min="9142" max="9142" width="9.109375" style="14" customWidth="1"/>
    <col min="9143" max="9143" width="9.6640625" style="14" customWidth="1"/>
    <col min="9144" max="9144" width="11.44140625" style="14"/>
    <col min="9145" max="9145" width="11.88671875" style="14" customWidth="1"/>
    <col min="9146" max="9146" width="11.109375" style="14" customWidth="1"/>
    <col min="9147" max="9148" width="6" style="14" customWidth="1"/>
    <col min="9149" max="9151" width="9" style="14" customWidth="1"/>
    <col min="9152" max="9152" width="22.44140625" style="14" customWidth="1"/>
    <col min="9153" max="9392" width="11.44140625" style="14"/>
    <col min="9393" max="9393" width="10" style="14" customWidth="1"/>
    <col min="9394" max="9394" width="18.6640625" style="14" customWidth="1"/>
    <col min="9395" max="9395" width="13.88671875" style="14" customWidth="1"/>
    <col min="9396" max="9396" width="5.6640625" style="14" customWidth="1"/>
    <col min="9397" max="9397" width="9.6640625" style="14" customWidth="1"/>
    <col min="9398" max="9398" width="9.109375" style="14" customWidth="1"/>
    <col min="9399" max="9399" width="9.6640625" style="14" customWidth="1"/>
    <col min="9400" max="9400" width="11.44140625" style="14"/>
    <col min="9401" max="9401" width="11.88671875" style="14" customWidth="1"/>
    <col min="9402" max="9402" width="11.109375" style="14" customWidth="1"/>
    <col min="9403" max="9404" width="6" style="14" customWidth="1"/>
    <col min="9405" max="9407" width="9" style="14" customWidth="1"/>
    <col min="9408" max="9408" width="22.44140625" style="14" customWidth="1"/>
    <col min="9409" max="9648" width="11.44140625" style="14"/>
    <col min="9649" max="9649" width="10" style="14" customWidth="1"/>
    <col min="9650" max="9650" width="18.6640625" style="14" customWidth="1"/>
    <col min="9651" max="9651" width="13.88671875" style="14" customWidth="1"/>
    <col min="9652" max="9652" width="5.6640625" style="14" customWidth="1"/>
    <col min="9653" max="9653" width="9.6640625" style="14" customWidth="1"/>
    <col min="9654" max="9654" width="9.109375" style="14" customWidth="1"/>
    <col min="9655" max="9655" width="9.6640625" style="14" customWidth="1"/>
    <col min="9656" max="9656" width="11.44140625" style="14"/>
    <col min="9657" max="9657" width="11.88671875" style="14" customWidth="1"/>
    <col min="9658" max="9658" width="11.109375" style="14" customWidth="1"/>
    <col min="9659" max="9660" width="6" style="14" customWidth="1"/>
    <col min="9661" max="9663" width="9" style="14" customWidth="1"/>
    <col min="9664" max="9664" width="22.44140625" style="14" customWidth="1"/>
    <col min="9665" max="9904" width="11.44140625" style="14"/>
    <col min="9905" max="9905" width="10" style="14" customWidth="1"/>
    <col min="9906" max="9906" width="18.6640625" style="14" customWidth="1"/>
    <col min="9907" max="9907" width="13.88671875" style="14" customWidth="1"/>
    <col min="9908" max="9908" width="5.6640625" style="14" customWidth="1"/>
    <col min="9909" max="9909" width="9.6640625" style="14" customWidth="1"/>
    <col min="9910" max="9910" width="9.109375" style="14" customWidth="1"/>
    <col min="9911" max="9911" width="9.6640625" style="14" customWidth="1"/>
    <col min="9912" max="9912" width="11.44140625" style="14"/>
    <col min="9913" max="9913" width="11.88671875" style="14" customWidth="1"/>
    <col min="9914" max="9914" width="11.109375" style="14" customWidth="1"/>
    <col min="9915" max="9916" width="6" style="14" customWidth="1"/>
    <col min="9917" max="9919" width="9" style="14" customWidth="1"/>
    <col min="9920" max="9920" width="22.44140625" style="14" customWidth="1"/>
    <col min="9921" max="10160" width="11.44140625" style="14"/>
    <col min="10161" max="10161" width="10" style="14" customWidth="1"/>
    <col min="10162" max="10162" width="18.6640625" style="14" customWidth="1"/>
    <col min="10163" max="10163" width="13.88671875" style="14" customWidth="1"/>
    <col min="10164" max="10164" width="5.6640625" style="14" customWidth="1"/>
    <col min="10165" max="10165" width="9.6640625" style="14" customWidth="1"/>
    <col min="10166" max="10166" width="9.109375" style="14" customWidth="1"/>
    <col min="10167" max="10167" width="9.6640625" style="14" customWidth="1"/>
    <col min="10168" max="10168" width="11.44140625" style="14"/>
    <col min="10169" max="10169" width="11.88671875" style="14" customWidth="1"/>
    <col min="10170" max="10170" width="11.109375" style="14" customWidth="1"/>
    <col min="10171" max="10172" width="6" style="14" customWidth="1"/>
    <col min="10173" max="10175" width="9" style="14" customWidth="1"/>
    <col min="10176" max="10176" width="22.44140625" style="14" customWidth="1"/>
    <col min="10177" max="10416" width="11.44140625" style="14"/>
    <col min="10417" max="10417" width="10" style="14" customWidth="1"/>
    <col min="10418" max="10418" width="18.6640625" style="14" customWidth="1"/>
    <col min="10419" max="10419" width="13.88671875" style="14" customWidth="1"/>
    <col min="10420" max="10420" width="5.6640625" style="14" customWidth="1"/>
    <col min="10421" max="10421" width="9.6640625" style="14" customWidth="1"/>
    <col min="10422" max="10422" width="9.109375" style="14" customWidth="1"/>
    <col min="10423" max="10423" width="9.6640625" style="14" customWidth="1"/>
    <col min="10424" max="10424" width="11.44140625" style="14"/>
    <col min="10425" max="10425" width="11.88671875" style="14" customWidth="1"/>
    <col min="10426" max="10426" width="11.109375" style="14" customWidth="1"/>
    <col min="10427" max="10428" width="6" style="14" customWidth="1"/>
    <col min="10429" max="10431" width="9" style="14" customWidth="1"/>
    <col min="10432" max="10432" width="22.44140625" style="14" customWidth="1"/>
    <col min="10433" max="10672" width="11.44140625" style="14"/>
    <col min="10673" max="10673" width="10" style="14" customWidth="1"/>
    <col min="10674" max="10674" width="18.6640625" style="14" customWidth="1"/>
    <col min="10675" max="10675" width="13.88671875" style="14" customWidth="1"/>
    <col min="10676" max="10676" width="5.6640625" style="14" customWidth="1"/>
    <col min="10677" max="10677" width="9.6640625" style="14" customWidth="1"/>
    <col min="10678" max="10678" width="9.109375" style="14" customWidth="1"/>
    <col min="10679" max="10679" width="9.6640625" style="14" customWidth="1"/>
    <col min="10680" max="10680" width="11.44140625" style="14"/>
    <col min="10681" max="10681" width="11.88671875" style="14" customWidth="1"/>
    <col min="10682" max="10682" width="11.109375" style="14" customWidth="1"/>
    <col min="10683" max="10684" width="6" style="14" customWidth="1"/>
    <col min="10685" max="10687" width="9" style="14" customWidth="1"/>
    <col min="10688" max="10688" width="22.44140625" style="14" customWidth="1"/>
    <col min="10689" max="10928" width="11.44140625" style="14"/>
    <col min="10929" max="10929" width="10" style="14" customWidth="1"/>
    <col min="10930" max="10930" width="18.6640625" style="14" customWidth="1"/>
    <col min="10931" max="10931" width="13.88671875" style="14" customWidth="1"/>
    <col min="10932" max="10932" width="5.6640625" style="14" customWidth="1"/>
    <col min="10933" max="10933" width="9.6640625" style="14" customWidth="1"/>
    <col min="10934" max="10934" width="9.109375" style="14" customWidth="1"/>
    <col min="10935" max="10935" width="9.6640625" style="14" customWidth="1"/>
    <col min="10936" max="10936" width="11.44140625" style="14"/>
    <col min="10937" max="10937" width="11.88671875" style="14" customWidth="1"/>
    <col min="10938" max="10938" width="11.109375" style="14" customWidth="1"/>
    <col min="10939" max="10940" width="6" style="14" customWidth="1"/>
    <col min="10941" max="10943" width="9" style="14" customWidth="1"/>
    <col min="10944" max="10944" width="22.44140625" style="14" customWidth="1"/>
    <col min="10945" max="11184" width="11.44140625" style="14"/>
    <col min="11185" max="11185" width="10" style="14" customWidth="1"/>
    <col min="11186" max="11186" width="18.6640625" style="14" customWidth="1"/>
    <col min="11187" max="11187" width="13.88671875" style="14" customWidth="1"/>
    <col min="11188" max="11188" width="5.6640625" style="14" customWidth="1"/>
    <col min="11189" max="11189" width="9.6640625" style="14" customWidth="1"/>
    <col min="11190" max="11190" width="9.109375" style="14" customWidth="1"/>
    <col min="11191" max="11191" width="9.6640625" style="14" customWidth="1"/>
    <col min="11192" max="11192" width="11.44140625" style="14"/>
    <col min="11193" max="11193" width="11.88671875" style="14" customWidth="1"/>
    <col min="11194" max="11194" width="11.109375" style="14" customWidth="1"/>
    <col min="11195" max="11196" width="6" style="14" customWidth="1"/>
    <col min="11197" max="11199" width="9" style="14" customWidth="1"/>
    <col min="11200" max="11200" width="22.44140625" style="14" customWidth="1"/>
    <col min="11201" max="11440" width="11.44140625" style="14"/>
    <col min="11441" max="11441" width="10" style="14" customWidth="1"/>
    <col min="11442" max="11442" width="18.6640625" style="14" customWidth="1"/>
    <col min="11443" max="11443" width="13.88671875" style="14" customWidth="1"/>
    <col min="11444" max="11444" width="5.6640625" style="14" customWidth="1"/>
    <col min="11445" max="11445" width="9.6640625" style="14" customWidth="1"/>
    <col min="11446" max="11446" width="9.109375" style="14" customWidth="1"/>
    <col min="11447" max="11447" width="9.6640625" style="14" customWidth="1"/>
    <col min="11448" max="11448" width="11.44140625" style="14"/>
    <col min="11449" max="11449" width="11.88671875" style="14" customWidth="1"/>
    <col min="11450" max="11450" width="11.109375" style="14" customWidth="1"/>
    <col min="11451" max="11452" width="6" style="14" customWidth="1"/>
    <col min="11453" max="11455" width="9" style="14" customWidth="1"/>
    <col min="11456" max="11456" width="22.44140625" style="14" customWidth="1"/>
    <col min="11457" max="11696" width="11.44140625" style="14"/>
    <col min="11697" max="11697" width="10" style="14" customWidth="1"/>
    <col min="11698" max="11698" width="18.6640625" style="14" customWidth="1"/>
    <col min="11699" max="11699" width="13.88671875" style="14" customWidth="1"/>
    <col min="11700" max="11700" width="5.6640625" style="14" customWidth="1"/>
    <col min="11701" max="11701" width="9.6640625" style="14" customWidth="1"/>
    <col min="11702" max="11702" width="9.109375" style="14" customWidth="1"/>
    <col min="11703" max="11703" width="9.6640625" style="14" customWidth="1"/>
    <col min="11704" max="11704" width="11.44140625" style="14"/>
    <col min="11705" max="11705" width="11.88671875" style="14" customWidth="1"/>
    <col min="11706" max="11706" width="11.109375" style="14" customWidth="1"/>
    <col min="11707" max="11708" width="6" style="14" customWidth="1"/>
    <col min="11709" max="11711" width="9" style="14" customWidth="1"/>
    <col min="11712" max="11712" width="22.44140625" style="14" customWidth="1"/>
    <col min="11713" max="11952" width="11.44140625" style="14"/>
    <col min="11953" max="11953" width="10" style="14" customWidth="1"/>
    <col min="11954" max="11954" width="18.6640625" style="14" customWidth="1"/>
    <col min="11955" max="11955" width="13.88671875" style="14" customWidth="1"/>
    <col min="11956" max="11956" width="5.6640625" style="14" customWidth="1"/>
    <col min="11957" max="11957" width="9.6640625" style="14" customWidth="1"/>
    <col min="11958" max="11958" width="9.109375" style="14" customWidth="1"/>
    <col min="11959" max="11959" width="9.6640625" style="14" customWidth="1"/>
    <col min="11960" max="11960" width="11.44140625" style="14"/>
    <col min="11961" max="11961" width="11.88671875" style="14" customWidth="1"/>
    <col min="11962" max="11962" width="11.109375" style="14" customWidth="1"/>
    <col min="11963" max="11964" width="6" style="14" customWidth="1"/>
    <col min="11965" max="11967" width="9" style="14" customWidth="1"/>
    <col min="11968" max="11968" width="22.44140625" style="14" customWidth="1"/>
    <col min="11969" max="12208" width="11.44140625" style="14"/>
    <col min="12209" max="12209" width="10" style="14" customWidth="1"/>
    <col min="12210" max="12210" width="18.6640625" style="14" customWidth="1"/>
    <col min="12211" max="12211" width="13.88671875" style="14" customWidth="1"/>
    <col min="12212" max="12212" width="5.6640625" style="14" customWidth="1"/>
    <col min="12213" max="12213" width="9.6640625" style="14" customWidth="1"/>
    <col min="12214" max="12214" width="9.109375" style="14" customWidth="1"/>
    <col min="12215" max="12215" width="9.6640625" style="14" customWidth="1"/>
    <col min="12216" max="12216" width="11.44140625" style="14"/>
    <col min="12217" max="12217" width="11.88671875" style="14" customWidth="1"/>
    <col min="12218" max="12218" width="11.109375" style="14" customWidth="1"/>
    <col min="12219" max="12220" width="6" style="14" customWidth="1"/>
    <col min="12221" max="12223" width="9" style="14" customWidth="1"/>
    <col min="12224" max="12224" width="22.44140625" style="14" customWidth="1"/>
    <col min="12225" max="12464" width="11.44140625" style="14"/>
    <col min="12465" max="12465" width="10" style="14" customWidth="1"/>
    <col min="12466" max="12466" width="18.6640625" style="14" customWidth="1"/>
    <col min="12467" max="12467" width="13.88671875" style="14" customWidth="1"/>
    <col min="12468" max="12468" width="5.6640625" style="14" customWidth="1"/>
    <col min="12469" max="12469" width="9.6640625" style="14" customWidth="1"/>
    <col min="12470" max="12470" width="9.109375" style="14" customWidth="1"/>
    <col min="12471" max="12471" width="9.6640625" style="14" customWidth="1"/>
    <col min="12472" max="12472" width="11.44140625" style="14"/>
    <col min="12473" max="12473" width="11.88671875" style="14" customWidth="1"/>
    <col min="12474" max="12474" width="11.109375" style="14" customWidth="1"/>
    <col min="12475" max="12476" width="6" style="14" customWidth="1"/>
    <col min="12477" max="12479" width="9" style="14" customWidth="1"/>
    <col min="12480" max="12480" width="22.44140625" style="14" customWidth="1"/>
    <col min="12481" max="12720" width="11.44140625" style="14"/>
    <col min="12721" max="12721" width="10" style="14" customWidth="1"/>
    <col min="12722" max="12722" width="18.6640625" style="14" customWidth="1"/>
    <col min="12723" max="12723" width="13.88671875" style="14" customWidth="1"/>
    <col min="12724" max="12724" width="5.6640625" style="14" customWidth="1"/>
    <col min="12725" max="12725" width="9.6640625" style="14" customWidth="1"/>
    <col min="12726" max="12726" width="9.109375" style="14" customWidth="1"/>
    <col min="12727" max="12727" width="9.6640625" style="14" customWidth="1"/>
    <col min="12728" max="12728" width="11.44140625" style="14"/>
    <col min="12729" max="12729" width="11.88671875" style="14" customWidth="1"/>
    <col min="12730" max="12730" width="11.109375" style="14" customWidth="1"/>
    <col min="12731" max="12732" width="6" style="14" customWidth="1"/>
    <col min="12733" max="12735" width="9" style="14" customWidth="1"/>
    <col min="12736" max="12736" width="22.44140625" style="14" customWidth="1"/>
    <col min="12737" max="12976" width="11.44140625" style="14"/>
    <col min="12977" max="12977" width="10" style="14" customWidth="1"/>
    <col min="12978" max="12978" width="18.6640625" style="14" customWidth="1"/>
    <col min="12979" max="12979" width="13.88671875" style="14" customWidth="1"/>
    <col min="12980" max="12980" width="5.6640625" style="14" customWidth="1"/>
    <col min="12981" max="12981" width="9.6640625" style="14" customWidth="1"/>
    <col min="12982" max="12982" width="9.109375" style="14" customWidth="1"/>
    <col min="12983" max="12983" width="9.6640625" style="14" customWidth="1"/>
    <col min="12984" max="12984" width="11.44140625" style="14"/>
    <col min="12985" max="12985" width="11.88671875" style="14" customWidth="1"/>
    <col min="12986" max="12986" width="11.109375" style="14" customWidth="1"/>
    <col min="12987" max="12988" width="6" style="14" customWidth="1"/>
    <col min="12989" max="12991" width="9" style="14" customWidth="1"/>
    <col min="12992" max="12992" width="22.44140625" style="14" customWidth="1"/>
    <col min="12993" max="13232" width="11.44140625" style="14"/>
    <col min="13233" max="13233" width="10" style="14" customWidth="1"/>
    <col min="13234" max="13234" width="18.6640625" style="14" customWidth="1"/>
    <col min="13235" max="13235" width="13.88671875" style="14" customWidth="1"/>
    <col min="13236" max="13236" width="5.6640625" style="14" customWidth="1"/>
    <col min="13237" max="13237" width="9.6640625" style="14" customWidth="1"/>
    <col min="13238" max="13238" width="9.109375" style="14" customWidth="1"/>
    <col min="13239" max="13239" width="9.6640625" style="14" customWidth="1"/>
    <col min="13240" max="13240" width="11.44140625" style="14"/>
    <col min="13241" max="13241" width="11.88671875" style="14" customWidth="1"/>
    <col min="13242" max="13242" width="11.109375" style="14" customWidth="1"/>
    <col min="13243" max="13244" width="6" style="14" customWidth="1"/>
    <col min="13245" max="13247" width="9" style="14" customWidth="1"/>
    <col min="13248" max="13248" width="22.44140625" style="14" customWidth="1"/>
    <col min="13249" max="13488" width="11.44140625" style="14"/>
    <col min="13489" max="13489" width="10" style="14" customWidth="1"/>
    <col min="13490" max="13490" width="18.6640625" style="14" customWidth="1"/>
    <col min="13491" max="13491" width="13.88671875" style="14" customWidth="1"/>
    <col min="13492" max="13492" width="5.6640625" style="14" customWidth="1"/>
    <col min="13493" max="13493" width="9.6640625" style="14" customWidth="1"/>
    <col min="13494" max="13494" width="9.109375" style="14" customWidth="1"/>
    <col min="13495" max="13495" width="9.6640625" style="14" customWidth="1"/>
    <col min="13496" max="13496" width="11.44140625" style="14"/>
    <col min="13497" max="13497" width="11.88671875" style="14" customWidth="1"/>
    <col min="13498" max="13498" width="11.109375" style="14" customWidth="1"/>
    <col min="13499" max="13500" width="6" style="14" customWidth="1"/>
    <col min="13501" max="13503" width="9" style="14" customWidth="1"/>
    <col min="13504" max="13504" width="22.44140625" style="14" customWidth="1"/>
    <col min="13505" max="13744" width="11.44140625" style="14"/>
    <col min="13745" max="13745" width="10" style="14" customWidth="1"/>
    <col min="13746" max="13746" width="18.6640625" style="14" customWidth="1"/>
    <col min="13747" max="13747" width="13.88671875" style="14" customWidth="1"/>
    <col min="13748" max="13748" width="5.6640625" style="14" customWidth="1"/>
    <col min="13749" max="13749" width="9.6640625" style="14" customWidth="1"/>
    <col min="13750" max="13750" width="9.109375" style="14" customWidth="1"/>
    <col min="13751" max="13751" width="9.6640625" style="14" customWidth="1"/>
    <col min="13752" max="13752" width="11.44140625" style="14"/>
    <col min="13753" max="13753" width="11.88671875" style="14" customWidth="1"/>
    <col min="13754" max="13754" width="11.109375" style="14" customWidth="1"/>
    <col min="13755" max="13756" width="6" style="14" customWidth="1"/>
    <col min="13757" max="13759" width="9" style="14" customWidth="1"/>
    <col min="13760" max="13760" width="22.44140625" style="14" customWidth="1"/>
    <col min="13761" max="14000" width="11.44140625" style="14"/>
    <col min="14001" max="14001" width="10" style="14" customWidth="1"/>
    <col min="14002" max="14002" width="18.6640625" style="14" customWidth="1"/>
    <col min="14003" max="14003" width="13.88671875" style="14" customWidth="1"/>
    <col min="14004" max="14004" width="5.6640625" style="14" customWidth="1"/>
    <col min="14005" max="14005" width="9.6640625" style="14" customWidth="1"/>
    <col min="14006" max="14006" width="9.109375" style="14" customWidth="1"/>
    <col min="14007" max="14007" width="9.6640625" style="14" customWidth="1"/>
    <col min="14008" max="14008" width="11.44140625" style="14"/>
    <col min="14009" max="14009" width="11.88671875" style="14" customWidth="1"/>
    <col min="14010" max="14010" width="11.109375" style="14" customWidth="1"/>
    <col min="14011" max="14012" width="6" style="14" customWidth="1"/>
    <col min="14013" max="14015" width="9" style="14" customWidth="1"/>
    <col min="14016" max="14016" width="22.44140625" style="14" customWidth="1"/>
    <col min="14017" max="14256" width="11.44140625" style="14"/>
    <col min="14257" max="14257" width="10" style="14" customWidth="1"/>
    <col min="14258" max="14258" width="18.6640625" style="14" customWidth="1"/>
    <col min="14259" max="14259" width="13.88671875" style="14" customWidth="1"/>
    <col min="14260" max="14260" width="5.6640625" style="14" customWidth="1"/>
    <col min="14261" max="14261" width="9.6640625" style="14" customWidth="1"/>
    <col min="14262" max="14262" width="9.109375" style="14" customWidth="1"/>
    <col min="14263" max="14263" width="9.6640625" style="14" customWidth="1"/>
    <col min="14264" max="14264" width="11.44140625" style="14"/>
    <col min="14265" max="14265" width="11.88671875" style="14" customWidth="1"/>
    <col min="14266" max="14266" width="11.109375" style="14" customWidth="1"/>
    <col min="14267" max="14268" width="6" style="14" customWidth="1"/>
    <col min="14269" max="14271" width="9" style="14" customWidth="1"/>
    <col min="14272" max="14272" width="22.44140625" style="14" customWidth="1"/>
    <col min="14273" max="14512" width="11.44140625" style="14"/>
    <col min="14513" max="14513" width="10" style="14" customWidth="1"/>
    <col min="14514" max="14514" width="18.6640625" style="14" customWidth="1"/>
    <col min="14515" max="14515" width="13.88671875" style="14" customWidth="1"/>
    <col min="14516" max="14516" width="5.6640625" style="14" customWidth="1"/>
    <col min="14517" max="14517" width="9.6640625" style="14" customWidth="1"/>
    <col min="14518" max="14518" width="9.109375" style="14" customWidth="1"/>
    <col min="14519" max="14519" width="9.6640625" style="14" customWidth="1"/>
    <col min="14520" max="14520" width="11.44140625" style="14"/>
    <col min="14521" max="14521" width="11.88671875" style="14" customWidth="1"/>
    <col min="14522" max="14522" width="11.109375" style="14" customWidth="1"/>
    <col min="14523" max="14524" width="6" style="14" customWidth="1"/>
    <col min="14525" max="14527" width="9" style="14" customWidth="1"/>
    <col min="14528" max="14528" width="22.44140625" style="14" customWidth="1"/>
    <col min="14529" max="14768" width="11.44140625" style="14"/>
    <col min="14769" max="14769" width="10" style="14" customWidth="1"/>
    <col min="14770" max="14770" width="18.6640625" style="14" customWidth="1"/>
    <col min="14771" max="14771" width="13.88671875" style="14" customWidth="1"/>
    <col min="14772" max="14772" width="5.6640625" style="14" customWidth="1"/>
    <col min="14773" max="14773" width="9.6640625" style="14" customWidth="1"/>
    <col min="14774" max="14774" width="9.109375" style="14" customWidth="1"/>
    <col min="14775" max="14775" width="9.6640625" style="14" customWidth="1"/>
    <col min="14776" max="14776" width="11.44140625" style="14"/>
    <col min="14777" max="14777" width="11.88671875" style="14" customWidth="1"/>
    <col min="14778" max="14778" width="11.109375" style="14" customWidth="1"/>
    <col min="14779" max="14780" width="6" style="14" customWidth="1"/>
    <col min="14781" max="14783" width="9" style="14" customWidth="1"/>
    <col min="14784" max="14784" width="22.44140625" style="14" customWidth="1"/>
    <col min="14785" max="15024" width="11.44140625" style="14"/>
    <col min="15025" max="15025" width="10" style="14" customWidth="1"/>
    <col min="15026" max="15026" width="18.6640625" style="14" customWidth="1"/>
    <col min="15027" max="15027" width="13.88671875" style="14" customWidth="1"/>
    <col min="15028" max="15028" width="5.6640625" style="14" customWidth="1"/>
    <col min="15029" max="15029" width="9.6640625" style="14" customWidth="1"/>
    <col min="15030" max="15030" width="9.109375" style="14" customWidth="1"/>
    <col min="15031" max="15031" width="9.6640625" style="14" customWidth="1"/>
    <col min="15032" max="15032" width="11.44140625" style="14"/>
    <col min="15033" max="15033" width="11.88671875" style="14" customWidth="1"/>
    <col min="15034" max="15034" width="11.109375" style="14" customWidth="1"/>
    <col min="15035" max="15036" width="6" style="14" customWidth="1"/>
    <col min="15037" max="15039" width="9" style="14" customWidth="1"/>
    <col min="15040" max="15040" width="22.44140625" style="14" customWidth="1"/>
    <col min="15041" max="15280" width="11.44140625" style="14"/>
    <col min="15281" max="15281" width="10" style="14" customWidth="1"/>
    <col min="15282" max="15282" width="18.6640625" style="14" customWidth="1"/>
    <col min="15283" max="15283" width="13.88671875" style="14" customWidth="1"/>
    <col min="15284" max="15284" width="5.6640625" style="14" customWidth="1"/>
    <col min="15285" max="15285" width="9.6640625" style="14" customWidth="1"/>
    <col min="15286" max="15286" width="9.109375" style="14" customWidth="1"/>
    <col min="15287" max="15287" width="9.6640625" style="14" customWidth="1"/>
    <col min="15288" max="15288" width="11.44140625" style="14"/>
    <col min="15289" max="15289" width="11.88671875" style="14" customWidth="1"/>
    <col min="15290" max="15290" width="11.109375" style="14" customWidth="1"/>
    <col min="15291" max="15292" width="6" style="14" customWidth="1"/>
    <col min="15293" max="15295" width="9" style="14" customWidth="1"/>
    <col min="15296" max="15296" width="22.44140625" style="14" customWidth="1"/>
    <col min="15297" max="15536" width="11.44140625" style="14"/>
    <col min="15537" max="15537" width="10" style="14" customWidth="1"/>
    <col min="15538" max="15538" width="18.6640625" style="14" customWidth="1"/>
    <col min="15539" max="15539" width="13.88671875" style="14" customWidth="1"/>
    <col min="15540" max="15540" width="5.6640625" style="14" customWidth="1"/>
    <col min="15541" max="15541" width="9.6640625" style="14" customWidth="1"/>
    <col min="15542" max="15542" width="9.109375" style="14" customWidth="1"/>
    <col min="15543" max="15543" width="9.6640625" style="14" customWidth="1"/>
    <col min="15544" max="15544" width="11.44140625" style="14"/>
    <col min="15545" max="15545" width="11.88671875" style="14" customWidth="1"/>
    <col min="15546" max="15546" width="11.109375" style="14" customWidth="1"/>
    <col min="15547" max="15548" width="6" style="14" customWidth="1"/>
    <col min="15549" max="15551" width="9" style="14" customWidth="1"/>
    <col min="15552" max="15552" width="22.44140625" style="14" customWidth="1"/>
    <col min="15553" max="15792" width="11.44140625" style="14"/>
    <col min="15793" max="15793" width="10" style="14" customWidth="1"/>
    <col min="15794" max="15794" width="18.6640625" style="14" customWidth="1"/>
    <col min="15795" max="15795" width="13.88671875" style="14" customWidth="1"/>
    <col min="15796" max="15796" width="5.6640625" style="14" customWidth="1"/>
    <col min="15797" max="15797" width="9.6640625" style="14" customWidth="1"/>
    <col min="15798" max="15798" width="9.109375" style="14" customWidth="1"/>
    <col min="15799" max="15799" width="9.6640625" style="14" customWidth="1"/>
    <col min="15800" max="15800" width="11.44140625" style="14"/>
    <col min="15801" max="15801" width="11.88671875" style="14" customWidth="1"/>
    <col min="15802" max="15802" width="11.109375" style="14" customWidth="1"/>
    <col min="15803" max="15804" width="6" style="14" customWidth="1"/>
    <col min="15805" max="15807" width="9" style="14" customWidth="1"/>
    <col min="15808" max="15808" width="22.44140625" style="14" customWidth="1"/>
    <col min="15809" max="16048" width="11.44140625" style="14"/>
    <col min="16049" max="16049" width="10" style="14" customWidth="1"/>
    <col min="16050" max="16050" width="18.6640625" style="14" customWidth="1"/>
    <col min="16051" max="16051" width="13.88671875" style="14" customWidth="1"/>
    <col min="16052" max="16052" width="5.6640625" style="14" customWidth="1"/>
    <col min="16053" max="16053" width="9.6640625" style="14" customWidth="1"/>
    <col min="16054" max="16054" width="9.109375" style="14" customWidth="1"/>
    <col min="16055" max="16055" width="9.6640625" style="14" customWidth="1"/>
    <col min="16056" max="16056" width="11.44140625" style="14"/>
    <col min="16057" max="16057" width="11.88671875" style="14" customWidth="1"/>
    <col min="16058" max="16058" width="11.109375" style="14" customWidth="1"/>
    <col min="16059" max="16060" width="6" style="14" customWidth="1"/>
    <col min="16061" max="16063" width="9" style="14" customWidth="1"/>
    <col min="16064" max="16064" width="22.44140625" style="14" customWidth="1"/>
    <col min="16065" max="16384" width="11.44140625" style="14"/>
  </cols>
  <sheetData>
    <row r="1" spans="1:113" s="31" customFormat="1" ht="5.4" customHeight="1" x14ac:dyDescent="0.25"/>
    <row r="2" spans="1:113" customFormat="1" ht="19.95" customHeight="1" x14ac:dyDescent="0.3">
      <c r="D2" s="164" t="s">
        <v>344</v>
      </c>
      <c r="E2" s="164"/>
      <c r="F2" s="165" t="s">
        <v>345</v>
      </c>
      <c r="G2" s="165"/>
      <c r="H2" s="14"/>
      <c r="I2" s="14"/>
      <c r="J2" s="127" t="s">
        <v>346</v>
      </c>
      <c r="K2" s="32"/>
      <c r="L2" s="86" t="s">
        <v>347</v>
      </c>
      <c r="M2" s="86"/>
      <c r="N2" s="14"/>
      <c r="O2" s="14"/>
      <c r="P2" s="14"/>
      <c r="Q2" s="166" t="s">
        <v>348</v>
      </c>
      <c r="R2" s="166"/>
      <c r="S2" s="35">
        <v>44893</v>
      </c>
    </row>
    <row r="3" spans="1:113" customFormat="1" ht="19.95" customHeight="1" x14ac:dyDescent="0.3">
      <c r="D3" s="171" t="s">
        <v>349</v>
      </c>
      <c r="E3" s="171"/>
      <c r="F3" s="172" t="s">
        <v>356</v>
      </c>
      <c r="G3" s="172"/>
      <c r="H3" s="14"/>
      <c r="I3" s="14"/>
      <c r="J3" s="128" t="s">
        <v>350</v>
      </c>
      <c r="K3" s="129"/>
      <c r="L3" s="85" t="s">
        <v>351</v>
      </c>
      <c r="M3" s="85"/>
      <c r="N3" s="14"/>
      <c r="O3" s="14"/>
      <c r="P3" s="14"/>
      <c r="Q3" s="189" t="s">
        <v>352</v>
      </c>
      <c r="R3" s="189"/>
      <c r="S3" s="35"/>
    </row>
    <row r="4" spans="1:113" customFormat="1" ht="19.95" customHeight="1" thickBot="1" x14ac:dyDescent="0.35">
      <c r="K4" s="2"/>
      <c r="L4" s="2"/>
      <c r="M4" s="14"/>
      <c r="N4" s="14"/>
      <c r="O4" s="14"/>
      <c r="P4" s="14"/>
      <c r="Q4" s="208" t="s">
        <v>353</v>
      </c>
      <c r="R4" s="208"/>
      <c r="S4" s="36" t="s">
        <v>354</v>
      </c>
    </row>
    <row r="5" spans="1:113" customFormat="1" ht="28.2" customHeight="1" thickTop="1" x14ac:dyDescent="0.25">
      <c r="B5" s="87" t="s">
        <v>366</v>
      </c>
      <c r="C5" s="87"/>
      <c r="D5" s="87"/>
      <c r="E5" s="87"/>
      <c r="F5" s="88"/>
      <c r="G5" s="87"/>
      <c r="H5" s="87"/>
      <c r="I5" s="87"/>
      <c r="J5" s="87"/>
      <c r="K5" s="87"/>
      <c r="L5" s="87"/>
      <c r="M5" s="87"/>
      <c r="N5" s="87"/>
      <c r="O5" s="87"/>
      <c r="P5" s="87"/>
      <c r="Q5" s="87"/>
      <c r="R5" s="87"/>
      <c r="S5" s="87"/>
    </row>
    <row r="6" spans="1:113" customFormat="1" ht="15" customHeight="1" x14ac:dyDescent="0.25">
      <c r="B6" s="89"/>
      <c r="C6" s="89"/>
      <c r="D6" s="89"/>
      <c r="E6" s="89"/>
      <c r="F6" s="90"/>
      <c r="G6" s="89"/>
      <c r="H6" s="89"/>
      <c r="I6" s="89"/>
      <c r="J6" s="89"/>
      <c r="K6" s="89"/>
      <c r="L6" s="89"/>
      <c r="M6" s="89"/>
      <c r="N6" s="89"/>
      <c r="O6" s="89"/>
      <c r="P6" s="89"/>
      <c r="Q6" s="89"/>
      <c r="R6" s="89"/>
      <c r="S6" s="89"/>
    </row>
    <row r="7" spans="1:113" customFormat="1" ht="15" customHeight="1" x14ac:dyDescent="0.25">
      <c r="B7" s="192" t="s">
        <v>365</v>
      </c>
      <c r="C7" s="192"/>
      <c r="D7" s="192"/>
      <c r="E7" s="192"/>
      <c r="F7" s="192"/>
      <c r="G7" s="192"/>
      <c r="H7" s="192"/>
      <c r="I7" s="192"/>
      <c r="J7" s="192"/>
      <c r="K7" s="192"/>
      <c r="L7" s="192"/>
      <c r="M7" s="192"/>
      <c r="N7" s="192"/>
      <c r="O7" s="192"/>
      <c r="P7" s="192"/>
      <c r="Q7" s="192"/>
      <c r="R7" s="192"/>
      <c r="S7" s="192"/>
    </row>
    <row r="8" spans="1:113" customFormat="1" ht="15" customHeight="1" x14ac:dyDescent="0.25">
      <c r="B8" s="89"/>
      <c r="C8" s="89"/>
      <c r="D8" s="89"/>
      <c r="E8" s="89"/>
      <c r="F8" s="90"/>
      <c r="G8" s="89"/>
      <c r="H8" s="89"/>
      <c r="I8" s="89"/>
      <c r="J8" s="89"/>
      <c r="K8" s="89"/>
      <c r="L8" s="89"/>
      <c r="M8" s="89"/>
      <c r="N8" s="89"/>
      <c r="O8" s="89"/>
      <c r="P8" s="89"/>
      <c r="Q8" s="89"/>
      <c r="R8" s="89"/>
      <c r="S8" s="89"/>
    </row>
    <row r="9" spans="1:113" ht="20.100000000000001" customHeight="1" x14ac:dyDescent="0.3">
      <c r="B9" s="193" t="s">
        <v>82</v>
      </c>
      <c r="C9" s="194"/>
      <c r="D9" s="194"/>
      <c r="E9" s="194"/>
      <c r="F9" s="194"/>
      <c r="G9" s="194"/>
      <c r="H9" s="194"/>
      <c r="I9" s="194"/>
      <c r="J9" s="194"/>
      <c r="K9" s="194"/>
      <c r="L9" s="194"/>
      <c r="M9" s="194"/>
      <c r="N9" s="194"/>
      <c r="O9" s="194"/>
      <c r="P9" s="194"/>
      <c r="Q9" s="194"/>
      <c r="R9" s="194"/>
      <c r="S9" s="195"/>
    </row>
    <row r="10" spans="1:113" ht="19.2" customHeight="1" x14ac:dyDescent="0.3">
      <c r="B10" s="190" t="s">
        <v>83</v>
      </c>
      <c r="C10" s="190"/>
      <c r="D10" s="191"/>
      <c r="E10" s="229" t="s">
        <v>84</v>
      </c>
      <c r="F10" s="230"/>
      <c r="G10" s="230"/>
      <c r="H10" s="230"/>
      <c r="I10" s="230"/>
      <c r="J10" s="230"/>
      <c r="K10" s="230"/>
      <c r="L10" s="231"/>
      <c r="M10" s="224" t="s">
        <v>85</v>
      </c>
      <c r="N10" s="225"/>
      <c r="O10" s="226"/>
      <c r="P10" s="229">
        <v>11</v>
      </c>
      <c r="Q10" s="230"/>
      <c r="R10" s="230"/>
      <c r="S10" s="230"/>
    </row>
    <row r="11" spans="1:113" ht="19.2" customHeight="1" x14ac:dyDescent="0.3">
      <c r="B11" s="190" t="s">
        <v>86</v>
      </c>
      <c r="C11" s="190"/>
      <c r="D11" s="191"/>
      <c r="E11" s="229" t="s">
        <v>87</v>
      </c>
      <c r="F11" s="230"/>
      <c r="G11" s="230"/>
      <c r="H11" s="230"/>
      <c r="I11" s="230"/>
      <c r="J11" s="230"/>
      <c r="K11" s="230"/>
      <c r="L11" s="231"/>
      <c r="M11" s="224" t="s">
        <v>88</v>
      </c>
      <c r="N11" s="225"/>
      <c r="O11" s="226"/>
      <c r="P11" s="229" t="s">
        <v>89</v>
      </c>
      <c r="Q11" s="230"/>
      <c r="R11" s="230"/>
      <c r="S11" s="230"/>
    </row>
    <row r="12" spans="1:113" ht="19.2" customHeight="1" x14ac:dyDescent="0.3">
      <c r="B12" s="190" t="s">
        <v>90</v>
      </c>
      <c r="C12" s="190"/>
      <c r="D12" s="191"/>
      <c r="E12" s="229" t="s">
        <v>341</v>
      </c>
      <c r="F12" s="230"/>
      <c r="G12" s="230"/>
      <c r="H12" s="230"/>
      <c r="I12" s="230"/>
      <c r="J12" s="230"/>
      <c r="K12" s="230"/>
      <c r="L12" s="231"/>
      <c r="M12" s="224" t="s">
        <v>91</v>
      </c>
      <c r="N12" s="225"/>
      <c r="O12" s="226"/>
      <c r="P12" s="227">
        <v>44596</v>
      </c>
      <c r="Q12" s="228"/>
      <c r="R12" s="228"/>
      <c r="S12" s="228"/>
    </row>
    <row r="13" spans="1:113" s="15" customFormat="1" ht="33.75" customHeight="1" x14ac:dyDescent="0.3">
      <c r="A13" s="16"/>
      <c r="B13" s="191" t="s">
        <v>92</v>
      </c>
      <c r="C13" s="217"/>
      <c r="D13" s="217"/>
      <c r="E13" s="218" t="s">
        <v>93</v>
      </c>
      <c r="F13" s="218"/>
      <c r="G13" s="218"/>
      <c r="H13" s="218"/>
      <c r="I13" s="218"/>
      <c r="J13" s="218"/>
      <c r="K13" s="218"/>
      <c r="L13" s="218"/>
      <c r="M13" s="218"/>
      <c r="N13" s="218"/>
      <c r="O13" s="218"/>
      <c r="P13" s="218"/>
      <c r="Q13" s="218"/>
      <c r="R13" s="218"/>
      <c r="S13" s="219"/>
      <c r="U13" s="13"/>
      <c r="V13" s="13"/>
      <c r="W13" s="13"/>
      <c r="X13" s="13"/>
      <c r="Y13" s="13"/>
      <c r="Z13" s="13"/>
      <c r="AA13" s="13"/>
      <c r="AB13" s="13"/>
      <c r="AC13" s="13"/>
      <c r="AD13" s="13"/>
      <c r="AE13" s="13"/>
      <c r="AF13" s="13"/>
      <c r="AG13" s="13"/>
      <c r="AH13" s="13"/>
      <c r="AI13" s="13"/>
      <c r="AJ13" s="13"/>
      <c r="AK13" s="13"/>
      <c r="AL13" s="13"/>
      <c r="AM13" s="13"/>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row>
    <row r="14" spans="1:113" x14ac:dyDescent="0.3">
      <c r="B14" s="91"/>
      <c r="C14" s="91"/>
      <c r="D14" s="91"/>
      <c r="E14" s="91"/>
      <c r="F14" s="91"/>
      <c r="G14" s="91"/>
      <c r="H14" s="91"/>
      <c r="I14" s="91"/>
      <c r="J14" s="91"/>
      <c r="K14" s="91"/>
      <c r="L14" s="91"/>
      <c r="M14" s="91"/>
      <c r="N14" s="91"/>
      <c r="O14" s="91"/>
      <c r="P14" s="91"/>
      <c r="Q14" s="91"/>
      <c r="R14" s="91"/>
      <c r="S14" s="91"/>
    </row>
    <row r="15" spans="1:113" s="17" customFormat="1" ht="20.100000000000001" customHeight="1" x14ac:dyDescent="0.3">
      <c r="A15" s="18"/>
      <c r="B15" s="193" t="s">
        <v>94</v>
      </c>
      <c r="C15" s="194"/>
      <c r="D15" s="194"/>
      <c r="E15" s="194"/>
      <c r="F15" s="194"/>
      <c r="G15" s="194"/>
      <c r="H15" s="194"/>
      <c r="I15" s="194"/>
      <c r="J15" s="194"/>
      <c r="K15" s="194"/>
      <c r="L15" s="194"/>
      <c r="M15" s="194"/>
      <c r="N15" s="194"/>
      <c r="O15" s="194"/>
      <c r="P15" s="194"/>
      <c r="Q15" s="194"/>
      <c r="R15" s="194"/>
      <c r="S15" s="195"/>
      <c r="U15" s="13"/>
      <c r="V15" s="13"/>
      <c r="W15" s="13"/>
      <c r="X15" s="13"/>
      <c r="Y15" s="13"/>
      <c r="Z15" s="13"/>
      <c r="AA15" s="13"/>
      <c r="AB15" s="13"/>
      <c r="AC15" s="13"/>
      <c r="AD15" s="13"/>
      <c r="AE15" s="13"/>
      <c r="AF15" s="13"/>
      <c r="AG15" s="13"/>
      <c r="AH15" s="13"/>
      <c r="AI15" s="13"/>
      <c r="AJ15" s="13"/>
      <c r="AK15" s="13"/>
      <c r="AL15" s="13"/>
      <c r="AM15" s="13"/>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row>
    <row r="16" spans="1:113" ht="6" customHeight="1" x14ac:dyDescent="0.3">
      <c r="B16" s="91"/>
      <c r="C16" s="91"/>
      <c r="D16" s="91"/>
      <c r="E16" s="91"/>
      <c r="F16" s="91"/>
      <c r="G16" s="91"/>
      <c r="H16" s="91"/>
      <c r="I16" s="91"/>
      <c r="J16" s="91"/>
      <c r="K16" s="91"/>
      <c r="L16" s="91"/>
      <c r="M16" s="91"/>
      <c r="N16" s="91"/>
      <c r="O16" s="91"/>
      <c r="P16" s="91"/>
      <c r="Q16" s="91"/>
      <c r="R16" s="91"/>
      <c r="S16" s="91"/>
    </row>
    <row r="17" spans="1:113" x14ac:dyDescent="0.3">
      <c r="B17" s="204" t="s">
        <v>95</v>
      </c>
      <c r="C17" s="204"/>
      <c r="D17" s="204"/>
      <c r="E17" s="101" t="s">
        <v>104</v>
      </c>
      <c r="F17" s="99"/>
      <c r="G17" s="209" t="s">
        <v>97</v>
      </c>
      <c r="H17" s="210"/>
      <c r="I17" s="210"/>
      <c r="J17" s="210"/>
      <c r="K17" s="211"/>
      <c r="L17" s="102" t="s">
        <v>108</v>
      </c>
      <c r="M17" s="91"/>
      <c r="N17" s="103"/>
      <c r="O17" s="220" t="s">
        <v>98</v>
      </c>
      <c r="P17" s="220"/>
      <c r="Q17" s="220"/>
      <c r="R17" s="220"/>
      <c r="S17" s="221"/>
    </row>
    <row r="18" spans="1:113" ht="6" customHeight="1" x14ac:dyDescent="0.3">
      <c r="B18" s="99"/>
      <c r="C18" s="99"/>
      <c r="D18" s="99"/>
      <c r="E18" s="99"/>
      <c r="F18" s="99"/>
      <c r="G18" s="100"/>
      <c r="H18" s="100"/>
      <c r="I18" s="100"/>
      <c r="J18" s="100"/>
      <c r="K18" s="100"/>
      <c r="L18" s="99"/>
      <c r="M18" s="91"/>
      <c r="N18" s="104"/>
      <c r="O18" s="91"/>
      <c r="P18" s="91"/>
      <c r="Q18" s="91"/>
      <c r="R18" s="91"/>
      <c r="S18" s="105"/>
    </row>
    <row r="19" spans="1:113" x14ac:dyDescent="0.3">
      <c r="B19" s="204"/>
      <c r="C19" s="204"/>
      <c r="D19" s="204"/>
      <c r="E19" s="101"/>
      <c r="F19" s="99"/>
      <c r="G19" s="209" t="s">
        <v>100</v>
      </c>
      <c r="H19" s="210"/>
      <c r="I19" s="210"/>
      <c r="J19" s="210"/>
      <c r="K19" s="211"/>
      <c r="L19" s="101" t="s">
        <v>96</v>
      </c>
      <c r="M19" s="91"/>
      <c r="N19" s="124" t="s">
        <v>96</v>
      </c>
      <c r="O19" s="212" t="s">
        <v>101</v>
      </c>
      <c r="P19" s="212"/>
      <c r="Q19" s="212"/>
      <c r="R19" s="212"/>
      <c r="S19" s="213"/>
    </row>
    <row r="20" spans="1:113" ht="6" customHeight="1" x14ac:dyDescent="0.3">
      <c r="B20" s="99"/>
      <c r="C20" s="99"/>
      <c r="D20" s="99"/>
      <c r="E20" s="99"/>
      <c r="F20" s="99"/>
      <c r="G20" s="100"/>
      <c r="H20" s="100"/>
      <c r="I20" s="100"/>
      <c r="J20" s="100"/>
      <c r="K20" s="100"/>
      <c r="L20" s="99"/>
      <c r="M20" s="91"/>
      <c r="N20" s="107"/>
      <c r="O20" s="93"/>
      <c r="P20" s="93"/>
      <c r="Q20" s="93"/>
      <c r="R20" s="93"/>
      <c r="S20" s="106"/>
    </row>
    <row r="21" spans="1:113" x14ac:dyDescent="0.3">
      <c r="B21" s="204" t="s">
        <v>102</v>
      </c>
      <c r="C21" s="204"/>
      <c r="D21" s="204"/>
      <c r="E21" s="101" t="s">
        <v>96</v>
      </c>
      <c r="F21" s="99"/>
      <c r="G21" s="209" t="s">
        <v>103</v>
      </c>
      <c r="H21" s="210"/>
      <c r="I21" s="210"/>
      <c r="J21" s="210"/>
      <c r="K21" s="211"/>
      <c r="L21" s="101" t="s">
        <v>96</v>
      </c>
      <c r="M21" s="91"/>
      <c r="N21" s="125" t="s">
        <v>104</v>
      </c>
      <c r="O21" s="212" t="s">
        <v>105</v>
      </c>
      <c r="P21" s="212"/>
      <c r="Q21" s="212"/>
      <c r="R21" s="212"/>
      <c r="S21" s="213"/>
    </row>
    <row r="22" spans="1:113" ht="6" customHeight="1" x14ac:dyDescent="0.3">
      <c r="B22" s="100"/>
      <c r="C22" s="100"/>
      <c r="D22" s="100"/>
      <c r="E22" s="99"/>
      <c r="F22" s="99"/>
      <c r="G22" s="100"/>
      <c r="H22" s="100"/>
      <c r="I22" s="100"/>
      <c r="J22" s="100"/>
      <c r="K22" s="100"/>
      <c r="L22" s="99"/>
      <c r="M22" s="91"/>
      <c r="N22" s="107"/>
      <c r="O22" s="93"/>
      <c r="P22" s="93"/>
      <c r="Q22" s="93"/>
      <c r="R22" s="93"/>
      <c r="S22" s="106"/>
    </row>
    <row r="23" spans="1:113" x14ac:dyDescent="0.3">
      <c r="B23" s="204" t="s">
        <v>106</v>
      </c>
      <c r="C23" s="204"/>
      <c r="D23" s="204"/>
      <c r="E23" s="101" t="s">
        <v>96</v>
      </c>
      <c r="F23" s="99"/>
      <c r="G23" s="209" t="s">
        <v>107</v>
      </c>
      <c r="H23" s="210"/>
      <c r="I23" s="210"/>
      <c r="J23" s="210"/>
      <c r="K23" s="211"/>
      <c r="L23" s="101" t="s">
        <v>96</v>
      </c>
      <c r="M23" s="91"/>
      <c r="N23" s="126" t="s">
        <v>108</v>
      </c>
      <c r="O23" s="222" t="s">
        <v>109</v>
      </c>
      <c r="P23" s="222"/>
      <c r="Q23" s="222"/>
      <c r="R23" s="222"/>
      <c r="S23" s="223"/>
    </row>
    <row r="24" spans="1:113" ht="10.5" customHeight="1" x14ac:dyDescent="0.3">
      <c r="B24" s="92"/>
      <c r="C24" s="92"/>
      <c r="D24" s="92"/>
      <c r="E24" s="91"/>
      <c r="F24" s="91"/>
      <c r="G24" s="91"/>
      <c r="H24" s="91"/>
      <c r="I24" s="91"/>
      <c r="J24" s="91"/>
      <c r="K24" s="91"/>
      <c r="L24" s="91"/>
      <c r="M24" s="91"/>
      <c r="N24" s="91"/>
      <c r="O24" s="91"/>
      <c r="P24" s="91"/>
      <c r="Q24" s="91"/>
      <c r="R24" s="91"/>
      <c r="S24" s="91"/>
    </row>
    <row r="25" spans="1:113" ht="20.100000000000001" customHeight="1" x14ac:dyDescent="0.3">
      <c r="B25" s="196" t="s">
        <v>110</v>
      </c>
      <c r="C25" s="197"/>
      <c r="D25" s="197"/>
      <c r="E25" s="197"/>
      <c r="F25" s="197"/>
      <c r="G25" s="197"/>
      <c r="H25" s="197"/>
      <c r="I25" s="197"/>
      <c r="J25" s="197"/>
      <c r="K25" s="197"/>
      <c r="L25" s="197"/>
      <c r="M25" s="197"/>
      <c r="N25" s="197"/>
      <c r="O25" s="197"/>
      <c r="P25" s="197"/>
      <c r="Q25" s="197"/>
      <c r="R25" s="197"/>
      <c r="S25" s="198"/>
    </row>
    <row r="26" spans="1:113" s="15" customFormat="1" ht="24" customHeight="1" x14ac:dyDescent="0.25">
      <c r="A26" s="16"/>
      <c r="B26" s="199" t="s">
        <v>428</v>
      </c>
      <c r="C26" s="200"/>
      <c r="D26" s="200"/>
      <c r="E26" s="200"/>
      <c r="F26" s="200"/>
      <c r="G26" s="200"/>
      <c r="H26" s="200"/>
      <c r="I26" s="200"/>
      <c r="J26" s="200"/>
      <c r="K26" s="200"/>
      <c r="L26" s="200"/>
      <c r="M26" s="200"/>
      <c r="N26" s="200"/>
      <c r="O26" s="201" t="s">
        <v>111</v>
      </c>
      <c r="P26" s="202"/>
      <c r="Q26" s="202"/>
      <c r="R26" s="202"/>
      <c r="S26" s="203"/>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row>
    <row r="27" spans="1:113" x14ac:dyDescent="0.3">
      <c r="B27" s="214" t="s">
        <v>342</v>
      </c>
      <c r="C27" s="214"/>
      <c r="D27" s="214"/>
      <c r="E27" s="214"/>
      <c r="F27" s="214"/>
      <c r="G27" s="214"/>
      <c r="H27" s="214"/>
      <c r="I27" s="214"/>
      <c r="J27" s="214"/>
      <c r="K27" s="214"/>
      <c r="L27" s="214"/>
      <c r="M27" s="214"/>
      <c r="N27" s="214"/>
      <c r="O27" s="215">
        <v>44570</v>
      </c>
      <c r="P27" s="216"/>
      <c r="Q27" s="216"/>
      <c r="R27" s="216"/>
      <c r="S27" s="216"/>
    </row>
    <row r="28" spans="1:113" x14ac:dyDescent="0.3">
      <c r="B28" s="214" t="s">
        <v>112</v>
      </c>
      <c r="C28" s="214"/>
      <c r="D28" s="214"/>
      <c r="E28" s="214"/>
      <c r="F28" s="214"/>
      <c r="G28" s="214"/>
      <c r="H28" s="214"/>
      <c r="I28" s="214"/>
      <c r="J28" s="214"/>
      <c r="K28" s="214"/>
      <c r="L28" s="214"/>
      <c r="M28" s="214"/>
      <c r="N28" s="214"/>
      <c r="O28" s="216" t="s">
        <v>113</v>
      </c>
      <c r="P28" s="216"/>
      <c r="Q28" s="216"/>
      <c r="R28" s="216"/>
      <c r="S28" s="216"/>
    </row>
    <row r="29" spans="1:113" x14ac:dyDescent="0.3">
      <c r="B29" s="214" t="s">
        <v>114</v>
      </c>
      <c r="C29" s="214"/>
      <c r="D29" s="214"/>
      <c r="E29" s="214"/>
      <c r="F29" s="214"/>
      <c r="G29" s="214"/>
      <c r="H29" s="214"/>
      <c r="I29" s="214"/>
      <c r="J29" s="214"/>
      <c r="K29" s="214"/>
      <c r="L29" s="214"/>
      <c r="M29" s="214"/>
      <c r="N29" s="214"/>
      <c r="O29" s="215">
        <v>44576</v>
      </c>
      <c r="P29" s="216"/>
      <c r="Q29" s="216"/>
      <c r="R29" s="216"/>
      <c r="S29" s="216"/>
    </row>
    <row r="30" spans="1:113" x14ac:dyDescent="0.3">
      <c r="B30" s="214" t="s">
        <v>115</v>
      </c>
      <c r="C30" s="214"/>
      <c r="D30" s="214"/>
      <c r="E30" s="214"/>
      <c r="F30" s="214"/>
      <c r="G30" s="214"/>
      <c r="H30" s="214"/>
      <c r="I30" s="214"/>
      <c r="J30" s="214"/>
      <c r="K30" s="214"/>
      <c r="L30" s="214"/>
      <c r="M30" s="214"/>
      <c r="N30" s="214"/>
      <c r="O30" s="215">
        <v>44590</v>
      </c>
      <c r="P30" s="216"/>
      <c r="Q30" s="216"/>
      <c r="R30" s="216"/>
      <c r="S30" s="216"/>
    </row>
    <row r="31" spans="1:113" x14ac:dyDescent="0.3">
      <c r="B31" s="214"/>
      <c r="C31" s="214"/>
      <c r="D31" s="214"/>
      <c r="E31" s="214"/>
      <c r="F31" s="214"/>
      <c r="G31" s="214"/>
      <c r="H31" s="214"/>
      <c r="I31" s="214"/>
      <c r="J31" s="214"/>
      <c r="K31" s="214"/>
      <c r="L31" s="214"/>
      <c r="M31" s="214"/>
      <c r="N31" s="214"/>
      <c r="O31" s="216"/>
      <c r="P31" s="216"/>
      <c r="Q31" s="216"/>
      <c r="R31" s="216"/>
      <c r="S31" s="216"/>
    </row>
    <row r="32" spans="1:113" x14ac:dyDescent="0.3">
      <c r="B32" s="214"/>
      <c r="C32" s="214"/>
      <c r="D32" s="214"/>
      <c r="E32" s="214"/>
      <c r="F32" s="214"/>
      <c r="G32" s="214"/>
      <c r="H32" s="214"/>
      <c r="I32" s="214"/>
      <c r="J32" s="214"/>
      <c r="K32" s="214"/>
      <c r="L32" s="214"/>
      <c r="M32" s="214"/>
      <c r="N32" s="214"/>
      <c r="O32" s="216"/>
      <c r="P32" s="216"/>
      <c r="Q32" s="216"/>
      <c r="R32" s="216"/>
      <c r="S32" s="216"/>
    </row>
    <row r="33" spans="1:113" x14ac:dyDescent="0.3">
      <c r="B33" s="214"/>
      <c r="C33" s="214"/>
      <c r="D33" s="214"/>
      <c r="E33" s="214"/>
      <c r="F33" s="214"/>
      <c r="G33" s="214"/>
      <c r="H33" s="214"/>
      <c r="I33" s="214"/>
      <c r="J33" s="214"/>
      <c r="K33" s="214"/>
      <c r="L33" s="214"/>
      <c r="M33" s="214"/>
      <c r="N33" s="214"/>
      <c r="O33" s="216"/>
      <c r="P33" s="216"/>
      <c r="Q33" s="216"/>
      <c r="R33" s="216"/>
      <c r="S33" s="216"/>
    </row>
    <row r="34" spans="1:113" x14ac:dyDescent="0.3">
      <c r="B34" s="214"/>
      <c r="C34" s="214"/>
      <c r="D34" s="214"/>
      <c r="E34" s="214"/>
      <c r="F34" s="214"/>
      <c r="G34" s="214"/>
      <c r="H34" s="214"/>
      <c r="I34" s="214"/>
      <c r="J34" s="214"/>
      <c r="K34" s="214"/>
      <c r="L34" s="214"/>
      <c r="M34" s="214"/>
      <c r="N34" s="214"/>
      <c r="O34" s="216"/>
      <c r="P34" s="216"/>
      <c r="Q34" s="216"/>
      <c r="R34" s="216"/>
      <c r="S34" s="216"/>
    </row>
    <row r="35" spans="1:113" x14ac:dyDescent="0.3">
      <c r="B35" s="214"/>
      <c r="C35" s="214"/>
      <c r="D35" s="214"/>
      <c r="E35" s="214"/>
      <c r="F35" s="214"/>
      <c r="G35" s="214"/>
      <c r="H35" s="214"/>
      <c r="I35" s="214"/>
      <c r="J35" s="214"/>
      <c r="K35" s="214"/>
      <c r="L35" s="214"/>
      <c r="M35" s="214"/>
      <c r="N35" s="214"/>
      <c r="O35" s="216"/>
      <c r="P35" s="216"/>
      <c r="Q35" s="216"/>
      <c r="R35" s="216"/>
      <c r="S35" s="216"/>
    </row>
    <row r="36" spans="1:113" x14ac:dyDescent="0.3">
      <c r="B36" s="214"/>
      <c r="C36" s="214"/>
      <c r="D36" s="214"/>
      <c r="E36" s="214"/>
      <c r="F36" s="214"/>
      <c r="G36" s="214"/>
      <c r="H36" s="214"/>
      <c r="I36" s="214"/>
      <c r="J36" s="214"/>
      <c r="K36" s="214"/>
      <c r="L36" s="214"/>
      <c r="M36" s="214"/>
      <c r="N36" s="214"/>
      <c r="O36" s="216"/>
      <c r="P36" s="216"/>
      <c r="Q36" s="216"/>
      <c r="R36" s="216"/>
      <c r="S36" s="216"/>
    </row>
    <row r="37" spans="1:113" ht="9" customHeight="1" x14ac:dyDescent="0.3">
      <c r="B37" s="91"/>
      <c r="C37" s="91"/>
      <c r="D37" s="91"/>
      <c r="E37" s="91"/>
      <c r="F37" s="91"/>
      <c r="G37" s="91"/>
      <c r="H37" s="91"/>
      <c r="I37" s="91"/>
      <c r="J37" s="91"/>
      <c r="K37" s="91"/>
      <c r="L37" s="91"/>
      <c r="M37" s="91"/>
      <c r="N37" s="91"/>
      <c r="O37" s="91"/>
      <c r="P37" s="91"/>
      <c r="Q37" s="91"/>
      <c r="R37" s="91"/>
      <c r="S37" s="91"/>
    </row>
    <row r="38" spans="1:113" s="17" customFormat="1" ht="20.100000000000001" customHeight="1" x14ac:dyDescent="0.3">
      <c r="A38" s="18"/>
      <c r="B38" s="193" t="s">
        <v>429</v>
      </c>
      <c r="C38" s="194"/>
      <c r="D38" s="194"/>
      <c r="E38" s="194"/>
      <c r="F38" s="194"/>
      <c r="G38" s="194"/>
      <c r="H38" s="194"/>
      <c r="I38" s="194"/>
      <c r="J38" s="194"/>
      <c r="K38" s="194"/>
      <c r="L38" s="194"/>
      <c r="M38" s="194"/>
      <c r="N38" s="194"/>
      <c r="O38" s="194"/>
      <c r="P38" s="194"/>
      <c r="Q38" s="194"/>
      <c r="R38" s="194"/>
      <c r="S38" s="195"/>
      <c r="T38" s="13"/>
      <c r="U38" s="13"/>
      <c r="V38" s="13"/>
      <c r="W38" s="13"/>
      <c r="X38" s="13"/>
      <c r="Y38" s="13"/>
      <c r="Z38" s="13"/>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row>
    <row r="39" spans="1:113" s="15" customFormat="1" ht="24" customHeight="1" x14ac:dyDescent="0.3">
      <c r="A39" s="16"/>
      <c r="B39" s="232" t="s">
        <v>430</v>
      </c>
      <c r="C39" s="233"/>
      <c r="D39" s="233"/>
      <c r="E39" s="233"/>
      <c r="F39" s="233"/>
      <c r="G39" s="233"/>
      <c r="H39" s="233"/>
      <c r="I39" s="233"/>
      <c r="J39" s="233"/>
      <c r="K39" s="233"/>
      <c r="L39" s="233"/>
      <c r="M39" s="233"/>
      <c r="N39" s="234"/>
      <c r="O39" s="235" t="s">
        <v>116</v>
      </c>
      <c r="P39" s="236"/>
      <c r="Q39" s="236"/>
      <c r="R39" s="236"/>
      <c r="S39" s="237"/>
      <c r="T39" s="13"/>
      <c r="U39" s="13"/>
      <c r="V39" s="13"/>
      <c r="W39" s="13"/>
      <c r="X39" s="13"/>
      <c r="Y39" s="13"/>
      <c r="Z39" s="13"/>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row>
    <row r="40" spans="1:113" x14ac:dyDescent="0.3">
      <c r="B40" s="214" t="s">
        <v>117</v>
      </c>
      <c r="C40" s="214"/>
      <c r="D40" s="214"/>
      <c r="E40" s="214"/>
      <c r="F40" s="214"/>
      <c r="G40" s="214"/>
      <c r="H40" s="214"/>
      <c r="I40" s="214"/>
      <c r="J40" s="214"/>
      <c r="K40" s="214"/>
      <c r="L40" s="214"/>
      <c r="M40" s="214"/>
      <c r="N40" s="214"/>
      <c r="O40" s="238">
        <v>44590</v>
      </c>
      <c r="P40" s="239"/>
      <c r="Q40" s="239"/>
      <c r="R40" s="239"/>
      <c r="S40" s="240"/>
    </row>
    <row r="41" spans="1:113" ht="14.4" customHeight="1" x14ac:dyDescent="0.3">
      <c r="B41" s="214" t="s">
        <v>118</v>
      </c>
      <c r="C41" s="214"/>
      <c r="D41" s="214"/>
      <c r="E41" s="214"/>
      <c r="F41" s="214"/>
      <c r="G41" s="214"/>
      <c r="H41" s="214"/>
      <c r="I41" s="214"/>
      <c r="J41" s="214"/>
      <c r="K41" s="214"/>
      <c r="L41" s="214"/>
      <c r="M41" s="214"/>
      <c r="N41" s="214"/>
      <c r="O41" s="241">
        <v>44590</v>
      </c>
      <c r="P41" s="242"/>
      <c r="Q41" s="242"/>
      <c r="R41" s="242"/>
      <c r="S41" s="243"/>
    </row>
    <row r="42" spans="1:113" ht="14.4" customHeight="1" x14ac:dyDescent="0.3">
      <c r="B42" s="214" t="s">
        <v>119</v>
      </c>
      <c r="C42" s="214"/>
      <c r="D42" s="214"/>
      <c r="E42" s="214"/>
      <c r="F42" s="214"/>
      <c r="G42" s="214"/>
      <c r="H42" s="214"/>
      <c r="I42" s="214"/>
      <c r="J42" s="214"/>
      <c r="K42" s="214"/>
      <c r="L42" s="214"/>
      <c r="M42" s="214"/>
      <c r="N42" s="214"/>
      <c r="O42" s="241">
        <v>44600</v>
      </c>
      <c r="P42" s="242"/>
      <c r="Q42" s="242"/>
      <c r="R42" s="242"/>
      <c r="S42" s="243"/>
    </row>
    <row r="43" spans="1:113" x14ac:dyDescent="0.3">
      <c r="B43" s="214"/>
      <c r="C43" s="214"/>
      <c r="D43" s="214"/>
      <c r="E43" s="214"/>
      <c r="F43" s="214"/>
      <c r="G43" s="214"/>
      <c r="H43" s="214"/>
      <c r="I43" s="214"/>
      <c r="J43" s="214"/>
      <c r="K43" s="214"/>
      <c r="L43" s="214"/>
      <c r="M43" s="214"/>
      <c r="N43" s="214"/>
      <c r="O43" s="241"/>
      <c r="P43" s="242"/>
      <c r="Q43" s="242"/>
      <c r="R43" s="242"/>
      <c r="S43" s="243"/>
    </row>
    <row r="44" spans="1:113" x14ac:dyDescent="0.3">
      <c r="B44" s="214"/>
      <c r="C44" s="214"/>
      <c r="D44" s="214"/>
      <c r="E44" s="214"/>
      <c r="F44" s="214"/>
      <c r="G44" s="214"/>
      <c r="H44" s="214"/>
      <c r="I44" s="214"/>
      <c r="J44" s="214"/>
      <c r="K44" s="214"/>
      <c r="L44" s="214"/>
      <c r="M44" s="214"/>
      <c r="N44" s="214"/>
      <c r="O44" s="241"/>
      <c r="P44" s="242"/>
      <c r="Q44" s="242"/>
      <c r="R44" s="242"/>
      <c r="S44" s="243"/>
    </row>
    <row r="45" spans="1:113" x14ac:dyDescent="0.3">
      <c r="B45" s="214"/>
      <c r="C45" s="214"/>
      <c r="D45" s="214"/>
      <c r="E45" s="214"/>
      <c r="F45" s="214"/>
      <c r="G45" s="214"/>
      <c r="H45" s="214"/>
      <c r="I45" s="214"/>
      <c r="J45" s="214"/>
      <c r="K45" s="214"/>
      <c r="L45" s="214"/>
      <c r="M45" s="214"/>
      <c r="N45" s="214"/>
      <c r="O45" s="241"/>
      <c r="P45" s="242"/>
      <c r="Q45" s="242"/>
      <c r="R45" s="242"/>
      <c r="S45" s="243"/>
    </row>
    <row r="46" spans="1:113" x14ac:dyDescent="0.3">
      <c r="B46" s="214"/>
      <c r="C46" s="214"/>
      <c r="D46" s="214"/>
      <c r="E46" s="214"/>
      <c r="F46" s="214"/>
      <c r="G46" s="214"/>
      <c r="H46" s="214"/>
      <c r="I46" s="214"/>
      <c r="J46" s="214"/>
      <c r="K46" s="214"/>
      <c r="L46" s="214"/>
      <c r="M46" s="214"/>
      <c r="N46" s="214"/>
      <c r="O46" s="241"/>
      <c r="P46" s="242"/>
      <c r="Q46" s="242"/>
      <c r="R46" s="242"/>
      <c r="S46" s="243"/>
    </row>
    <row r="47" spans="1:113" x14ac:dyDescent="0.3">
      <c r="B47" s="214"/>
      <c r="C47" s="214"/>
      <c r="D47" s="214"/>
      <c r="E47" s="214"/>
      <c r="F47" s="214"/>
      <c r="G47" s="214"/>
      <c r="H47" s="214"/>
      <c r="I47" s="214"/>
      <c r="J47" s="214"/>
      <c r="K47" s="214"/>
      <c r="L47" s="214"/>
      <c r="M47" s="214"/>
      <c r="N47" s="214"/>
      <c r="O47" s="241"/>
      <c r="P47" s="242"/>
      <c r="Q47" s="242"/>
      <c r="R47" s="242"/>
      <c r="S47" s="243"/>
    </row>
    <row r="48" spans="1:113" x14ac:dyDescent="0.3">
      <c r="B48" s="214"/>
      <c r="C48" s="214"/>
      <c r="D48" s="214"/>
      <c r="E48" s="214"/>
      <c r="F48" s="214"/>
      <c r="G48" s="214"/>
      <c r="H48" s="214"/>
      <c r="I48" s="214"/>
      <c r="J48" s="214"/>
      <c r="K48" s="214"/>
      <c r="L48" s="214"/>
      <c r="M48" s="214"/>
      <c r="N48" s="214"/>
      <c r="O48" s="241"/>
      <c r="P48" s="242"/>
      <c r="Q48" s="242"/>
      <c r="R48" s="242"/>
      <c r="S48" s="243"/>
    </row>
    <row r="49" spans="1:113" x14ac:dyDescent="0.3">
      <c r="B49" s="214"/>
      <c r="C49" s="214"/>
      <c r="D49" s="214"/>
      <c r="E49" s="214"/>
      <c r="F49" s="214"/>
      <c r="G49" s="214"/>
      <c r="H49" s="214"/>
      <c r="I49" s="214"/>
      <c r="J49" s="214"/>
      <c r="K49" s="214"/>
      <c r="L49" s="214"/>
      <c r="M49" s="214"/>
      <c r="N49" s="214"/>
      <c r="O49" s="241"/>
      <c r="P49" s="242"/>
      <c r="Q49" s="242"/>
      <c r="R49" s="242"/>
      <c r="S49" s="243"/>
    </row>
    <row r="50" spans="1:113" ht="6.75" customHeight="1" x14ac:dyDescent="0.3">
      <c r="B50" s="94"/>
      <c r="C50" s="94"/>
      <c r="D50" s="94"/>
      <c r="E50" s="94"/>
      <c r="F50" s="94"/>
      <c r="G50" s="94"/>
      <c r="H50" s="94"/>
      <c r="I50" s="94"/>
      <c r="J50" s="94"/>
      <c r="K50" s="94"/>
      <c r="L50" s="94"/>
      <c r="M50" s="94"/>
      <c r="N50" s="94"/>
      <c r="O50" s="94"/>
      <c r="P50" s="94"/>
      <c r="Q50" s="94"/>
      <c r="R50" s="94"/>
      <c r="S50" s="94"/>
    </row>
    <row r="51" spans="1:113" s="17" customFormat="1" ht="20.100000000000001" customHeight="1" x14ac:dyDescent="0.3">
      <c r="A51" s="18"/>
      <c r="B51" s="193" t="s">
        <v>120</v>
      </c>
      <c r="C51" s="194"/>
      <c r="D51" s="194"/>
      <c r="E51" s="194"/>
      <c r="F51" s="194"/>
      <c r="G51" s="194"/>
      <c r="H51" s="194"/>
      <c r="I51" s="194"/>
      <c r="J51" s="194"/>
      <c r="K51" s="194"/>
      <c r="L51" s="194"/>
      <c r="M51" s="194"/>
      <c r="N51" s="194"/>
      <c r="O51" s="194"/>
      <c r="P51" s="194"/>
      <c r="Q51" s="194"/>
      <c r="R51" s="194"/>
      <c r="S51" s="195"/>
      <c r="T51" s="13"/>
      <c r="U51" s="13"/>
      <c r="V51" s="13"/>
      <c r="W51" s="13"/>
      <c r="X51" s="13"/>
      <c r="Y51" s="13"/>
      <c r="Z51" s="13"/>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row>
    <row r="52" spans="1:113" x14ac:dyDescent="0.3">
      <c r="B52" s="244" t="s">
        <v>121</v>
      </c>
      <c r="C52" s="245"/>
      <c r="D52" s="245"/>
      <c r="E52" s="245"/>
      <c r="F52" s="245"/>
      <c r="G52" s="245"/>
      <c r="H52" s="245"/>
      <c r="I52" s="245"/>
      <c r="J52" s="245"/>
      <c r="K52" s="245"/>
      <c r="L52" s="245"/>
      <c r="M52" s="245"/>
      <c r="N52" s="245"/>
      <c r="O52" s="245"/>
      <c r="P52" s="245"/>
      <c r="Q52" s="245"/>
      <c r="R52" s="245"/>
      <c r="S52" s="246"/>
    </row>
    <row r="53" spans="1:113" x14ac:dyDescent="0.3">
      <c r="B53" s="247"/>
      <c r="C53" s="248"/>
      <c r="D53" s="248"/>
      <c r="E53" s="248"/>
      <c r="F53" s="248"/>
      <c r="G53" s="248"/>
      <c r="H53" s="248"/>
      <c r="I53" s="248"/>
      <c r="J53" s="248"/>
      <c r="K53" s="248"/>
      <c r="L53" s="248"/>
      <c r="M53" s="248"/>
      <c r="N53" s="248"/>
      <c r="O53" s="248"/>
      <c r="P53" s="248"/>
      <c r="Q53" s="248"/>
      <c r="R53" s="248"/>
      <c r="S53" s="249"/>
    </row>
    <row r="54" spans="1:113" x14ac:dyDescent="0.3">
      <c r="B54" s="247"/>
      <c r="C54" s="248"/>
      <c r="D54" s="248"/>
      <c r="E54" s="248"/>
      <c r="F54" s="248"/>
      <c r="G54" s="248"/>
      <c r="H54" s="248"/>
      <c r="I54" s="248"/>
      <c r="J54" s="248"/>
      <c r="K54" s="248"/>
      <c r="L54" s="248"/>
      <c r="M54" s="248"/>
      <c r="N54" s="248"/>
      <c r="O54" s="248"/>
      <c r="P54" s="248"/>
      <c r="Q54" s="248"/>
      <c r="R54" s="248"/>
      <c r="S54" s="249"/>
    </row>
    <row r="55" spans="1:113" x14ac:dyDescent="0.3">
      <c r="B55" s="247"/>
      <c r="C55" s="248"/>
      <c r="D55" s="248"/>
      <c r="E55" s="248"/>
      <c r="F55" s="248"/>
      <c r="G55" s="248"/>
      <c r="H55" s="248"/>
      <c r="I55" s="248"/>
      <c r="J55" s="248"/>
      <c r="K55" s="248"/>
      <c r="L55" s="248"/>
      <c r="M55" s="248"/>
      <c r="N55" s="248"/>
      <c r="O55" s="248"/>
      <c r="P55" s="248"/>
      <c r="Q55" s="248"/>
      <c r="R55" s="248"/>
      <c r="S55" s="249"/>
    </row>
    <row r="56" spans="1:113" x14ac:dyDescent="0.3">
      <c r="B56" s="247"/>
      <c r="C56" s="248"/>
      <c r="D56" s="248"/>
      <c r="E56" s="248"/>
      <c r="F56" s="248"/>
      <c r="G56" s="248"/>
      <c r="H56" s="248"/>
      <c r="I56" s="248"/>
      <c r="J56" s="248"/>
      <c r="K56" s="248"/>
      <c r="L56" s="248"/>
      <c r="M56" s="248"/>
      <c r="N56" s="248"/>
      <c r="O56" s="248"/>
      <c r="P56" s="248"/>
      <c r="Q56" s="248"/>
      <c r="R56" s="248"/>
      <c r="S56" s="249"/>
    </row>
    <row r="57" spans="1:113" x14ac:dyDescent="0.3">
      <c r="B57" s="247"/>
      <c r="C57" s="248"/>
      <c r="D57" s="248"/>
      <c r="E57" s="248"/>
      <c r="F57" s="248"/>
      <c r="G57" s="248"/>
      <c r="H57" s="248"/>
      <c r="I57" s="248"/>
      <c r="J57" s="248"/>
      <c r="K57" s="248"/>
      <c r="L57" s="248"/>
      <c r="M57" s="248"/>
      <c r="N57" s="248"/>
      <c r="O57" s="248"/>
      <c r="P57" s="248"/>
      <c r="Q57" s="248"/>
      <c r="R57" s="248"/>
      <c r="S57" s="249"/>
    </row>
    <row r="58" spans="1:113" x14ac:dyDescent="0.3">
      <c r="B58" s="247"/>
      <c r="C58" s="248"/>
      <c r="D58" s="248"/>
      <c r="E58" s="248"/>
      <c r="F58" s="248"/>
      <c r="G58" s="248"/>
      <c r="H58" s="248"/>
      <c r="I58" s="248"/>
      <c r="J58" s="248"/>
      <c r="K58" s="248"/>
      <c r="L58" s="248"/>
      <c r="M58" s="248"/>
      <c r="N58" s="248"/>
      <c r="O58" s="248"/>
      <c r="P58" s="248"/>
      <c r="Q58" s="248"/>
      <c r="R58" s="248"/>
      <c r="S58" s="249"/>
    </row>
    <row r="59" spans="1:113" x14ac:dyDescent="0.3">
      <c r="B59" s="247"/>
      <c r="C59" s="248"/>
      <c r="D59" s="248"/>
      <c r="E59" s="248"/>
      <c r="F59" s="248"/>
      <c r="G59" s="248"/>
      <c r="H59" s="248"/>
      <c r="I59" s="248"/>
      <c r="J59" s="248"/>
      <c r="K59" s="248"/>
      <c r="L59" s="248"/>
      <c r="M59" s="248"/>
      <c r="N59" s="248"/>
      <c r="O59" s="248"/>
      <c r="P59" s="248"/>
      <c r="Q59" s="248"/>
      <c r="R59" s="248"/>
      <c r="S59" s="249"/>
    </row>
    <row r="60" spans="1:113" x14ac:dyDescent="0.3">
      <c r="B60" s="250"/>
      <c r="C60" s="251"/>
      <c r="D60" s="251"/>
      <c r="E60" s="251"/>
      <c r="F60" s="251"/>
      <c r="G60" s="251"/>
      <c r="H60" s="251"/>
      <c r="I60" s="251"/>
      <c r="J60" s="251"/>
      <c r="K60" s="251"/>
      <c r="L60" s="251"/>
      <c r="M60" s="251"/>
      <c r="N60" s="251"/>
      <c r="O60" s="251"/>
      <c r="P60" s="251"/>
      <c r="Q60" s="251"/>
      <c r="R60" s="251"/>
      <c r="S60" s="252"/>
    </row>
    <row r="61" spans="1:113" ht="19.2" customHeight="1" x14ac:dyDescent="0.3">
      <c r="B61" s="91"/>
      <c r="C61" s="91"/>
      <c r="D61" s="91"/>
      <c r="E61" s="91"/>
      <c r="F61" s="91"/>
      <c r="G61" s="91"/>
      <c r="H61" s="91"/>
      <c r="I61" s="91"/>
      <c r="J61" s="91"/>
      <c r="K61" s="91"/>
      <c r="L61" s="91"/>
      <c r="M61" s="91"/>
      <c r="N61" s="91"/>
      <c r="O61" s="91"/>
      <c r="P61" s="91"/>
      <c r="Q61" s="91"/>
      <c r="R61" s="91"/>
      <c r="S61" s="96"/>
    </row>
    <row r="62" spans="1:113" ht="19.2" customHeight="1" x14ac:dyDescent="0.3">
      <c r="B62" s="192" t="s">
        <v>122</v>
      </c>
      <c r="C62" s="192"/>
      <c r="D62" s="192"/>
      <c r="E62" s="192"/>
      <c r="F62" s="192"/>
      <c r="G62" s="192"/>
      <c r="H62" s="192"/>
      <c r="I62" s="192"/>
      <c r="J62" s="192"/>
      <c r="K62" s="192"/>
      <c r="L62" s="192"/>
      <c r="M62" s="192"/>
      <c r="N62" s="192"/>
      <c r="O62" s="192"/>
      <c r="P62" s="192"/>
      <c r="Q62" s="192"/>
      <c r="R62" s="192"/>
      <c r="S62" s="192"/>
    </row>
    <row r="63" spans="1:113" x14ac:dyDescent="0.3">
      <c r="B63" s="97"/>
      <c r="C63" s="97"/>
      <c r="D63" s="97"/>
      <c r="E63" s="97"/>
      <c r="F63" s="97"/>
      <c r="G63" s="97"/>
      <c r="H63" s="97"/>
      <c r="I63" s="97"/>
      <c r="J63" s="97"/>
      <c r="K63" s="97"/>
      <c r="L63" s="97"/>
      <c r="M63" s="97"/>
      <c r="N63" s="97"/>
      <c r="O63" s="97"/>
      <c r="P63" s="97"/>
      <c r="Q63" s="97"/>
      <c r="R63" s="97"/>
      <c r="S63" s="97"/>
    </row>
    <row r="64" spans="1:113" s="17" customFormat="1" ht="20.100000000000001" customHeight="1" x14ac:dyDescent="0.3">
      <c r="A64" s="18"/>
      <c r="B64" s="193" t="s">
        <v>123</v>
      </c>
      <c r="C64" s="194"/>
      <c r="D64" s="194"/>
      <c r="E64" s="194"/>
      <c r="F64" s="194"/>
      <c r="G64" s="194"/>
      <c r="H64" s="194"/>
      <c r="I64" s="194"/>
      <c r="J64" s="194"/>
      <c r="K64" s="194"/>
      <c r="L64" s="194"/>
      <c r="M64" s="194"/>
      <c r="N64" s="194"/>
      <c r="O64" s="194"/>
      <c r="P64" s="194"/>
      <c r="Q64" s="194"/>
      <c r="R64" s="194"/>
      <c r="S64" s="195"/>
      <c r="T64" s="13"/>
      <c r="U64" s="13"/>
      <c r="V64" s="13"/>
      <c r="W64" s="13"/>
      <c r="X64" s="13"/>
      <c r="Y64" s="13"/>
      <c r="Z64" s="13"/>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8"/>
      <c r="DI64" s="18"/>
    </row>
    <row r="65" spans="1:113" ht="14.4" customHeight="1" x14ac:dyDescent="0.3">
      <c r="B65" s="244" t="s">
        <v>124</v>
      </c>
      <c r="C65" s="245"/>
      <c r="D65" s="245"/>
      <c r="E65" s="245"/>
      <c r="F65" s="245"/>
      <c r="G65" s="245"/>
      <c r="H65" s="245"/>
      <c r="I65" s="245"/>
      <c r="J65" s="245"/>
      <c r="K65" s="245"/>
      <c r="L65" s="245"/>
      <c r="M65" s="245"/>
      <c r="N65" s="245"/>
      <c r="O65" s="245"/>
      <c r="P65" s="245"/>
      <c r="Q65" s="245"/>
      <c r="R65" s="245"/>
      <c r="S65" s="246"/>
    </row>
    <row r="66" spans="1:113" x14ac:dyDescent="0.3">
      <c r="B66" s="247"/>
      <c r="C66" s="248"/>
      <c r="D66" s="248"/>
      <c r="E66" s="248"/>
      <c r="F66" s="248"/>
      <c r="G66" s="248"/>
      <c r="H66" s="248"/>
      <c r="I66" s="248"/>
      <c r="J66" s="248"/>
      <c r="K66" s="248"/>
      <c r="L66" s="248"/>
      <c r="M66" s="248"/>
      <c r="N66" s="248"/>
      <c r="O66" s="248"/>
      <c r="P66" s="248"/>
      <c r="Q66" s="248"/>
      <c r="R66" s="248"/>
      <c r="S66" s="249"/>
    </row>
    <row r="67" spans="1:113" x14ac:dyDescent="0.3">
      <c r="B67" s="247"/>
      <c r="C67" s="248"/>
      <c r="D67" s="248"/>
      <c r="E67" s="248"/>
      <c r="F67" s="248"/>
      <c r="G67" s="248"/>
      <c r="H67" s="248"/>
      <c r="I67" s="248"/>
      <c r="J67" s="248"/>
      <c r="K67" s="248"/>
      <c r="L67" s="248"/>
      <c r="M67" s="248"/>
      <c r="N67" s="248"/>
      <c r="O67" s="248"/>
      <c r="P67" s="248"/>
      <c r="Q67" s="248"/>
      <c r="R67" s="248"/>
      <c r="S67" s="249"/>
    </row>
    <row r="68" spans="1:113" x14ac:dyDescent="0.3">
      <c r="B68" s="247"/>
      <c r="C68" s="248"/>
      <c r="D68" s="248"/>
      <c r="E68" s="248"/>
      <c r="F68" s="248"/>
      <c r="G68" s="248"/>
      <c r="H68" s="248"/>
      <c r="I68" s="248"/>
      <c r="J68" s="248"/>
      <c r="K68" s="248"/>
      <c r="L68" s="248"/>
      <c r="M68" s="248"/>
      <c r="N68" s="248"/>
      <c r="O68" s="248"/>
      <c r="P68" s="248"/>
      <c r="Q68" s="248"/>
      <c r="R68" s="248"/>
      <c r="S68" s="249"/>
    </row>
    <row r="69" spans="1:113" x14ac:dyDescent="0.3">
      <c r="B69" s="247"/>
      <c r="C69" s="248"/>
      <c r="D69" s="248"/>
      <c r="E69" s="248"/>
      <c r="F69" s="248"/>
      <c r="G69" s="248"/>
      <c r="H69" s="248"/>
      <c r="I69" s="248"/>
      <c r="J69" s="248"/>
      <c r="K69" s="248"/>
      <c r="L69" s="248"/>
      <c r="M69" s="248"/>
      <c r="N69" s="248"/>
      <c r="O69" s="248"/>
      <c r="P69" s="248"/>
      <c r="Q69" s="248"/>
      <c r="R69" s="248"/>
      <c r="S69" s="249"/>
    </row>
    <row r="70" spans="1:113" x14ac:dyDescent="0.3">
      <c r="B70" s="247"/>
      <c r="C70" s="248"/>
      <c r="D70" s="248"/>
      <c r="E70" s="248"/>
      <c r="F70" s="248"/>
      <c r="G70" s="248"/>
      <c r="H70" s="248"/>
      <c r="I70" s="248"/>
      <c r="J70" s="248"/>
      <c r="K70" s="248"/>
      <c r="L70" s="248"/>
      <c r="M70" s="248"/>
      <c r="N70" s="248"/>
      <c r="O70" s="248"/>
      <c r="P70" s="248"/>
      <c r="Q70" s="248"/>
      <c r="R70" s="248"/>
      <c r="S70" s="249"/>
    </row>
    <row r="71" spans="1:113" x14ac:dyDescent="0.3">
      <c r="B71" s="247"/>
      <c r="C71" s="248"/>
      <c r="D71" s="248"/>
      <c r="E71" s="248"/>
      <c r="F71" s="248"/>
      <c r="G71" s="248"/>
      <c r="H71" s="248"/>
      <c r="I71" s="248"/>
      <c r="J71" s="248"/>
      <c r="K71" s="248"/>
      <c r="L71" s="248"/>
      <c r="M71" s="248"/>
      <c r="N71" s="248"/>
      <c r="O71" s="248"/>
      <c r="P71" s="248"/>
      <c r="Q71" s="248"/>
      <c r="R71" s="248"/>
      <c r="S71" s="249"/>
    </row>
    <row r="72" spans="1:113" x14ac:dyDescent="0.3">
      <c r="B72" s="247"/>
      <c r="C72" s="248"/>
      <c r="D72" s="248"/>
      <c r="E72" s="248"/>
      <c r="F72" s="248"/>
      <c r="G72" s="248"/>
      <c r="H72" s="248"/>
      <c r="I72" s="248"/>
      <c r="J72" s="248"/>
      <c r="K72" s="248"/>
      <c r="L72" s="248"/>
      <c r="M72" s="248"/>
      <c r="N72" s="248"/>
      <c r="O72" s="248"/>
      <c r="P72" s="248"/>
      <c r="Q72" s="248"/>
      <c r="R72" s="248"/>
      <c r="S72" s="249"/>
    </row>
    <row r="73" spans="1:113" x14ac:dyDescent="0.3">
      <c r="B73" s="250"/>
      <c r="C73" s="251"/>
      <c r="D73" s="251"/>
      <c r="E73" s="251"/>
      <c r="F73" s="251"/>
      <c r="G73" s="251"/>
      <c r="H73" s="251"/>
      <c r="I73" s="251"/>
      <c r="J73" s="251"/>
      <c r="K73" s="251"/>
      <c r="L73" s="251"/>
      <c r="M73" s="251"/>
      <c r="N73" s="251"/>
      <c r="O73" s="251"/>
      <c r="P73" s="251"/>
      <c r="Q73" s="251"/>
      <c r="R73" s="251"/>
      <c r="S73" s="252"/>
    </row>
    <row r="74" spans="1:113" x14ac:dyDescent="0.3">
      <c r="B74" s="91"/>
      <c r="C74" s="91"/>
      <c r="D74" s="91"/>
      <c r="E74" s="91"/>
      <c r="F74" s="91"/>
      <c r="G74" s="91"/>
      <c r="H74" s="91"/>
      <c r="I74" s="91"/>
      <c r="J74" s="91"/>
      <c r="K74" s="91"/>
      <c r="L74" s="91"/>
      <c r="M74" s="91"/>
      <c r="N74" s="91"/>
      <c r="O74" s="91"/>
      <c r="P74" s="91"/>
      <c r="Q74" s="91"/>
      <c r="R74" s="91"/>
      <c r="S74" s="91"/>
    </row>
    <row r="75" spans="1:113" ht="20.100000000000001" customHeight="1" x14ac:dyDescent="0.3">
      <c r="B75" s="193" t="s">
        <v>343</v>
      </c>
      <c r="C75" s="194"/>
      <c r="D75" s="194"/>
      <c r="E75" s="194"/>
      <c r="F75" s="194"/>
      <c r="G75" s="194"/>
      <c r="H75" s="194"/>
      <c r="I75" s="194"/>
      <c r="J75" s="194"/>
      <c r="K75" s="194"/>
      <c r="L75" s="194"/>
      <c r="M75" s="194"/>
      <c r="N75" s="194"/>
      <c r="O75" s="194"/>
      <c r="P75" s="194"/>
      <c r="Q75" s="194"/>
      <c r="R75" s="194"/>
      <c r="S75" s="195"/>
    </row>
    <row r="76" spans="1:113" ht="6" customHeight="1" x14ac:dyDescent="0.3">
      <c r="B76" s="97"/>
      <c r="C76" s="97"/>
      <c r="D76" s="97"/>
      <c r="E76" s="97"/>
      <c r="F76" s="97"/>
      <c r="G76" s="97"/>
      <c r="H76" s="97"/>
      <c r="I76" s="97"/>
      <c r="J76" s="97"/>
      <c r="K76" s="97"/>
      <c r="L76" s="97"/>
      <c r="M76" s="97"/>
      <c r="N76" s="97"/>
      <c r="O76" s="97"/>
      <c r="P76" s="97"/>
      <c r="Q76" s="97"/>
      <c r="R76" s="97"/>
      <c r="S76" s="97"/>
    </row>
    <row r="77" spans="1:113" ht="59.25" customHeight="1" x14ac:dyDescent="0.3">
      <c r="B77" s="253" t="s">
        <v>139</v>
      </c>
      <c r="C77" s="253"/>
      <c r="D77" s="253"/>
      <c r="E77" s="108" t="s">
        <v>519</v>
      </c>
      <c r="F77" s="108" t="s">
        <v>482</v>
      </c>
      <c r="G77" s="260" t="s">
        <v>483</v>
      </c>
      <c r="H77" s="260"/>
      <c r="I77" s="253" t="s">
        <v>127</v>
      </c>
      <c r="J77" s="253"/>
      <c r="K77" s="260" t="s">
        <v>484</v>
      </c>
      <c r="L77" s="260"/>
      <c r="M77" s="260" t="s">
        <v>485</v>
      </c>
      <c r="N77" s="260"/>
      <c r="O77" s="260" t="s">
        <v>486</v>
      </c>
      <c r="P77" s="260"/>
      <c r="Q77" s="253" t="s">
        <v>128</v>
      </c>
      <c r="R77" s="253"/>
      <c r="S77" s="109" t="s">
        <v>129</v>
      </c>
    </row>
    <row r="78" spans="1:113" s="20" customFormat="1" ht="30" customHeight="1" x14ac:dyDescent="0.3">
      <c r="A78" s="19"/>
      <c r="B78" s="254" t="str">
        <f>VP!C11</f>
        <v>Expression des besoins</v>
      </c>
      <c r="C78" s="254"/>
      <c r="D78" s="254"/>
      <c r="E78" s="110">
        <f>VP!D11</f>
        <v>20000</v>
      </c>
      <c r="F78" s="110">
        <f>SUM(VP!E11:XFD11)</f>
        <v>20000</v>
      </c>
      <c r="G78" s="255">
        <f>SUM(CR!E12:XFD12)</f>
        <v>19500</v>
      </c>
      <c r="H78" s="255"/>
      <c r="I78" s="256">
        <v>1</v>
      </c>
      <c r="J78" s="256"/>
      <c r="K78" s="257">
        <f>F78*I78</f>
        <v>20000</v>
      </c>
      <c r="L78" s="257"/>
      <c r="M78" s="258">
        <f>K78-F78</f>
        <v>0</v>
      </c>
      <c r="N78" s="258"/>
      <c r="O78" s="258">
        <f>K78-G78</f>
        <v>500</v>
      </c>
      <c r="P78" s="258"/>
      <c r="Q78" s="259">
        <f>IFERROR(K78/G78,0)</f>
        <v>1.0256410256410255</v>
      </c>
      <c r="R78" s="259"/>
      <c r="S78" s="111">
        <f t="shared" ref="S78:S95" si="0">IFERROR(K78/F78,0)</f>
        <v>1</v>
      </c>
      <c r="T78" s="13"/>
      <c r="U78" s="13"/>
      <c r="V78" s="13"/>
      <c r="W78" s="13"/>
      <c r="X78" s="13"/>
      <c r="Y78" s="13"/>
      <c r="Z78" s="13"/>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row>
    <row r="79" spans="1:113" s="20" customFormat="1" ht="30" customHeight="1" x14ac:dyDescent="0.3">
      <c r="A79" s="19"/>
      <c r="B79" s="254" t="str">
        <f>VP!C12</f>
        <v>Planification</v>
      </c>
      <c r="C79" s="254"/>
      <c r="D79" s="254"/>
      <c r="E79" s="110">
        <f>VP!D12</f>
        <v>36000</v>
      </c>
      <c r="F79" s="110">
        <f>SUM(VP!E12:XFD12)</f>
        <v>36000</v>
      </c>
      <c r="G79" s="255">
        <f>SUM(CR!E13:XFD13)</f>
        <v>36000</v>
      </c>
      <c r="H79" s="255"/>
      <c r="I79" s="256">
        <v>1</v>
      </c>
      <c r="J79" s="256"/>
      <c r="K79" s="257">
        <f>F79*I79</f>
        <v>36000</v>
      </c>
      <c r="L79" s="257"/>
      <c r="M79" s="258">
        <f t="shared" ref="M79:M95" si="1">K79-F79</f>
        <v>0</v>
      </c>
      <c r="N79" s="258"/>
      <c r="O79" s="258">
        <f t="shared" ref="O79:O95" si="2">K79-G79</f>
        <v>0</v>
      </c>
      <c r="P79" s="258"/>
      <c r="Q79" s="259">
        <f t="shared" ref="Q79:Q95" si="3">IFERROR(K79/G79,0)</f>
        <v>1</v>
      </c>
      <c r="R79" s="259"/>
      <c r="S79" s="111">
        <f t="shared" si="0"/>
        <v>1</v>
      </c>
      <c r="T79" s="13"/>
      <c r="U79" s="13"/>
      <c r="V79" s="13"/>
      <c r="W79" s="13"/>
      <c r="X79" s="13"/>
      <c r="Y79" s="13"/>
      <c r="Z79" s="13"/>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row>
    <row r="80" spans="1:113" s="20" customFormat="1" ht="30" customHeight="1" x14ac:dyDescent="0.3">
      <c r="A80" s="19"/>
      <c r="B80" s="254" t="str">
        <f>VP!C13</f>
        <v>Paramétrage et tests Finances</v>
      </c>
      <c r="C80" s="254"/>
      <c r="D80" s="254"/>
      <c r="E80" s="110">
        <f>VP!D13</f>
        <v>24000</v>
      </c>
      <c r="F80" s="110">
        <f>SUM(VP!E13:XFD13)</f>
        <v>24000</v>
      </c>
      <c r="G80" s="255">
        <f>SUM(CR!E14:XFD14)</f>
        <v>24000</v>
      </c>
      <c r="H80" s="255"/>
      <c r="I80" s="256">
        <v>1</v>
      </c>
      <c r="J80" s="256"/>
      <c r="K80" s="257">
        <f t="shared" ref="K80:K95" si="4">F80*I80</f>
        <v>24000</v>
      </c>
      <c r="L80" s="257"/>
      <c r="M80" s="258">
        <f t="shared" si="1"/>
        <v>0</v>
      </c>
      <c r="N80" s="258"/>
      <c r="O80" s="258">
        <f t="shared" si="2"/>
        <v>0</v>
      </c>
      <c r="P80" s="258"/>
      <c r="Q80" s="259">
        <f t="shared" si="3"/>
        <v>1</v>
      </c>
      <c r="R80" s="259"/>
      <c r="S80" s="111">
        <f t="shared" si="0"/>
        <v>1</v>
      </c>
      <c r="T80" s="13"/>
      <c r="U80" s="13"/>
      <c r="V80" s="13"/>
      <c r="W80" s="13"/>
      <c r="X80" s="13"/>
      <c r="Y80" s="13"/>
      <c r="Z80" s="13"/>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row>
    <row r="81" spans="1:113" s="20" customFormat="1" ht="30" customHeight="1" x14ac:dyDescent="0.3">
      <c r="A81" s="19"/>
      <c r="B81" s="254" t="str">
        <f>VP!C14</f>
        <v>Paramétrage et tests Ventes</v>
      </c>
      <c r="C81" s="254"/>
      <c r="D81" s="254"/>
      <c r="E81" s="110">
        <f>VP!D14</f>
        <v>24000</v>
      </c>
      <c r="F81" s="110">
        <f>SUM(VP!E14:XFD14)</f>
        <v>24000</v>
      </c>
      <c r="G81" s="255">
        <f>SUM(CR!E15:XFD15)</f>
        <v>24000</v>
      </c>
      <c r="H81" s="255"/>
      <c r="I81" s="256">
        <v>1</v>
      </c>
      <c r="J81" s="256"/>
      <c r="K81" s="257">
        <f t="shared" si="4"/>
        <v>24000</v>
      </c>
      <c r="L81" s="257"/>
      <c r="M81" s="258">
        <f t="shared" si="1"/>
        <v>0</v>
      </c>
      <c r="N81" s="258"/>
      <c r="O81" s="258">
        <f t="shared" si="2"/>
        <v>0</v>
      </c>
      <c r="P81" s="258"/>
      <c r="Q81" s="259">
        <f t="shared" si="3"/>
        <v>1</v>
      </c>
      <c r="R81" s="259"/>
      <c r="S81" s="111">
        <f t="shared" si="0"/>
        <v>1</v>
      </c>
      <c r="T81" s="13"/>
      <c r="U81" s="13"/>
      <c r="V81" s="13"/>
      <c r="W81" s="13"/>
      <c r="X81" s="13"/>
      <c r="Y81" s="13"/>
      <c r="Z81" s="13"/>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row>
    <row r="82" spans="1:113" s="20" customFormat="1" ht="30" customHeight="1" x14ac:dyDescent="0.3">
      <c r="A82" s="19"/>
      <c r="B82" s="254" t="str">
        <f>VP!C15</f>
        <v>Paramétrage et tests Achats</v>
      </c>
      <c r="C82" s="254"/>
      <c r="D82" s="254"/>
      <c r="E82" s="110">
        <f>VP!D15</f>
        <v>24000</v>
      </c>
      <c r="F82" s="110">
        <f>SUM(VP!E15:XFD15)</f>
        <v>24000</v>
      </c>
      <c r="G82" s="255">
        <f>SUM(CR!E16:XFD16)</f>
        <v>24000</v>
      </c>
      <c r="H82" s="255"/>
      <c r="I82" s="256">
        <v>1</v>
      </c>
      <c r="J82" s="256"/>
      <c r="K82" s="257">
        <f t="shared" si="4"/>
        <v>24000</v>
      </c>
      <c r="L82" s="257"/>
      <c r="M82" s="258">
        <f t="shared" si="1"/>
        <v>0</v>
      </c>
      <c r="N82" s="258"/>
      <c r="O82" s="258">
        <f t="shared" si="2"/>
        <v>0</v>
      </c>
      <c r="P82" s="258"/>
      <c r="Q82" s="259">
        <f>IFERROR(K82/G82,0)</f>
        <v>1</v>
      </c>
      <c r="R82" s="259"/>
      <c r="S82" s="111">
        <f t="shared" si="0"/>
        <v>1</v>
      </c>
      <c r="T82" s="13"/>
      <c r="U82" s="13"/>
      <c r="V82" s="13"/>
      <c r="W82" s="13"/>
      <c r="X82" s="13"/>
      <c r="Y82" s="13"/>
      <c r="Z82" s="13"/>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row>
    <row r="83" spans="1:113" s="20" customFormat="1" ht="30" customHeight="1" x14ac:dyDescent="0.3">
      <c r="A83" s="19"/>
      <c r="B83" s="254" t="str">
        <f>VP!C16</f>
        <v>Paramétrage et tests Logistique</v>
      </c>
      <c r="C83" s="254"/>
      <c r="D83" s="254"/>
      <c r="E83" s="110">
        <f>VP!D16</f>
        <v>24000</v>
      </c>
      <c r="F83" s="110">
        <f>SUM(VP!E16:XFD16)</f>
        <v>24000</v>
      </c>
      <c r="G83" s="255">
        <f>SUM(CR!E17:XFD17)</f>
        <v>24000</v>
      </c>
      <c r="H83" s="255"/>
      <c r="I83" s="256">
        <v>1</v>
      </c>
      <c r="J83" s="256"/>
      <c r="K83" s="257">
        <f t="shared" si="4"/>
        <v>24000</v>
      </c>
      <c r="L83" s="257"/>
      <c r="M83" s="258">
        <f t="shared" si="1"/>
        <v>0</v>
      </c>
      <c r="N83" s="258"/>
      <c r="O83" s="258">
        <f t="shared" si="2"/>
        <v>0</v>
      </c>
      <c r="P83" s="258"/>
      <c r="Q83" s="259">
        <f t="shared" si="3"/>
        <v>1</v>
      </c>
      <c r="R83" s="259"/>
      <c r="S83" s="111">
        <f t="shared" si="0"/>
        <v>1</v>
      </c>
      <c r="T83" s="13"/>
      <c r="U83" s="13"/>
      <c r="V83" s="13"/>
      <c r="W83" s="13"/>
      <c r="X83" s="13"/>
      <c r="Y83" s="13"/>
      <c r="Z83" s="13"/>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row>
    <row r="84" spans="1:113" s="20" customFormat="1" ht="30" customHeight="1" x14ac:dyDescent="0.3">
      <c r="A84" s="19"/>
      <c r="B84" s="254" t="str">
        <f>VP!C17</f>
        <v>Paramétrage et tests Production</v>
      </c>
      <c r="C84" s="254"/>
      <c r="D84" s="254"/>
      <c r="E84" s="110">
        <f>VP!D17</f>
        <v>6000</v>
      </c>
      <c r="F84" s="110">
        <f>SUM(VP!E17:XFD17)</f>
        <v>6000</v>
      </c>
      <c r="G84" s="255">
        <f>SUM(CR!E18:XFD18)</f>
        <v>6000</v>
      </c>
      <c r="H84" s="255"/>
      <c r="I84" s="256">
        <v>1</v>
      </c>
      <c r="J84" s="256"/>
      <c r="K84" s="257">
        <f t="shared" si="4"/>
        <v>6000</v>
      </c>
      <c r="L84" s="257"/>
      <c r="M84" s="258">
        <f t="shared" si="1"/>
        <v>0</v>
      </c>
      <c r="N84" s="258"/>
      <c r="O84" s="258">
        <f t="shared" si="2"/>
        <v>0</v>
      </c>
      <c r="P84" s="258"/>
      <c r="Q84" s="259">
        <f t="shared" si="3"/>
        <v>1</v>
      </c>
      <c r="R84" s="259"/>
      <c r="S84" s="111">
        <f t="shared" si="0"/>
        <v>1</v>
      </c>
      <c r="T84" s="13"/>
      <c r="U84" s="13"/>
      <c r="V84" s="13"/>
      <c r="W84" s="13"/>
      <c r="X84" s="13"/>
      <c r="Y84" s="13"/>
      <c r="Z84" s="13"/>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row>
    <row r="85" spans="1:113" s="20" customFormat="1" ht="30" customHeight="1" x14ac:dyDescent="0.3">
      <c r="A85" s="19"/>
      <c r="B85" s="254" t="str">
        <f>VP!C18</f>
        <v>Préparation Master Data</v>
      </c>
      <c r="C85" s="254"/>
      <c r="D85" s="254"/>
      <c r="E85" s="110">
        <f>VP!D18</f>
        <v>16000</v>
      </c>
      <c r="F85" s="110">
        <f>SUM(VP!E18:XFD18)</f>
        <v>16000</v>
      </c>
      <c r="G85" s="255">
        <f>SUM(CR!E19:XFD19)</f>
        <v>16000</v>
      </c>
      <c r="H85" s="255"/>
      <c r="I85" s="256">
        <v>1</v>
      </c>
      <c r="J85" s="256"/>
      <c r="K85" s="257">
        <f t="shared" si="4"/>
        <v>16000</v>
      </c>
      <c r="L85" s="257"/>
      <c r="M85" s="258">
        <f t="shared" si="1"/>
        <v>0</v>
      </c>
      <c r="N85" s="258"/>
      <c r="O85" s="258">
        <f t="shared" si="2"/>
        <v>0</v>
      </c>
      <c r="P85" s="258"/>
      <c r="Q85" s="259">
        <f t="shared" si="3"/>
        <v>1</v>
      </c>
      <c r="R85" s="259"/>
      <c r="S85" s="111">
        <f t="shared" si="0"/>
        <v>1</v>
      </c>
      <c r="T85" s="13"/>
      <c r="U85" s="13"/>
      <c r="V85" s="13"/>
      <c r="W85" s="13"/>
      <c r="X85" s="13"/>
      <c r="Y85" s="13"/>
      <c r="Z85" s="13"/>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row>
    <row r="86" spans="1:113" s="20" customFormat="1" ht="30" customHeight="1" x14ac:dyDescent="0.3">
      <c r="A86" s="19"/>
      <c r="B86" s="254" t="str">
        <f>VP!C19</f>
        <v>Formation utilisateurs</v>
      </c>
      <c r="C86" s="254"/>
      <c r="D86" s="254"/>
      <c r="E86" s="110">
        <f>VP!D19</f>
        <v>7500</v>
      </c>
      <c r="F86" s="110">
        <f>SUM(VP!E19:XFD19)</f>
        <v>7500</v>
      </c>
      <c r="G86" s="255">
        <f>SUM(CR!E20:XFD20)</f>
        <v>7500</v>
      </c>
      <c r="H86" s="255"/>
      <c r="I86" s="256">
        <v>1</v>
      </c>
      <c r="J86" s="256"/>
      <c r="K86" s="257">
        <f t="shared" si="4"/>
        <v>7500</v>
      </c>
      <c r="L86" s="257"/>
      <c r="M86" s="258">
        <f t="shared" si="1"/>
        <v>0</v>
      </c>
      <c r="N86" s="258"/>
      <c r="O86" s="258">
        <f t="shared" si="2"/>
        <v>0</v>
      </c>
      <c r="P86" s="258"/>
      <c r="Q86" s="259">
        <f t="shared" si="3"/>
        <v>1</v>
      </c>
      <c r="R86" s="259"/>
      <c r="S86" s="111">
        <f t="shared" si="0"/>
        <v>1</v>
      </c>
      <c r="T86" s="13"/>
      <c r="U86" s="13"/>
      <c r="V86" s="13"/>
      <c r="W86" s="13"/>
      <c r="X86" s="13"/>
      <c r="Y86" s="13"/>
      <c r="Z86" s="13"/>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row>
    <row r="87" spans="1:113" s="20" customFormat="1" ht="30" customHeight="1" x14ac:dyDescent="0.3">
      <c r="A87" s="19"/>
      <c r="B87" s="254" t="str">
        <f>VP!C20</f>
        <v>Basculement opérationnel</v>
      </c>
      <c r="C87" s="254"/>
      <c r="D87" s="254"/>
      <c r="E87" s="110">
        <f>VP!D20</f>
        <v>54500</v>
      </c>
      <c r="F87" s="110">
        <f>SUM(VP!E20:XFD20)</f>
        <v>54500</v>
      </c>
      <c r="G87" s="255">
        <f>SUM(CR!E21:XFD21)</f>
        <v>55000</v>
      </c>
      <c r="H87" s="255"/>
      <c r="I87" s="256">
        <v>1</v>
      </c>
      <c r="J87" s="256"/>
      <c r="K87" s="257">
        <f t="shared" si="4"/>
        <v>54500</v>
      </c>
      <c r="L87" s="257"/>
      <c r="M87" s="258">
        <f t="shared" si="1"/>
        <v>0</v>
      </c>
      <c r="N87" s="258"/>
      <c r="O87" s="258">
        <f t="shared" si="2"/>
        <v>-500</v>
      </c>
      <c r="P87" s="258"/>
      <c r="Q87" s="259">
        <f t="shared" si="3"/>
        <v>0.99090909090909096</v>
      </c>
      <c r="R87" s="259"/>
      <c r="S87" s="111">
        <f t="shared" si="0"/>
        <v>1</v>
      </c>
      <c r="T87" s="13"/>
      <c r="U87" s="13"/>
      <c r="V87" s="13"/>
      <c r="W87" s="13"/>
      <c r="X87" s="13"/>
      <c r="Y87" s="13"/>
      <c r="Z87" s="13"/>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row>
    <row r="88" spans="1:113" s="20" customFormat="1" ht="30" customHeight="1" x14ac:dyDescent="0.3">
      <c r="A88" s="19"/>
      <c r="B88" s="254" t="str">
        <f>VP!C21</f>
        <v>Support utilisateurs</v>
      </c>
      <c r="C88" s="254"/>
      <c r="D88" s="254"/>
      <c r="E88" s="110">
        <f>VP!D21</f>
        <v>45000</v>
      </c>
      <c r="F88" s="110">
        <f>SUM(VP!E21:XFD21)</f>
        <v>45000</v>
      </c>
      <c r="G88" s="255">
        <f>SUM(CR!E22:XFD22)</f>
        <v>45000</v>
      </c>
      <c r="H88" s="255"/>
      <c r="I88" s="256">
        <v>1</v>
      </c>
      <c r="J88" s="256"/>
      <c r="K88" s="257">
        <f t="shared" si="4"/>
        <v>45000</v>
      </c>
      <c r="L88" s="257"/>
      <c r="M88" s="258">
        <f t="shared" si="1"/>
        <v>0</v>
      </c>
      <c r="N88" s="258"/>
      <c r="O88" s="258">
        <f t="shared" si="2"/>
        <v>0</v>
      </c>
      <c r="P88" s="258"/>
      <c r="Q88" s="259">
        <f t="shared" si="3"/>
        <v>1</v>
      </c>
      <c r="R88" s="259"/>
      <c r="S88" s="111">
        <f t="shared" si="0"/>
        <v>1</v>
      </c>
      <c r="T88" s="13"/>
      <c r="U88" s="13"/>
      <c r="V88" s="13"/>
      <c r="W88" s="13"/>
      <c r="X88" s="13"/>
      <c r="Y88" s="13"/>
      <c r="Z88" s="13"/>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row>
    <row r="89" spans="1:113" s="20" customFormat="1" ht="30" customHeight="1" x14ac:dyDescent="0.3">
      <c r="A89" s="19"/>
      <c r="B89" s="254" t="str">
        <f>VP!C22</f>
        <v>Clôture novembre 2022</v>
      </c>
      <c r="C89" s="254"/>
      <c r="D89" s="254"/>
      <c r="E89" s="110">
        <f>VP!D22</f>
        <v>16000</v>
      </c>
      <c r="F89" s="110">
        <f>SUM(VP!E22:XFD22)</f>
        <v>16000</v>
      </c>
      <c r="G89" s="255">
        <f>SUM(CR!E23:XFD23)</f>
        <v>17000</v>
      </c>
      <c r="H89" s="255"/>
      <c r="I89" s="256">
        <v>2</v>
      </c>
      <c r="J89" s="256"/>
      <c r="K89" s="257">
        <f t="shared" si="4"/>
        <v>32000</v>
      </c>
      <c r="L89" s="257"/>
      <c r="M89" s="258">
        <f t="shared" ref="M89:M94" si="5">K89-F89</f>
        <v>16000</v>
      </c>
      <c r="N89" s="258"/>
      <c r="O89" s="258">
        <f t="shared" ref="O89:O94" si="6">K89-G89</f>
        <v>15000</v>
      </c>
      <c r="P89" s="258"/>
      <c r="Q89" s="259">
        <f t="shared" si="3"/>
        <v>1.8823529411764706</v>
      </c>
      <c r="R89" s="259"/>
      <c r="S89" s="111">
        <f t="shared" si="0"/>
        <v>2</v>
      </c>
      <c r="T89" s="13"/>
      <c r="U89" s="13"/>
      <c r="V89" s="13"/>
      <c r="W89" s="13"/>
      <c r="X89" s="13"/>
      <c r="Y89" s="13"/>
      <c r="Z89" s="13"/>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row>
    <row r="90" spans="1:113" s="20" customFormat="1" ht="30" customHeight="1" x14ac:dyDescent="0.3">
      <c r="A90" s="19"/>
      <c r="B90" s="254" t="str">
        <f>VP!C23</f>
        <v>Support opérationnel</v>
      </c>
      <c r="C90" s="254"/>
      <c r="D90" s="254"/>
      <c r="E90" s="110">
        <f>VP!D23</f>
        <v>24000</v>
      </c>
      <c r="F90" s="110">
        <f>SUM(VP!E23:XFD23)</f>
        <v>24000</v>
      </c>
      <c r="G90" s="255">
        <f>SUM(CR!E24:XFD24)</f>
        <v>37000</v>
      </c>
      <c r="H90" s="255"/>
      <c r="I90" s="256">
        <v>3</v>
      </c>
      <c r="J90" s="256"/>
      <c r="K90" s="257">
        <f t="shared" si="4"/>
        <v>72000</v>
      </c>
      <c r="L90" s="257"/>
      <c r="M90" s="258">
        <f t="shared" si="5"/>
        <v>48000</v>
      </c>
      <c r="N90" s="258"/>
      <c r="O90" s="258">
        <f t="shared" si="6"/>
        <v>35000</v>
      </c>
      <c r="P90" s="258"/>
      <c r="Q90" s="259">
        <f t="shared" si="3"/>
        <v>1.9459459459459461</v>
      </c>
      <c r="R90" s="259"/>
      <c r="S90" s="111">
        <f t="shared" si="0"/>
        <v>3</v>
      </c>
      <c r="T90" s="13"/>
      <c r="U90" s="13"/>
      <c r="V90" s="13"/>
      <c r="W90" s="13"/>
      <c r="X90" s="13"/>
      <c r="Y90" s="13"/>
      <c r="Z90" s="13"/>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row>
    <row r="91" spans="1:113" s="20" customFormat="1" ht="30" customHeight="1" x14ac:dyDescent="0.3">
      <c r="A91" s="19"/>
      <c r="B91" s="254" t="str">
        <f>VP!C24</f>
        <v>Clôture décembre 2022</v>
      </c>
      <c r="C91" s="254"/>
      <c r="D91" s="254"/>
      <c r="E91" s="110">
        <f>VP!D24</f>
        <v>12000</v>
      </c>
      <c r="F91" s="110">
        <f>SUM(VP!E24:XFD24)</f>
        <v>12000</v>
      </c>
      <c r="G91" s="255">
        <f>SUM(CR!E25:XFD25)</f>
        <v>12000</v>
      </c>
      <c r="H91" s="255"/>
      <c r="I91" s="256">
        <v>4</v>
      </c>
      <c r="J91" s="256"/>
      <c r="K91" s="257">
        <f t="shared" si="4"/>
        <v>48000</v>
      </c>
      <c r="L91" s="257"/>
      <c r="M91" s="258">
        <f t="shared" si="5"/>
        <v>36000</v>
      </c>
      <c r="N91" s="258"/>
      <c r="O91" s="258">
        <f t="shared" si="6"/>
        <v>36000</v>
      </c>
      <c r="P91" s="258"/>
      <c r="Q91" s="259">
        <f t="shared" si="3"/>
        <v>4</v>
      </c>
      <c r="R91" s="259"/>
      <c r="S91" s="111">
        <f t="shared" si="0"/>
        <v>4</v>
      </c>
      <c r="T91" s="13"/>
      <c r="U91" s="13"/>
      <c r="V91" s="13"/>
      <c r="W91" s="13"/>
      <c r="X91" s="13"/>
      <c r="Y91" s="13"/>
      <c r="Z91" s="13"/>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row>
    <row r="92" spans="1:113" s="20" customFormat="1" ht="30" customHeight="1" x14ac:dyDescent="0.3">
      <c r="A92" s="19"/>
      <c r="B92" s="254" t="str">
        <f>VP!C25</f>
        <v>Documentation leçons apprises</v>
      </c>
      <c r="C92" s="254"/>
      <c r="D92" s="254"/>
      <c r="E92" s="110">
        <f>VP!D25</f>
        <v>8000</v>
      </c>
      <c r="F92" s="110">
        <f>SUM(VP!E25:XFD25)</f>
        <v>8000</v>
      </c>
      <c r="G92" s="255">
        <f>SUM(CR!E26:XFD26)</f>
        <v>5000</v>
      </c>
      <c r="H92" s="255"/>
      <c r="I92" s="256">
        <v>5</v>
      </c>
      <c r="J92" s="256"/>
      <c r="K92" s="257">
        <f t="shared" si="4"/>
        <v>40000</v>
      </c>
      <c r="L92" s="257"/>
      <c r="M92" s="258">
        <f t="shared" si="5"/>
        <v>32000</v>
      </c>
      <c r="N92" s="258"/>
      <c r="O92" s="258">
        <f t="shared" si="6"/>
        <v>35000</v>
      </c>
      <c r="P92" s="258"/>
      <c r="Q92" s="259">
        <f t="shared" si="3"/>
        <v>8</v>
      </c>
      <c r="R92" s="259"/>
      <c r="S92" s="111">
        <f t="shared" si="0"/>
        <v>5</v>
      </c>
      <c r="T92" s="13"/>
      <c r="U92" s="13"/>
      <c r="V92" s="13"/>
      <c r="W92" s="13"/>
      <c r="X92" s="13"/>
      <c r="Y92" s="13"/>
      <c r="Z92" s="13"/>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row>
    <row r="93" spans="1:113" s="20" customFormat="1" ht="30" customHeight="1" x14ac:dyDescent="0.3">
      <c r="A93" s="19"/>
      <c r="B93" s="254" t="str">
        <f>VP!C26</f>
        <v>Clôture du projet</v>
      </c>
      <c r="C93" s="254"/>
      <c r="D93" s="254"/>
      <c r="E93" s="110">
        <f>VP!D26</f>
        <v>5000</v>
      </c>
      <c r="F93" s="110">
        <f>SUM(VP!E26:XFD26)</f>
        <v>5000</v>
      </c>
      <c r="G93" s="255">
        <f>SUM(CR!E27:XFD27)</f>
        <v>5000</v>
      </c>
      <c r="H93" s="255"/>
      <c r="I93" s="256">
        <v>6</v>
      </c>
      <c r="J93" s="256"/>
      <c r="K93" s="257">
        <f t="shared" si="4"/>
        <v>30000</v>
      </c>
      <c r="L93" s="257"/>
      <c r="M93" s="258">
        <f t="shared" si="5"/>
        <v>25000</v>
      </c>
      <c r="N93" s="258"/>
      <c r="O93" s="258">
        <f t="shared" si="6"/>
        <v>25000</v>
      </c>
      <c r="P93" s="258"/>
      <c r="Q93" s="259">
        <f t="shared" si="3"/>
        <v>6</v>
      </c>
      <c r="R93" s="259"/>
      <c r="S93" s="111">
        <f t="shared" si="0"/>
        <v>6</v>
      </c>
      <c r="T93" s="13"/>
      <c r="U93" s="13"/>
      <c r="V93" s="13"/>
      <c r="W93" s="13"/>
      <c r="X93" s="13"/>
      <c r="Y93" s="13"/>
      <c r="Z93" s="13"/>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row>
    <row r="94" spans="1:113" s="20" customFormat="1" ht="30" customHeight="1" x14ac:dyDescent="0.3">
      <c r="A94" s="19"/>
      <c r="B94" s="254" t="str">
        <f>VP!C27</f>
        <v xml:space="preserve"> - </v>
      </c>
      <c r="C94" s="254"/>
      <c r="D94" s="254"/>
      <c r="E94" s="110">
        <f>VP!D27</f>
        <v>0</v>
      </c>
      <c r="F94" s="110">
        <f>SUM(VP!E27:XFD27)</f>
        <v>0</v>
      </c>
      <c r="G94" s="255">
        <f>SUM(CR!E28:XFD28)</f>
        <v>0</v>
      </c>
      <c r="H94" s="255"/>
      <c r="I94" s="256">
        <v>7</v>
      </c>
      <c r="J94" s="256"/>
      <c r="K94" s="257">
        <f t="shared" si="4"/>
        <v>0</v>
      </c>
      <c r="L94" s="257"/>
      <c r="M94" s="258">
        <f t="shared" si="5"/>
        <v>0</v>
      </c>
      <c r="N94" s="258"/>
      <c r="O94" s="258">
        <f t="shared" si="6"/>
        <v>0</v>
      </c>
      <c r="P94" s="258"/>
      <c r="Q94" s="259">
        <f t="shared" si="3"/>
        <v>0</v>
      </c>
      <c r="R94" s="259"/>
      <c r="S94" s="111">
        <f t="shared" si="0"/>
        <v>0</v>
      </c>
      <c r="T94" s="13"/>
      <c r="U94" s="13"/>
      <c r="V94" s="13"/>
      <c r="W94" s="13"/>
      <c r="X94" s="13"/>
      <c r="Y94" s="13"/>
      <c r="Z94" s="13"/>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row>
    <row r="95" spans="1:113" s="20" customFormat="1" ht="30" customHeight="1" x14ac:dyDescent="0.3">
      <c r="A95" s="19"/>
      <c r="B95" s="264" t="s">
        <v>431</v>
      </c>
      <c r="C95" s="264"/>
      <c r="D95" s="264"/>
      <c r="E95" s="112">
        <f>SUM(E78:E89)</f>
        <v>297000</v>
      </c>
      <c r="F95" s="110">
        <f>SUM(VP!E28:XFD28)</f>
        <v>0</v>
      </c>
      <c r="G95" s="255">
        <f>SUM(CR!E29:XFD29)</f>
        <v>0</v>
      </c>
      <c r="H95" s="255"/>
      <c r="I95" s="265">
        <f>AVERAGE(I78:J88)</f>
        <v>1</v>
      </c>
      <c r="J95" s="265"/>
      <c r="K95" s="257">
        <f t="shared" si="4"/>
        <v>0</v>
      </c>
      <c r="L95" s="257"/>
      <c r="M95" s="258">
        <f t="shared" si="1"/>
        <v>0</v>
      </c>
      <c r="N95" s="258"/>
      <c r="O95" s="258">
        <f t="shared" si="2"/>
        <v>0</v>
      </c>
      <c r="P95" s="258"/>
      <c r="Q95" s="259">
        <f t="shared" si="3"/>
        <v>0</v>
      </c>
      <c r="R95" s="259"/>
      <c r="S95" s="111">
        <f t="shared" si="0"/>
        <v>0</v>
      </c>
      <c r="T95" s="13"/>
      <c r="U95" s="13"/>
      <c r="V95" s="13"/>
      <c r="W95" s="13"/>
      <c r="X95" s="13"/>
      <c r="Y95" s="13"/>
      <c r="Z95" s="13"/>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row>
    <row r="96" spans="1:113" ht="5.25" customHeight="1" x14ac:dyDescent="0.3">
      <c r="B96" s="94"/>
      <c r="C96" s="94"/>
      <c r="D96" s="94"/>
      <c r="E96" s="94"/>
      <c r="F96" s="94"/>
      <c r="G96" s="94"/>
      <c r="H96" s="94"/>
      <c r="I96" s="94"/>
      <c r="J96" s="94"/>
      <c r="K96" s="94"/>
      <c r="L96" s="94"/>
      <c r="M96" s="94"/>
      <c r="N96" s="94"/>
      <c r="O96" s="94"/>
      <c r="P96" s="94"/>
      <c r="Q96" s="94"/>
      <c r="R96" s="94"/>
      <c r="S96" s="94"/>
    </row>
    <row r="97" spans="2:19" ht="20.100000000000001" customHeight="1" x14ac:dyDescent="0.3">
      <c r="B97" s="261" t="s">
        <v>132</v>
      </c>
      <c r="C97" s="261"/>
      <c r="D97" s="261"/>
      <c r="E97" s="261"/>
      <c r="F97" s="261"/>
      <c r="G97" s="261"/>
      <c r="H97" s="261"/>
      <c r="I97" s="261"/>
      <c r="J97" s="261"/>
      <c r="K97" s="261"/>
      <c r="L97" s="261"/>
      <c r="M97" s="261"/>
      <c r="N97" s="261"/>
      <c r="O97" s="261"/>
      <c r="P97" s="261"/>
      <c r="Q97" s="261"/>
      <c r="R97" s="261"/>
      <c r="S97" s="261"/>
    </row>
    <row r="98" spans="2:19" ht="15" customHeight="1" x14ac:dyDescent="0.3">
      <c r="B98" s="262" t="s">
        <v>133</v>
      </c>
      <c r="C98" s="262"/>
      <c r="D98" s="262"/>
      <c r="E98" s="262"/>
      <c r="F98" s="262"/>
      <c r="G98" s="262"/>
      <c r="H98" s="262"/>
      <c r="I98" s="262"/>
      <c r="J98" s="262"/>
      <c r="K98" s="262"/>
      <c r="L98" s="262"/>
      <c r="M98" s="262"/>
      <c r="N98" s="262"/>
      <c r="O98" s="262"/>
      <c r="P98" s="262"/>
      <c r="Q98" s="262"/>
      <c r="R98" s="262"/>
      <c r="S98" s="262"/>
    </row>
    <row r="99" spans="2:19" x14ac:dyDescent="0.3">
      <c r="B99" s="263"/>
      <c r="C99" s="263"/>
      <c r="D99" s="263"/>
      <c r="E99" s="263"/>
      <c r="F99" s="263"/>
      <c r="G99" s="263"/>
      <c r="H99" s="263"/>
      <c r="I99" s="263"/>
      <c r="J99" s="263"/>
      <c r="K99" s="263"/>
      <c r="L99" s="263"/>
      <c r="M99" s="263"/>
      <c r="N99" s="263"/>
      <c r="O99" s="263"/>
      <c r="P99" s="263"/>
      <c r="Q99" s="263"/>
      <c r="R99" s="263"/>
      <c r="S99" s="263"/>
    </row>
    <row r="100" spans="2:19" x14ac:dyDescent="0.3">
      <c r="B100" s="263"/>
      <c r="C100" s="263"/>
      <c r="D100" s="263"/>
      <c r="E100" s="263"/>
      <c r="F100" s="263"/>
      <c r="G100" s="263"/>
      <c r="H100" s="263"/>
      <c r="I100" s="263"/>
      <c r="J100" s="263"/>
      <c r="K100" s="263"/>
      <c r="L100" s="263"/>
      <c r="M100" s="263"/>
      <c r="N100" s="263"/>
      <c r="O100" s="263"/>
      <c r="P100" s="263"/>
      <c r="Q100" s="263"/>
      <c r="R100" s="263"/>
      <c r="S100" s="263"/>
    </row>
    <row r="101" spans="2:19" x14ac:dyDescent="0.3">
      <c r="B101" s="263"/>
      <c r="C101" s="263"/>
      <c r="D101" s="263"/>
      <c r="E101" s="263"/>
      <c r="F101" s="263"/>
      <c r="G101" s="263"/>
      <c r="H101" s="263"/>
      <c r="I101" s="263"/>
      <c r="J101" s="263"/>
      <c r="K101" s="263"/>
      <c r="L101" s="263"/>
      <c r="M101" s="263"/>
      <c r="N101" s="263"/>
      <c r="O101" s="263"/>
      <c r="P101" s="263"/>
      <c r="Q101" s="263"/>
      <c r="R101" s="263"/>
      <c r="S101" s="263"/>
    </row>
    <row r="102" spans="2:19" x14ac:dyDescent="0.3">
      <c r="B102" s="263"/>
      <c r="C102" s="263"/>
      <c r="D102" s="263"/>
      <c r="E102" s="263"/>
      <c r="F102" s="263"/>
      <c r="G102" s="263"/>
      <c r="H102" s="263"/>
      <c r="I102" s="263"/>
      <c r="J102" s="263"/>
      <c r="K102" s="263"/>
      <c r="L102" s="263"/>
      <c r="M102" s="263"/>
      <c r="N102" s="263"/>
      <c r="O102" s="263"/>
      <c r="P102" s="263"/>
      <c r="Q102" s="263"/>
      <c r="R102" s="263"/>
      <c r="S102" s="263"/>
    </row>
    <row r="103" spans="2:19" x14ac:dyDescent="0.3">
      <c r="B103" s="263"/>
      <c r="C103" s="263"/>
      <c r="D103" s="263"/>
      <c r="E103" s="263"/>
      <c r="F103" s="263"/>
      <c r="G103" s="263"/>
      <c r="H103" s="263"/>
      <c r="I103" s="263"/>
      <c r="J103" s="263"/>
      <c r="K103" s="263"/>
      <c r="L103" s="263"/>
      <c r="M103" s="263"/>
      <c r="N103" s="263"/>
      <c r="O103" s="263"/>
      <c r="P103" s="263"/>
      <c r="Q103" s="263"/>
      <c r="R103" s="263"/>
      <c r="S103" s="263"/>
    </row>
    <row r="104" spans="2:19" x14ac:dyDescent="0.3">
      <c r="B104" s="263"/>
      <c r="C104" s="263"/>
      <c r="D104" s="263"/>
      <c r="E104" s="263"/>
      <c r="F104" s="263"/>
      <c r="G104" s="263"/>
      <c r="H104" s="263"/>
      <c r="I104" s="263"/>
      <c r="J104" s="263"/>
      <c r="K104" s="263"/>
      <c r="L104" s="263"/>
      <c r="M104" s="263"/>
      <c r="N104" s="263"/>
      <c r="O104" s="263"/>
      <c r="P104" s="263"/>
      <c r="Q104" s="263"/>
      <c r="R104" s="263"/>
      <c r="S104" s="263"/>
    </row>
    <row r="105" spans="2:19" x14ac:dyDescent="0.3">
      <c r="B105" s="263"/>
      <c r="C105" s="263"/>
      <c r="D105" s="263"/>
      <c r="E105" s="263"/>
      <c r="F105" s="263"/>
      <c r="G105" s="263"/>
      <c r="H105" s="263"/>
      <c r="I105" s="263"/>
      <c r="J105" s="263"/>
      <c r="K105" s="263"/>
      <c r="L105" s="263"/>
      <c r="M105" s="263"/>
      <c r="N105" s="263"/>
      <c r="O105" s="263"/>
      <c r="P105" s="263"/>
      <c r="Q105" s="263"/>
      <c r="R105" s="263"/>
      <c r="S105" s="263"/>
    </row>
    <row r="106" spans="2:19" x14ac:dyDescent="0.3">
      <c r="B106" s="263"/>
      <c r="C106" s="263"/>
      <c r="D106" s="263"/>
      <c r="E106" s="263"/>
      <c r="F106" s="263"/>
      <c r="G106" s="263"/>
      <c r="H106" s="263"/>
      <c r="I106" s="263"/>
      <c r="J106" s="263"/>
      <c r="K106" s="263"/>
      <c r="L106" s="263"/>
      <c r="M106" s="263"/>
      <c r="N106" s="263"/>
      <c r="O106" s="263"/>
      <c r="P106" s="263"/>
      <c r="Q106" s="263"/>
      <c r="R106" s="263"/>
      <c r="S106" s="263"/>
    </row>
    <row r="107" spans="2:19" x14ac:dyDescent="0.3">
      <c r="B107" s="263"/>
      <c r="C107" s="263"/>
      <c r="D107" s="263"/>
      <c r="E107" s="263"/>
      <c r="F107" s="263"/>
      <c r="G107" s="263"/>
      <c r="H107" s="263"/>
      <c r="I107" s="263"/>
      <c r="J107" s="263"/>
      <c r="K107" s="263"/>
      <c r="L107" s="263"/>
      <c r="M107" s="263"/>
      <c r="N107" s="263"/>
      <c r="O107" s="263"/>
      <c r="P107" s="263"/>
      <c r="Q107" s="263"/>
      <c r="R107" s="263"/>
      <c r="S107" s="263"/>
    </row>
    <row r="108" spans="2:19" x14ac:dyDescent="0.3">
      <c r="B108" s="263"/>
      <c r="C108" s="263"/>
      <c r="D108" s="263"/>
      <c r="E108" s="263"/>
      <c r="F108" s="263"/>
      <c r="G108" s="263"/>
      <c r="H108" s="263"/>
      <c r="I108" s="263"/>
      <c r="J108" s="263"/>
      <c r="K108" s="263"/>
      <c r="L108" s="263"/>
      <c r="M108" s="263"/>
      <c r="N108" s="263"/>
      <c r="O108" s="263"/>
      <c r="P108" s="263"/>
      <c r="Q108" s="263"/>
      <c r="R108" s="263"/>
      <c r="S108" s="263"/>
    </row>
    <row r="109" spans="2:19" ht="9.75" customHeight="1" x14ac:dyDescent="0.3">
      <c r="B109" s="263"/>
      <c r="C109" s="263"/>
      <c r="D109" s="263"/>
      <c r="E109" s="263"/>
      <c r="F109" s="263"/>
      <c r="G109" s="263"/>
      <c r="H109" s="263"/>
      <c r="I109" s="263"/>
      <c r="J109" s="263"/>
      <c r="K109" s="263"/>
      <c r="L109" s="263"/>
      <c r="M109" s="263"/>
      <c r="N109" s="263"/>
      <c r="O109" s="263"/>
      <c r="P109" s="263"/>
      <c r="Q109" s="263"/>
      <c r="R109" s="263"/>
      <c r="S109" s="263"/>
    </row>
    <row r="110" spans="2:19" ht="15" hidden="1" customHeight="1" x14ac:dyDescent="0.3">
      <c r="B110" s="98"/>
      <c r="C110" s="98"/>
      <c r="D110" s="98"/>
      <c r="E110" s="98"/>
      <c r="F110" s="98"/>
      <c r="G110" s="98"/>
      <c r="H110" s="98"/>
      <c r="I110" s="98"/>
      <c r="J110" s="98"/>
      <c r="K110" s="98"/>
      <c r="L110" s="98"/>
      <c r="M110" s="98"/>
      <c r="N110" s="98"/>
      <c r="O110" s="98"/>
      <c r="P110" s="98"/>
      <c r="Q110" s="98"/>
      <c r="R110" s="98"/>
      <c r="S110" s="98"/>
    </row>
    <row r="111" spans="2:19" ht="15" hidden="1" customHeight="1" x14ac:dyDescent="0.3">
      <c r="B111" s="98"/>
      <c r="C111" s="98"/>
      <c r="D111" s="98"/>
      <c r="E111" s="98"/>
      <c r="F111" s="98"/>
      <c r="G111" s="98"/>
      <c r="H111" s="98"/>
      <c r="I111" s="98"/>
      <c r="J111" s="98"/>
      <c r="K111" s="98"/>
      <c r="L111" s="98"/>
      <c r="M111" s="98"/>
      <c r="N111" s="98"/>
      <c r="O111" s="98"/>
      <c r="P111" s="98"/>
      <c r="Q111" s="98"/>
      <c r="R111" s="98"/>
      <c r="S111" s="98"/>
    </row>
    <row r="112" spans="2:19" ht="15" hidden="1" customHeight="1" x14ac:dyDescent="0.3">
      <c r="B112" s="98"/>
      <c r="C112" s="98"/>
      <c r="D112" s="98"/>
      <c r="E112" s="98"/>
      <c r="F112" s="98"/>
      <c r="G112" s="98"/>
      <c r="H112" s="98"/>
      <c r="I112" s="98"/>
      <c r="J112" s="98"/>
      <c r="K112" s="98"/>
      <c r="L112" s="98"/>
      <c r="M112" s="98"/>
      <c r="N112" s="98"/>
      <c r="O112" s="98"/>
      <c r="P112" s="98"/>
      <c r="Q112" s="98"/>
      <c r="R112" s="98"/>
      <c r="S112" s="98"/>
    </row>
    <row r="113" spans="1:113" ht="15" hidden="1" customHeight="1" x14ac:dyDescent="0.3">
      <c r="B113" s="98"/>
      <c r="C113" s="98"/>
      <c r="D113" s="98"/>
      <c r="E113" s="98"/>
      <c r="F113" s="98"/>
      <c r="G113" s="98"/>
      <c r="H113" s="98"/>
      <c r="I113" s="98"/>
      <c r="J113" s="98"/>
      <c r="K113" s="98"/>
      <c r="L113" s="98"/>
      <c r="M113" s="98"/>
      <c r="N113" s="98"/>
      <c r="O113" s="98"/>
      <c r="P113" s="98"/>
      <c r="Q113" s="98"/>
      <c r="R113" s="98"/>
      <c r="S113" s="98"/>
    </row>
    <row r="114" spans="1:113" ht="15.75" hidden="1" customHeight="1" x14ac:dyDescent="0.3">
      <c r="B114" s="83"/>
      <c r="C114" s="83"/>
      <c r="D114" s="83"/>
      <c r="E114" s="83"/>
      <c r="F114" s="83"/>
      <c r="G114" s="83"/>
      <c r="H114" s="83"/>
      <c r="I114" s="83"/>
      <c r="J114" s="83"/>
      <c r="K114" s="83"/>
      <c r="L114" s="83"/>
      <c r="M114" s="83"/>
      <c r="N114" s="83"/>
      <c r="O114" s="83"/>
      <c r="P114" s="83"/>
      <c r="Q114" s="83"/>
      <c r="R114" s="83"/>
      <c r="S114" s="83"/>
    </row>
    <row r="115" spans="1:113" x14ac:dyDescent="0.3">
      <c r="B115" s="95"/>
      <c r="C115" s="95"/>
      <c r="D115" s="95"/>
      <c r="E115" s="95"/>
      <c r="F115" s="95"/>
      <c r="G115" s="95"/>
      <c r="H115" s="95"/>
      <c r="I115" s="95"/>
      <c r="J115" s="95"/>
      <c r="K115" s="95"/>
      <c r="L115" s="95"/>
      <c r="M115" s="95"/>
      <c r="N115" s="95"/>
      <c r="O115" s="95"/>
      <c r="P115" s="95"/>
      <c r="Q115" s="95"/>
      <c r="R115" s="95"/>
      <c r="S115" s="95"/>
    </row>
    <row r="116" spans="1:113" ht="20.100000000000001" customHeight="1" x14ac:dyDescent="0.3">
      <c r="B116" s="266" t="s">
        <v>134</v>
      </c>
      <c r="C116" s="266"/>
      <c r="D116" s="266"/>
      <c r="E116" s="266"/>
      <c r="F116" s="266"/>
      <c r="G116" s="266"/>
      <c r="H116" s="266"/>
      <c r="I116" s="266"/>
      <c r="J116" s="266"/>
      <c r="K116" s="266"/>
      <c r="L116" s="266"/>
      <c r="M116" s="266"/>
      <c r="N116" s="266"/>
      <c r="O116" s="266"/>
      <c r="P116" s="266"/>
      <c r="Q116" s="266"/>
      <c r="R116" s="266"/>
      <c r="S116" s="266"/>
      <c r="AA116" s="19"/>
      <c r="AB116" s="19"/>
      <c r="AC116" s="19"/>
      <c r="AD116" s="19"/>
    </row>
    <row r="117" spans="1:113" ht="29.4" customHeight="1" x14ac:dyDescent="0.3">
      <c r="B117" s="267" t="s">
        <v>135</v>
      </c>
      <c r="C117" s="267"/>
      <c r="D117" s="267"/>
      <c r="E117" s="114" t="s">
        <v>136</v>
      </c>
      <c r="F117" s="114" t="s">
        <v>137</v>
      </c>
      <c r="G117" s="267" t="s">
        <v>138</v>
      </c>
      <c r="H117" s="267"/>
      <c r="I117" s="267"/>
      <c r="J117" s="114" t="s">
        <v>139</v>
      </c>
      <c r="K117" s="114" t="s">
        <v>127</v>
      </c>
      <c r="L117" s="114" t="s">
        <v>481</v>
      </c>
      <c r="M117" s="267" t="s">
        <v>140</v>
      </c>
      <c r="N117" s="267"/>
      <c r="O117" s="267"/>
      <c r="P117" s="267"/>
      <c r="Q117" s="267"/>
      <c r="R117" s="114" t="s">
        <v>141</v>
      </c>
      <c r="S117" s="114" t="s">
        <v>142</v>
      </c>
      <c r="AA117" s="19"/>
      <c r="AB117" s="19"/>
      <c r="AC117" s="19"/>
      <c r="AD117" s="19"/>
    </row>
    <row r="118" spans="1:113" s="20" customFormat="1" ht="52.2" customHeight="1" x14ac:dyDescent="0.3">
      <c r="A118" s="19"/>
      <c r="B118" s="268" t="s">
        <v>143</v>
      </c>
      <c r="C118" s="268"/>
      <c r="D118" s="268"/>
      <c r="E118" s="115" t="s">
        <v>144</v>
      </c>
      <c r="F118" s="115" t="s">
        <v>145</v>
      </c>
      <c r="G118" s="269" t="s">
        <v>146</v>
      </c>
      <c r="H118" s="269"/>
      <c r="I118" s="269"/>
      <c r="J118" s="115" t="s">
        <v>147</v>
      </c>
      <c r="K118" s="116">
        <v>1</v>
      </c>
      <c r="L118" s="117">
        <v>44660</v>
      </c>
      <c r="M118" s="270" t="s">
        <v>148</v>
      </c>
      <c r="N118" s="270"/>
      <c r="O118" s="270"/>
      <c r="P118" s="270"/>
      <c r="Q118" s="270"/>
      <c r="R118" s="118" t="s">
        <v>149</v>
      </c>
      <c r="S118" s="118"/>
      <c r="T118" s="13"/>
      <c r="U118" s="13"/>
      <c r="V118" s="13"/>
      <c r="W118" s="13"/>
      <c r="X118" s="13"/>
      <c r="Y118" s="13"/>
      <c r="Z118" s="13"/>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row>
    <row r="119" spans="1:113" s="20" customFormat="1" ht="40.950000000000003" customHeight="1" x14ac:dyDescent="0.3">
      <c r="A119" s="19"/>
      <c r="B119" s="268" t="s">
        <v>150</v>
      </c>
      <c r="C119" s="268" t="s">
        <v>130</v>
      </c>
      <c r="D119" s="268"/>
      <c r="E119" s="115" t="s">
        <v>130</v>
      </c>
      <c r="F119" s="115" t="s">
        <v>151</v>
      </c>
      <c r="G119" s="269" t="s">
        <v>152</v>
      </c>
      <c r="H119" s="269"/>
      <c r="I119" s="269"/>
      <c r="J119" s="115" t="s">
        <v>147</v>
      </c>
      <c r="K119" s="116">
        <v>1</v>
      </c>
      <c r="L119" s="117">
        <v>44680</v>
      </c>
      <c r="M119" s="270" t="s">
        <v>148</v>
      </c>
      <c r="N119" s="270" t="s">
        <v>148</v>
      </c>
      <c r="O119" s="270">
        <v>44316</v>
      </c>
      <c r="P119" s="270">
        <v>44296</v>
      </c>
      <c r="Q119" s="270"/>
      <c r="R119" s="118"/>
      <c r="S119" s="118"/>
      <c r="T119" s="13"/>
      <c r="U119" s="13"/>
      <c r="V119" s="13"/>
      <c r="W119" s="13"/>
      <c r="X119" s="13"/>
      <c r="Y119" s="13"/>
      <c r="Z119" s="13"/>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row>
    <row r="120" spans="1:113" s="20" customFormat="1" ht="43.2" customHeight="1" x14ac:dyDescent="0.3">
      <c r="A120" s="19"/>
      <c r="B120" s="268" t="s">
        <v>153</v>
      </c>
      <c r="C120" s="268" t="s">
        <v>130</v>
      </c>
      <c r="D120" s="268"/>
      <c r="E120" s="115" t="s">
        <v>130</v>
      </c>
      <c r="F120" s="115" t="s">
        <v>151</v>
      </c>
      <c r="G120" s="269" t="s">
        <v>154</v>
      </c>
      <c r="H120" s="269"/>
      <c r="I120" s="269"/>
      <c r="J120" s="115" t="s">
        <v>147</v>
      </c>
      <c r="K120" s="116">
        <v>1</v>
      </c>
      <c r="L120" s="117">
        <v>44680</v>
      </c>
      <c r="M120" s="270" t="s">
        <v>148</v>
      </c>
      <c r="N120" s="270" t="s">
        <v>148</v>
      </c>
      <c r="O120" s="270">
        <v>44316</v>
      </c>
      <c r="P120" s="270">
        <v>44297</v>
      </c>
      <c r="Q120" s="270"/>
      <c r="R120" s="118" t="s">
        <v>155</v>
      </c>
      <c r="S120" s="118"/>
      <c r="T120" s="13"/>
      <c r="U120" s="13"/>
      <c r="V120" s="13"/>
      <c r="W120" s="13"/>
      <c r="X120" s="13"/>
      <c r="Y120" s="13"/>
      <c r="Z120" s="13"/>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row>
    <row r="121" spans="1:113" s="20" customFormat="1" ht="43.2" customHeight="1" x14ac:dyDescent="0.3">
      <c r="A121" s="19"/>
      <c r="B121" s="268" t="s">
        <v>156</v>
      </c>
      <c r="C121" s="268"/>
      <c r="D121" s="268"/>
      <c r="E121" s="115" t="s">
        <v>22</v>
      </c>
      <c r="F121" s="115" t="s">
        <v>157</v>
      </c>
      <c r="G121" s="269" t="s">
        <v>158</v>
      </c>
      <c r="H121" s="269"/>
      <c r="I121" s="269"/>
      <c r="J121" s="115" t="s">
        <v>159</v>
      </c>
      <c r="K121" s="116">
        <v>1</v>
      </c>
      <c r="L121" s="117">
        <v>44680</v>
      </c>
      <c r="M121" s="270" t="s">
        <v>148</v>
      </c>
      <c r="N121" s="270" t="s">
        <v>148</v>
      </c>
      <c r="O121" s="270">
        <v>44316</v>
      </c>
      <c r="P121" s="270">
        <v>44298</v>
      </c>
      <c r="Q121" s="270"/>
      <c r="R121" s="118"/>
      <c r="S121" s="118"/>
      <c r="T121" s="13"/>
      <c r="U121" s="13"/>
      <c r="V121" s="13"/>
      <c r="W121" s="13"/>
      <c r="X121" s="13"/>
      <c r="Y121" s="13"/>
      <c r="Z121" s="13"/>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row>
    <row r="122" spans="1:113" s="20" customFormat="1" ht="43.2" customHeight="1" x14ac:dyDescent="0.3">
      <c r="A122" s="19"/>
      <c r="B122" s="268" t="s">
        <v>40</v>
      </c>
      <c r="C122" s="268"/>
      <c r="D122" s="268"/>
      <c r="E122" s="115" t="s">
        <v>22</v>
      </c>
      <c r="F122" s="115" t="s">
        <v>151</v>
      </c>
      <c r="G122" s="269" t="s">
        <v>160</v>
      </c>
      <c r="H122" s="269"/>
      <c r="I122" s="269"/>
      <c r="J122" s="115" t="s">
        <v>159</v>
      </c>
      <c r="K122" s="116">
        <v>1</v>
      </c>
      <c r="L122" s="117">
        <v>44741</v>
      </c>
      <c r="M122" s="270" t="s">
        <v>161</v>
      </c>
      <c r="N122" s="270" t="s">
        <v>161</v>
      </c>
      <c r="O122" s="270">
        <v>44377</v>
      </c>
      <c r="P122" s="270">
        <v>44299</v>
      </c>
      <c r="Q122" s="270"/>
      <c r="R122" s="118"/>
      <c r="S122" s="118"/>
      <c r="T122" s="13"/>
      <c r="U122" s="13"/>
      <c r="V122" s="13"/>
      <c r="W122" s="13"/>
      <c r="X122" s="13"/>
      <c r="Y122" s="13"/>
      <c r="Z122" s="13"/>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row>
    <row r="123" spans="1:113" s="20" customFormat="1" ht="43.2" customHeight="1" x14ac:dyDescent="0.3">
      <c r="A123" s="19"/>
      <c r="B123" s="268" t="s">
        <v>162</v>
      </c>
      <c r="C123" s="268"/>
      <c r="D123" s="268"/>
      <c r="E123" s="115" t="s">
        <v>22</v>
      </c>
      <c r="F123" s="115" t="s">
        <v>151</v>
      </c>
      <c r="G123" s="269" t="s">
        <v>163</v>
      </c>
      <c r="H123" s="269"/>
      <c r="I123" s="269"/>
      <c r="J123" s="115" t="s">
        <v>159</v>
      </c>
      <c r="K123" s="116">
        <v>1</v>
      </c>
      <c r="L123" s="117">
        <v>44741</v>
      </c>
      <c r="M123" s="270" t="s">
        <v>161</v>
      </c>
      <c r="N123" s="270" t="s">
        <v>161</v>
      </c>
      <c r="O123" s="270">
        <v>44377</v>
      </c>
      <c r="P123" s="270">
        <v>44300</v>
      </c>
      <c r="Q123" s="270"/>
      <c r="R123" s="118"/>
      <c r="S123" s="118"/>
      <c r="T123" s="13"/>
      <c r="U123" s="13"/>
      <c r="V123" s="13"/>
      <c r="W123" s="13"/>
      <c r="X123" s="13"/>
      <c r="Y123" s="13"/>
      <c r="Z123" s="13"/>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row>
    <row r="124" spans="1:113" s="20" customFormat="1" ht="30" customHeight="1" x14ac:dyDescent="0.3">
      <c r="A124" s="19"/>
      <c r="B124" s="268" t="s">
        <v>164</v>
      </c>
      <c r="C124" s="268"/>
      <c r="D124" s="268"/>
      <c r="E124" s="115" t="s">
        <v>22</v>
      </c>
      <c r="F124" s="115" t="s">
        <v>151</v>
      </c>
      <c r="G124" s="269" t="s">
        <v>165</v>
      </c>
      <c r="H124" s="269"/>
      <c r="I124" s="269"/>
      <c r="J124" s="115" t="s">
        <v>159</v>
      </c>
      <c r="K124" s="116">
        <v>1</v>
      </c>
      <c r="L124" s="117">
        <v>44741</v>
      </c>
      <c r="M124" s="270" t="s">
        <v>148</v>
      </c>
      <c r="N124" s="270" t="s">
        <v>148</v>
      </c>
      <c r="O124" s="270">
        <v>44377</v>
      </c>
      <c r="P124" s="270">
        <v>44301</v>
      </c>
      <c r="Q124" s="270"/>
      <c r="R124" s="118"/>
      <c r="S124" s="118"/>
      <c r="T124" s="13"/>
      <c r="U124" s="13"/>
      <c r="V124" s="13"/>
      <c r="W124" s="13"/>
      <c r="X124" s="13"/>
      <c r="Y124" s="13"/>
      <c r="Z124" s="13"/>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row>
    <row r="125" spans="1:113" s="20" customFormat="1" ht="30" customHeight="1" x14ac:dyDescent="0.3">
      <c r="A125" s="19"/>
      <c r="B125" s="268" t="s">
        <v>166</v>
      </c>
      <c r="C125" s="268"/>
      <c r="D125" s="268"/>
      <c r="E125" s="115" t="s">
        <v>22</v>
      </c>
      <c r="F125" s="115" t="s">
        <v>151</v>
      </c>
      <c r="G125" s="269" t="s">
        <v>167</v>
      </c>
      <c r="H125" s="269"/>
      <c r="I125" s="269"/>
      <c r="J125" s="115" t="s">
        <v>159</v>
      </c>
      <c r="K125" s="116">
        <v>1</v>
      </c>
      <c r="L125" s="117">
        <v>44741</v>
      </c>
      <c r="M125" s="270" t="s">
        <v>148</v>
      </c>
      <c r="N125" s="270" t="s">
        <v>148</v>
      </c>
      <c r="O125" s="270">
        <v>44377</v>
      </c>
      <c r="P125" s="270">
        <v>44302</v>
      </c>
      <c r="Q125" s="270"/>
      <c r="R125" s="118"/>
      <c r="S125" s="118"/>
      <c r="T125" s="13"/>
      <c r="U125" s="13"/>
      <c r="V125" s="13"/>
      <c r="W125" s="13"/>
      <c r="X125" s="13"/>
      <c r="Y125" s="13"/>
      <c r="Z125" s="13"/>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row>
    <row r="126" spans="1:113" s="20" customFormat="1" ht="43.2" customHeight="1" x14ac:dyDescent="0.3">
      <c r="A126" s="19"/>
      <c r="B126" s="268" t="s">
        <v>168</v>
      </c>
      <c r="C126" s="268"/>
      <c r="D126" s="268"/>
      <c r="E126" s="115" t="s">
        <v>22</v>
      </c>
      <c r="F126" s="115" t="s">
        <v>151</v>
      </c>
      <c r="G126" s="269" t="s">
        <v>169</v>
      </c>
      <c r="H126" s="269"/>
      <c r="I126" s="269"/>
      <c r="J126" s="115" t="s">
        <v>159</v>
      </c>
      <c r="K126" s="116">
        <v>1</v>
      </c>
      <c r="L126" s="117">
        <v>44741</v>
      </c>
      <c r="M126" s="270" t="s">
        <v>148</v>
      </c>
      <c r="N126" s="270" t="s">
        <v>148</v>
      </c>
      <c r="O126" s="270">
        <v>44377</v>
      </c>
      <c r="P126" s="270">
        <v>44303</v>
      </c>
      <c r="Q126" s="270"/>
      <c r="R126" s="118"/>
      <c r="S126" s="118"/>
      <c r="T126" s="13"/>
      <c r="U126" s="13"/>
      <c r="V126" s="13"/>
      <c r="W126" s="13"/>
      <c r="X126" s="13"/>
      <c r="Y126" s="13"/>
      <c r="Z126" s="13"/>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row>
    <row r="127" spans="1:113" s="20" customFormat="1" ht="43.2" customHeight="1" x14ac:dyDescent="0.3">
      <c r="A127" s="19"/>
      <c r="B127" s="268" t="s">
        <v>170</v>
      </c>
      <c r="C127" s="268"/>
      <c r="D127" s="268"/>
      <c r="E127" s="115" t="s">
        <v>22</v>
      </c>
      <c r="F127" s="115" t="s">
        <v>151</v>
      </c>
      <c r="G127" s="269" t="s">
        <v>171</v>
      </c>
      <c r="H127" s="269"/>
      <c r="I127" s="269"/>
      <c r="J127" s="115" t="s">
        <v>159</v>
      </c>
      <c r="K127" s="116">
        <v>1</v>
      </c>
      <c r="L127" s="117">
        <v>44741</v>
      </c>
      <c r="M127" s="270" t="s">
        <v>161</v>
      </c>
      <c r="N127" s="270" t="s">
        <v>161</v>
      </c>
      <c r="O127" s="270">
        <v>44377</v>
      </c>
      <c r="P127" s="270">
        <v>44304</v>
      </c>
      <c r="Q127" s="270"/>
      <c r="R127" s="118"/>
      <c r="S127" s="118"/>
      <c r="T127" s="13"/>
      <c r="U127" s="13"/>
      <c r="V127" s="13"/>
      <c r="W127" s="13"/>
      <c r="X127" s="13"/>
      <c r="Y127" s="13"/>
      <c r="Z127" s="13"/>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row>
    <row r="128" spans="1:113" s="20" customFormat="1" ht="43.2" customHeight="1" x14ac:dyDescent="0.3">
      <c r="A128" s="19"/>
      <c r="B128" s="268" t="s">
        <v>172</v>
      </c>
      <c r="C128" s="268"/>
      <c r="D128" s="268"/>
      <c r="E128" s="115" t="s">
        <v>22</v>
      </c>
      <c r="F128" s="115" t="s">
        <v>151</v>
      </c>
      <c r="G128" s="269" t="s">
        <v>173</v>
      </c>
      <c r="H128" s="269"/>
      <c r="I128" s="269"/>
      <c r="J128" s="115" t="s">
        <v>159</v>
      </c>
      <c r="K128" s="116">
        <v>1</v>
      </c>
      <c r="L128" s="117">
        <v>44741</v>
      </c>
      <c r="M128" s="270" t="s">
        <v>161</v>
      </c>
      <c r="N128" s="270" t="s">
        <v>161</v>
      </c>
      <c r="O128" s="270">
        <v>44377</v>
      </c>
      <c r="P128" s="270">
        <v>44305</v>
      </c>
      <c r="Q128" s="270"/>
      <c r="R128" s="118"/>
      <c r="S128" s="118"/>
      <c r="T128" s="13"/>
      <c r="U128" s="13"/>
      <c r="V128" s="13"/>
      <c r="W128" s="13"/>
      <c r="X128" s="13"/>
      <c r="Y128" s="13"/>
      <c r="Z128" s="13"/>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row>
    <row r="129" spans="1:113" s="20" customFormat="1" ht="43.2" customHeight="1" x14ac:dyDescent="0.3">
      <c r="A129" s="19"/>
      <c r="B129" s="268" t="s">
        <v>174</v>
      </c>
      <c r="C129" s="268"/>
      <c r="D129" s="268"/>
      <c r="E129" s="115" t="s">
        <v>22</v>
      </c>
      <c r="F129" s="115" t="s">
        <v>151</v>
      </c>
      <c r="G129" s="269" t="s">
        <v>175</v>
      </c>
      <c r="H129" s="269"/>
      <c r="I129" s="269"/>
      <c r="J129" s="115" t="s">
        <v>159</v>
      </c>
      <c r="K129" s="116">
        <v>1</v>
      </c>
      <c r="L129" s="117">
        <v>44741</v>
      </c>
      <c r="M129" s="270" t="s">
        <v>161</v>
      </c>
      <c r="N129" s="270" t="s">
        <v>161</v>
      </c>
      <c r="O129" s="270">
        <v>44377</v>
      </c>
      <c r="P129" s="270">
        <v>44306</v>
      </c>
      <c r="Q129" s="270"/>
      <c r="R129" s="118"/>
      <c r="S129" s="118"/>
      <c r="T129" s="13"/>
      <c r="U129" s="13"/>
      <c r="V129" s="13"/>
      <c r="W129" s="13"/>
      <c r="X129" s="13"/>
      <c r="Y129" s="13"/>
      <c r="Z129" s="13"/>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row>
    <row r="130" spans="1:113" s="20" customFormat="1" ht="60" customHeight="1" x14ac:dyDescent="0.3">
      <c r="A130" s="19"/>
      <c r="B130" s="268" t="s">
        <v>176</v>
      </c>
      <c r="C130" s="268"/>
      <c r="D130" s="268"/>
      <c r="E130" s="115" t="s">
        <v>22</v>
      </c>
      <c r="F130" s="115" t="s">
        <v>151</v>
      </c>
      <c r="G130" s="269" t="s">
        <v>177</v>
      </c>
      <c r="H130" s="269"/>
      <c r="I130" s="269"/>
      <c r="J130" s="115" t="s">
        <v>159</v>
      </c>
      <c r="K130" s="116">
        <v>1</v>
      </c>
      <c r="L130" s="117">
        <v>44741</v>
      </c>
      <c r="M130" s="270" t="s">
        <v>148</v>
      </c>
      <c r="N130" s="270" t="s">
        <v>148</v>
      </c>
      <c r="O130" s="270">
        <v>44377</v>
      </c>
      <c r="P130" s="270">
        <v>44307</v>
      </c>
      <c r="Q130" s="270"/>
      <c r="R130" s="118"/>
      <c r="S130" s="118"/>
      <c r="T130" s="13"/>
      <c r="U130" s="13"/>
      <c r="V130" s="13"/>
      <c r="W130" s="13"/>
      <c r="X130" s="13"/>
      <c r="Y130" s="13"/>
      <c r="Z130" s="13"/>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row>
    <row r="131" spans="1:113" s="20" customFormat="1" ht="30" customHeight="1" x14ac:dyDescent="0.3">
      <c r="A131" s="19"/>
      <c r="B131" s="268" t="s">
        <v>178</v>
      </c>
      <c r="C131" s="268"/>
      <c r="D131" s="268"/>
      <c r="E131" s="115" t="s">
        <v>22</v>
      </c>
      <c r="F131" s="115" t="s">
        <v>151</v>
      </c>
      <c r="G131" s="269" t="s">
        <v>179</v>
      </c>
      <c r="H131" s="269"/>
      <c r="I131" s="269"/>
      <c r="J131" s="115" t="s">
        <v>159</v>
      </c>
      <c r="K131" s="116">
        <v>1</v>
      </c>
      <c r="L131" s="117">
        <v>44741</v>
      </c>
      <c r="M131" s="270" t="s">
        <v>161</v>
      </c>
      <c r="N131" s="270" t="s">
        <v>161</v>
      </c>
      <c r="O131" s="270">
        <v>44377</v>
      </c>
      <c r="P131" s="270">
        <v>44308</v>
      </c>
      <c r="Q131" s="270"/>
      <c r="R131" s="118"/>
      <c r="S131" s="118"/>
      <c r="T131" s="13"/>
      <c r="U131" s="13"/>
      <c r="V131" s="13"/>
      <c r="W131" s="13"/>
      <c r="X131" s="13"/>
      <c r="Y131" s="13"/>
      <c r="Z131" s="13"/>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row>
    <row r="132" spans="1:113" s="20" customFormat="1" ht="43.2" customHeight="1" x14ac:dyDescent="0.3">
      <c r="A132" s="19"/>
      <c r="B132" s="268" t="s">
        <v>180</v>
      </c>
      <c r="C132" s="268"/>
      <c r="D132" s="268"/>
      <c r="E132" s="115" t="s">
        <v>22</v>
      </c>
      <c r="F132" s="115" t="s">
        <v>151</v>
      </c>
      <c r="G132" s="269" t="s">
        <v>181</v>
      </c>
      <c r="H132" s="269"/>
      <c r="I132" s="269"/>
      <c r="J132" s="115" t="s">
        <v>159</v>
      </c>
      <c r="K132" s="116">
        <v>1</v>
      </c>
      <c r="L132" s="117">
        <v>44741</v>
      </c>
      <c r="M132" s="270" t="s">
        <v>161</v>
      </c>
      <c r="N132" s="270" t="s">
        <v>161</v>
      </c>
      <c r="O132" s="270">
        <v>44377</v>
      </c>
      <c r="P132" s="270">
        <v>44309</v>
      </c>
      <c r="Q132" s="270"/>
      <c r="R132" s="118"/>
      <c r="S132" s="118"/>
      <c r="T132" s="13"/>
      <c r="U132" s="13"/>
      <c r="V132" s="13"/>
      <c r="W132" s="13"/>
      <c r="X132" s="13"/>
      <c r="Y132" s="13"/>
      <c r="Z132" s="13"/>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row>
    <row r="133" spans="1:113" s="20" customFormat="1" ht="97.35" customHeight="1" x14ac:dyDescent="0.3">
      <c r="A133" s="19"/>
      <c r="B133" s="268" t="s">
        <v>182</v>
      </c>
      <c r="C133" s="268" t="s">
        <v>183</v>
      </c>
      <c r="D133" s="268"/>
      <c r="E133" s="115" t="s">
        <v>183</v>
      </c>
      <c r="F133" s="115" t="s">
        <v>184</v>
      </c>
      <c r="G133" s="269" t="s">
        <v>185</v>
      </c>
      <c r="H133" s="269"/>
      <c r="I133" s="269"/>
      <c r="J133" s="115" t="s">
        <v>186</v>
      </c>
      <c r="K133" s="116">
        <v>1</v>
      </c>
      <c r="L133" s="117">
        <v>44757</v>
      </c>
      <c r="M133" s="270" t="s">
        <v>187</v>
      </c>
      <c r="N133" s="270" t="s">
        <v>187</v>
      </c>
      <c r="O133" s="270">
        <v>44392</v>
      </c>
      <c r="P133" s="270">
        <v>44310</v>
      </c>
      <c r="Q133" s="270"/>
      <c r="R133" s="118"/>
      <c r="S133" s="118"/>
      <c r="T133" s="13"/>
      <c r="U133" s="13"/>
      <c r="V133" s="13"/>
      <c r="W133" s="13"/>
      <c r="X133" s="13"/>
      <c r="Y133" s="13"/>
      <c r="Z133" s="13"/>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row>
    <row r="134" spans="1:113" s="20" customFormat="1" ht="37.200000000000003" customHeight="1" x14ac:dyDescent="0.3">
      <c r="A134" s="19"/>
      <c r="B134" s="268" t="s">
        <v>188</v>
      </c>
      <c r="C134" s="268" t="s">
        <v>189</v>
      </c>
      <c r="D134" s="268"/>
      <c r="E134" s="115" t="s">
        <v>189</v>
      </c>
      <c r="F134" s="115" t="s">
        <v>157</v>
      </c>
      <c r="G134" s="269" t="s">
        <v>190</v>
      </c>
      <c r="H134" s="269"/>
      <c r="I134" s="269"/>
      <c r="J134" s="115" t="s">
        <v>186</v>
      </c>
      <c r="K134" s="116">
        <v>1</v>
      </c>
      <c r="L134" s="117">
        <v>44757</v>
      </c>
      <c r="M134" s="270" t="s">
        <v>187</v>
      </c>
      <c r="N134" s="270" t="s">
        <v>187</v>
      </c>
      <c r="O134" s="270">
        <v>44392</v>
      </c>
      <c r="P134" s="270">
        <v>44311</v>
      </c>
      <c r="Q134" s="270"/>
      <c r="R134" s="118"/>
      <c r="S134" s="118"/>
      <c r="T134" s="13"/>
      <c r="U134" s="13"/>
      <c r="V134" s="13"/>
      <c r="W134" s="13"/>
      <c r="X134" s="13"/>
      <c r="Y134" s="13"/>
      <c r="Z134" s="13"/>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row>
    <row r="135" spans="1:113" s="20" customFormat="1" ht="30" customHeight="1" x14ac:dyDescent="0.3">
      <c r="A135" s="19"/>
      <c r="B135" s="268" t="s">
        <v>191</v>
      </c>
      <c r="C135" s="268" t="s">
        <v>189</v>
      </c>
      <c r="D135" s="268"/>
      <c r="E135" s="115" t="s">
        <v>189</v>
      </c>
      <c r="F135" s="115" t="s">
        <v>157</v>
      </c>
      <c r="G135" s="269" t="s">
        <v>192</v>
      </c>
      <c r="H135" s="269"/>
      <c r="I135" s="269"/>
      <c r="J135" s="115" t="s">
        <v>186</v>
      </c>
      <c r="K135" s="116">
        <v>1</v>
      </c>
      <c r="L135" s="117">
        <v>44757</v>
      </c>
      <c r="M135" s="270" t="s">
        <v>187</v>
      </c>
      <c r="N135" s="270" t="s">
        <v>187</v>
      </c>
      <c r="O135" s="270">
        <v>44392</v>
      </c>
      <c r="P135" s="270">
        <v>44312</v>
      </c>
      <c r="Q135" s="270"/>
      <c r="R135" s="118"/>
      <c r="S135" s="118"/>
      <c r="T135" s="13"/>
      <c r="U135" s="13"/>
      <c r="V135" s="13"/>
      <c r="W135" s="13"/>
      <c r="X135" s="13"/>
      <c r="Y135" s="13"/>
      <c r="Z135" s="13"/>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row>
    <row r="136" spans="1:113" s="20" customFormat="1" ht="30" customHeight="1" x14ac:dyDescent="0.3">
      <c r="A136" s="19"/>
      <c r="B136" s="268" t="s">
        <v>193</v>
      </c>
      <c r="C136" s="268" t="s">
        <v>189</v>
      </c>
      <c r="D136" s="268"/>
      <c r="E136" s="115" t="s">
        <v>189</v>
      </c>
      <c r="F136" s="115" t="s">
        <v>157</v>
      </c>
      <c r="G136" s="269" t="s">
        <v>194</v>
      </c>
      <c r="H136" s="269"/>
      <c r="I136" s="269"/>
      <c r="J136" s="115" t="s">
        <v>186</v>
      </c>
      <c r="K136" s="116">
        <v>1</v>
      </c>
      <c r="L136" s="117">
        <v>44757</v>
      </c>
      <c r="M136" s="270" t="s">
        <v>187</v>
      </c>
      <c r="N136" s="270" t="s">
        <v>187</v>
      </c>
      <c r="O136" s="270">
        <v>44392</v>
      </c>
      <c r="P136" s="270">
        <v>44313</v>
      </c>
      <c r="Q136" s="270"/>
      <c r="R136" s="118"/>
      <c r="S136" s="118"/>
      <c r="T136" s="13"/>
      <c r="U136" s="13"/>
      <c r="V136" s="13"/>
      <c r="W136" s="13"/>
      <c r="X136" s="13"/>
      <c r="Y136" s="13"/>
      <c r="Z136" s="13"/>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row>
    <row r="137" spans="1:113" s="20" customFormat="1" ht="60" customHeight="1" x14ac:dyDescent="0.3">
      <c r="A137" s="19"/>
      <c r="B137" s="268" t="s">
        <v>195</v>
      </c>
      <c r="C137" s="268" t="s">
        <v>189</v>
      </c>
      <c r="D137" s="268"/>
      <c r="E137" s="115" t="s">
        <v>189</v>
      </c>
      <c r="F137" s="115" t="s">
        <v>196</v>
      </c>
      <c r="G137" s="269" t="s">
        <v>197</v>
      </c>
      <c r="H137" s="269"/>
      <c r="I137" s="269"/>
      <c r="J137" s="115" t="s">
        <v>186</v>
      </c>
      <c r="K137" s="116">
        <v>1</v>
      </c>
      <c r="L137" s="117">
        <v>44744</v>
      </c>
      <c r="M137" s="270" t="s">
        <v>187</v>
      </c>
      <c r="N137" s="270" t="s">
        <v>187</v>
      </c>
      <c r="O137" s="270">
        <v>44392</v>
      </c>
      <c r="P137" s="270">
        <v>44314</v>
      </c>
      <c r="Q137" s="270"/>
      <c r="R137" s="118"/>
      <c r="S137" s="118"/>
      <c r="T137" s="13"/>
      <c r="U137" s="13"/>
      <c r="V137" s="13"/>
      <c r="W137" s="13"/>
      <c r="X137" s="13"/>
      <c r="Y137" s="13"/>
      <c r="Z137" s="13"/>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row>
    <row r="138" spans="1:113" s="20" customFormat="1" ht="61.35" customHeight="1" x14ac:dyDescent="0.3">
      <c r="A138" s="19"/>
      <c r="B138" s="268" t="s">
        <v>198</v>
      </c>
      <c r="C138" s="268" t="s">
        <v>189</v>
      </c>
      <c r="D138" s="268"/>
      <c r="E138" s="115" t="s">
        <v>189</v>
      </c>
      <c r="F138" s="115" t="s">
        <v>196</v>
      </c>
      <c r="G138" s="269" t="s">
        <v>197</v>
      </c>
      <c r="H138" s="269"/>
      <c r="I138" s="269"/>
      <c r="J138" s="115" t="s">
        <v>186</v>
      </c>
      <c r="K138" s="116">
        <v>1</v>
      </c>
      <c r="L138" s="117">
        <v>44744</v>
      </c>
      <c r="M138" s="270" t="s">
        <v>187</v>
      </c>
      <c r="N138" s="270" t="s">
        <v>187</v>
      </c>
      <c r="O138" s="270">
        <v>44392</v>
      </c>
      <c r="P138" s="270">
        <v>44315</v>
      </c>
      <c r="Q138" s="270"/>
      <c r="R138" s="118"/>
      <c r="S138" s="118"/>
      <c r="T138" s="13"/>
      <c r="U138" s="13"/>
      <c r="V138" s="13"/>
      <c r="W138" s="13"/>
      <c r="X138" s="13"/>
      <c r="Y138" s="13"/>
      <c r="Z138" s="13"/>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row>
    <row r="139" spans="1:113" s="20" customFormat="1" ht="57" customHeight="1" x14ac:dyDescent="0.3">
      <c r="A139" s="19"/>
      <c r="B139" s="268" t="s">
        <v>199</v>
      </c>
      <c r="C139" s="268" t="s">
        <v>189</v>
      </c>
      <c r="D139" s="268"/>
      <c r="E139" s="115" t="s">
        <v>189</v>
      </c>
      <c r="F139" s="115" t="s">
        <v>157</v>
      </c>
      <c r="G139" s="269" t="s">
        <v>197</v>
      </c>
      <c r="H139" s="269"/>
      <c r="I139" s="269"/>
      <c r="J139" s="115" t="s">
        <v>186</v>
      </c>
      <c r="K139" s="116">
        <v>1</v>
      </c>
      <c r="L139" s="117">
        <v>44744</v>
      </c>
      <c r="M139" s="270" t="s">
        <v>187</v>
      </c>
      <c r="N139" s="270" t="s">
        <v>187</v>
      </c>
      <c r="O139" s="270">
        <v>44392</v>
      </c>
      <c r="P139" s="270">
        <v>44316</v>
      </c>
      <c r="Q139" s="270"/>
      <c r="R139" s="118"/>
      <c r="S139" s="118"/>
      <c r="T139" s="13"/>
      <c r="U139" s="13"/>
      <c r="V139" s="13"/>
      <c r="W139" s="13"/>
      <c r="X139" s="13"/>
      <c r="Y139" s="13"/>
      <c r="Z139" s="13"/>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row>
    <row r="140" spans="1:113" s="20" customFormat="1" ht="74.7" customHeight="1" x14ac:dyDescent="0.3">
      <c r="A140" s="19"/>
      <c r="B140" s="268" t="s">
        <v>200</v>
      </c>
      <c r="C140" s="268" t="s">
        <v>201</v>
      </c>
      <c r="D140" s="268"/>
      <c r="E140" s="115" t="s">
        <v>201</v>
      </c>
      <c r="F140" s="115" t="s">
        <v>202</v>
      </c>
      <c r="G140" s="269" t="s">
        <v>203</v>
      </c>
      <c r="H140" s="269"/>
      <c r="I140" s="269"/>
      <c r="J140" s="115" t="s">
        <v>186</v>
      </c>
      <c r="K140" s="116">
        <v>1</v>
      </c>
      <c r="L140" s="117">
        <v>44741</v>
      </c>
      <c r="M140" s="270" t="s">
        <v>204</v>
      </c>
      <c r="N140" s="270" t="s">
        <v>204</v>
      </c>
      <c r="O140" s="270">
        <v>44378</v>
      </c>
      <c r="P140" s="270">
        <v>44317</v>
      </c>
      <c r="Q140" s="270"/>
      <c r="R140" s="118"/>
      <c r="S140" s="118"/>
      <c r="T140" s="13"/>
      <c r="U140" s="13"/>
      <c r="V140" s="13"/>
      <c r="W140" s="13"/>
      <c r="X140" s="13"/>
      <c r="Y140" s="13"/>
      <c r="Z140" s="13"/>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row>
    <row r="141" spans="1:113" s="20" customFormat="1" ht="49.95" customHeight="1" x14ac:dyDescent="0.3">
      <c r="A141" s="19"/>
      <c r="B141" s="268" t="s">
        <v>205</v>
      </c>
      <c r="C141" s="268" t="s">
        <v>206</v>
      </c>
      <c r="D141" s="268"/>
      <c r="E141" s="115" t="s">
        <v>206</v>
      </c>
      <c r="F141" s="115" t="s">
        <v>207</v>
      </c>
      <c r="G141" s="269" t="s">
        <v>208</v>
      </c>
      <c r="H141" s="269"/>
      <c r="I141" s="269"/>
      <c r="J141" s="115" t="s">
        <v>186</v>
      </c>
      <c r="K141" s="116">
        <v>1</v>
      </c>
      <c r="L141" s="117">
        <v>44757</v>
      </c>
      <c r="M141" s="270" t="s">
        <v>209</v>
      </c>
      <c r="N141" s="270" t="s">
        <v>209</v>
      </c>
      <c r="O141" s="270">
        <v>44392</v>
      </c>
      <c r="P141" s="270">
        <v>44318</v>
      </c>
      <c r="Q141" s="270"/>
      <c r="R141" s="118"/>
      <c r="S141" s="118"/>
      <c r="T141" s="13"/>
      <c r="U141" s="13"/>
      <c r="V141" s="13"/>
      <c r="W141" s="13"/>
      <c r="X141" s="13"/>
      <c r="Y141" s="13"/>
      <c r="Z141" s="13"/>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row>
    <row r="142" spans="1:113" s="20" customFormat="1" ht="49.95" customHeight="1" x14ac:dyDescent="0.3">
      <c r="A142" s="19"/>
      <c r="B142" s="268" t="s">
        <v>210</v>
      </c>
      <c r="C142" s="268" t="s">
        <v>206</v>
      </c>
      <c r="D142" s="268"/>
      <c r="E142" s="115" t="s">
        <v>206</v>
      </c>
      <c r="F142" s="115" t="s">
        <v>211</v>
      </c>
      <c r="G142" s="269" t="s">
        <v>208</v>
      </c>
      <c r="H142" s="269"/>
      <c r="I142" s="269"/>
      <c r="J142" s="115" t="s">
        <v>186</v>
      </c>
      <c r="K142" s="116">
        <v>1</v>
      </c>
      <c r="L142" s="117">
        <v>44757</v>
      </c>
      <c r="M142" s="270" t="s">
        <v>209</v>
      </c>
      <c r="N142" s="270" t="s">
        <v>209</v>
      </c>
      <c r="O142" s="270">
        <v>44392</v>
      </c>
      <c r="P142" s="270">
        <v>44319</v>
      </c>
      <c r="Q142" s="270"/>
      <c r="R142" s="118"/>
      <c r="S142" s="118"/>
      <c r="T142" s="13"/>
      <c r="U142" s="13"/>
      <c r="V142" s="13"/>
      <c r="W142" s="13"/>
      <c r="X142" s="13"/>
      <c r="Y142" s="13"/>
      <c r="Z142" s="13"/>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row>
    <row r="143" spans="1:113" s="20" customFormat="1" ht="49.95" customHeight="1" x14ac:dyDescent="0.3">
      <c r="A143" s="19"/>
      <c r="B143" s="268" t="s">
        <v>212</v>
      </c>
      <c r="C143" s="268" t="s">
        <v>206</v>
      </c>
      <c r="D143" s="268"/>
      <c r="E143" s="115" t="s">
        <v>206</v>
      </c>
      <c r="F143" s="115" t="s">
        <v>213</v>
      </c>
      <c r="G143" s="269" t="s">
        <v>208</v>
      </c>
      <c r="H143" s="269"/>
      <c r="I143" s="269"/>
      <c r="J143" s="115" t="s">
        <v>186</v>
      </c>
      <c r="K143" s="116">
        <v>1</v>
      </c>
      <c r="L143" s="117">
        <v>44757</v>
      </c>
      <c r="M143" s="270" t="s">
        <v>209</v>
      </c>
      <c r="N143" s="270" t="s">
        <v>209</v>
      </c>
      <c r="O143" s="270">
        <v>44392</v>
      </c>
      <c r="P143" s="270">
        <v>44320</v>
      </c>
      <c r="Q143" s="270"/>
      <c r="R143" s="118"/>
      <c r="S143" s="118"/>
      <c r="T143" s="13"/>
      <c r="U143" s="13"/>
      <c r="V143" s="13"/>
      <c r="W143" s="13"/>
      <c r="X143" s="13"/>
      <c r="Y143" s="13"/>
      <c r="Z143" s="13"/>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row>
    <row r="144" spans="1:113" s="20" customFormat="1" ht="49.95" customHeight="1" x14ac:dyDescent="0.3">
      <c r="A144" s="19"/>
      <c r="B144" s="268" t="s">
        <v>214</v>
      </c>
      <c r="C144" s="268" t="s">
        <v>206</v>
      </c>
      <c r="D144" s="268"/>
      <c r="E144" s="115" t="s">
        <v>206</v>
      </c>
      <c r="F144" s="115" t="s">
        <v>215</v>
      </c>
      <c r="G144" s="269" t="s">
        <v>208</v>
      </c>
      <c r="H144" s="269"/>
      <c r="I144" s="269"/>
      <c r="J144" s="115" t="s">
        <v>186</v>
      </c>
      <c r="K144" s="116">
        <v>1</v>
      </c>
      <c r="L144" s="117">
        <v>44757</v>
      </c>
      <c r="M144" s="270" t="s">
        <v>209</v>
      </c>
      <c r="N144" s="270" t="s">
        <v>209</v>
      </c>
      <c r="O144" s="270">
        <v>44392</v>
      </c>
      <c r="P144" s="270">
        <v>44321</v>
      </c>
      <c r="Q144" s="270"/>
      <c r="R144" s="118"/>
      <c r="S144" s="118"/>
      <c r="T144" s="13"/>
      <c r="U144" s="13"/>
      <c r="V144" s="13"/>
      <c r="W144" s="13"/>
      <c r="X144" s="13"/>
      <c r="Y144" s="13"/>
      <c r="Z144" s="13"/>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row>
    <row r="145" spans="1:113" s="20" customFormat="1" ht="49.95" customHeight="1" x14ac:dyDescent="0.3">
      <c r="A145" s="19"/>
      <c r="B145" s="268" t="s">
        <v>216</v>
      </c>
      <c r="C145" s="268" t="s">
        <v>206</v>
      </c>
      <c r="D145" s="268"/>
      <c r="E145" s="115" t="s">
        <v>206</v>
      </c>
      <c r="F145" s="115" t="s">
        <v>217</v>
      </c>
      <c r="G145" s="269" t="s">
        <v>208</v>
      </c>
      <c r="H145" s="269"/>
      <c r="I145" s="269"/>
      <c r="J145" s="115" t="s">
        <v>186</v>
      </c>
      <c r="K145" s="116">
        <v>1</v>
      </c>
      <c r="L145" s="117">
        <v>44757</v>
      </c>
      <c r="M145" s="270" t="s">
        <v>209</v>
      </c>
      <c r="N145" s="270" t="s">
        <v>209</v>
      </c>
      <c r="O145" s="270">
        <v>44392</v>
      </c>
      <c r="P145" s="270">
        <v>44322</v>
      </c>
      <c r="Q145" s="270"/>
      <c r="R145" s="118"/>
      <c r="S145" s="118"/>
      <c r="T145" s="13"/>
      <c r="U145" s="13"/>
      <c r="V145" s="13"/>
      <c r="W145" s="13"/>
      <c r="X145" s="13"/>
      <c r="Y145" s="13"/>
      <c r="Z145" s="13"/>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row>
    <row r="146" spans="1:113" s="20" customFormat="1" ht="49.95" customHeight="1" x14ac:dyDescent="0.3">
      <c r="A146" s="19"/>
      <c r="B146" s="268" t="s">
        <v>218</v>
      </c>
      <c r="C146" s="268" t="s">
        <v>206</v>
      </c>
      <c r="D146" s="268"/>
      <c r="E146" s="115" t="s">
        <v>206</v>
      </c>
      <c r="F146" s="115" t="s">
        <v>219</v>
      </c>
      <c r="G146" s="269" t="s">
        <v>208</v>
      </c>
      <c r="H146" s="269"/>
      <c r="I146" s="269"/>
      <c r="J146" s="115" t="s">
        <v>186</v>
      </c>
      <c r="K146" s="116">
        <v>1</v>
      </c>
      <c r="L146" s="117">
        <v>44757</v>
      </c>
      <c r="M146" s="270" t="s">
        <v>209</v>
      </c>
      <c r="N146" s="270" t="s">
        <v>209</v>
      </c>
      <c r="O146" s="270">
        <v>44392</v>
      </c>
      <c r="P146" s="270">
        <v>44323</v>
      </c>
      <c r="Q146" s="270"/>
      <c r="R146" s="118"/>
      <c r="S146" s="118"/>
      <c r="T146" s="13"/>
      <c r="U146" s="13"/>
      <c r="V146" s="13"/>
      <c r="W146" s="13"/>
      <c r="X146" s="13"/>
      <c r="Y146" s="13"/>
      <c r="Z146" s="13"/>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row>
    <row r="147" spans="1:113" s="20" customFormat="1" ht="49.95" customHeight="1" x14ac:dyDescent="0.3">
      <c r="A147" s="19"/>
      <c r="B147" s="268" t="s">
        <v>220</v>
      </c>
      <c r="C147" s="268" t="s">
        <v>221</v>
      </c>
      <c r="D147" s="268"/>
      <c r="E147" s="115" t="s">
        <v>221</v>
      </c>
      <c r="F147" s="115" t="s">
        <v>207</v>
      </c>
      <c r="G147" s="269" t="s">
        <v>222</v>
      </c>
      <c r="H147" s="269"/>
      <c r="I147" s="269"/>
      <c r="J147" s="115" t="s">
        <v>186</v>
      </c>
      <c r="K147" s="116">
        <v>1</v>
      </c>
      <c r="L147" s="117">
        <v>44833</v>
      </c>
      <c r="M147" s="270" t="s">
        <v>223</v>
      </c>
      <c r="N147" s="270" t="s">
        <v>223</v>
      </c>
      <c r="O147" s="270">
        <v>44468</v>
      </c>
      <c r="P147" s="270">
        <v>44324</v>
      </c>
      <c r="Q147" s="270"/>
      <c r="R147" s="118"/>
      <c r="S147" s="118"/>
      <c r="T147" s="13"/>
      <c r="U147" s="13"/>
      <c r="V147" s="13"/>
      <c r="W147" s="13"/>
      <c r="X147" s="13"/>
      <c r="Y147" s="13"/>
      <c r="Z147" s="13"/>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row>
    <row r="148" spans="1:113" s="20" customFormat="1" ht="49.95" customHeight="1" x14ac:dyDescent="0.3">
      <c r="A148" s="19"/>
      <c r="B148" s="268" t="s">
        <v>224</v>
      </c>
      <c r="C148" s="268" t="s">
        <v>225</v>
      </c>
      <c r="D148" s="268"/>
      <c r="E148" s="115" t="s">
        <v>225</v>
      </c>
      <c r="F148" s="115" t="s">
        <v>211</v>
      </c>
      <c r="G148" s="269" t="s">
        <v>222</v>
      </c>
      <c r="H148" s="269"/>
      <c r="I148" s="269"/>
      <c r="J148" s="115" t="s">
        <v>186</v>
      </c>
      <c r="K148" s="116">
        <v>1</v>
      </c>
      <c r="L148" s="117">
        <v>44833</v>
      </c>
      <c r="M148" s="270" t="s">
        <v>223</v>
      </c>
      <c r="N148" s="270" t="s">
        <v>223</v>
      </c>
      <c r="O148" s="270">
        <v>44468</v>
      </c>
      <c r="P148" s="270">
        <v>44325</v>
      </c>
      <c r="Q148" s="270"/>
      <c r="R148" s="118"/>
      <c r="S148" s="118"/>
      <c r="T148" s="13"/>
      <c r="U148" s="13"/>
      <c r="V148" s="13"/>
      <c r="W148" s="13"/>
      <c r="X148" s="13"/>
      <c r="Y148" s="13"/>
      <c r="Z148" s="13"/>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row>
    <row r="149" spans="1:113" s="20" customFormat="1" ht="49.95" customHeight="1" x14ac:dyDescent="0.3">
      <c r="A149" s="19"/>
      <c r="B149" s="268" t="s">
        <v>226</v>
      </c>
      <c r="C149" s="268" t="s">
        <v>227</v>
      </c>
      <c r="D149" s="268"/>
      <c r="E149" s="115" t="s">
        <v>227</v>
      </c>
      <c r="F149" s="115" t="s">
        <v>213</v>
      </c>
      <c r="G149" s="269" t="s">
        <v>222</v>
      </c>
      <c r="H149" s="269"/>
      <c r="I149" s="269"/>
      <c r="J149" s="115" t="s">
        <v>186</v>
      </c>
      <c r="K149" s="116">
        <v>1</v>
      </c>
      <c r="L149" s="117">
        <v>44833</v>
      </c>
      <c r="M149" s="270" t="s">
        <v>223</v>
      </c>
      <c r="N149" s="270" t="s">
        <v>223</v>
      </c>
      <c r="O149" s="270">
        <v>44468</v>
      </c>
      <c r="P149" s="270">
        <v>44326</v>
      </c>
      <c r="Q149" s="270"/>
      <c r="R149" s="118"/>
      <c r="S149" s="118"/>
      <c r="T149" s="13"/>
      <c r="U149" s="13"/>
      <c r="V149" s="13"/>
      <c r="W149" s="13"/>
      <c r="X149" s="13"/>
      <c r="Y149" s="13"/>
      <c r="Z149" s="13"/>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row>
    <row r="150" spans="1:113" s="20" customFormat="1" ht="49.95" customHeight="1" x14ac:dyDescent="0.3">
      <c r="A150" s="19"/>
      <c r="B150" s="268" t="s">
        <v>228</v>
      </c>
      <c r="C150" s="268" t="s">
        <v>229</v>
      </c>
      <c r="D150" s="268"/>
      <c r="E150" s="115" t="s">
        <v>229</v>
      </c>
      <c r="F150" s="115" t="s">
        <v>215</v>
      </c>
      <c r="G150" s="269" t="s">
        <v>222</v>
      </c>
      <c r="H150" s="269"/>
      <c r="I150" s="269"/>
      <c r="J150" s="115" t="s">
        <v>186</v>
      </c>
      <c r="K150" s="116">
        <v>1</v>
      </c>
      <c r="L150" s="117">
        <v>44833</v>
      </c>
      <c r="M150" s="270" t="s">
        <v>223</v>
      </c>
      <c r="N150" s="270" t="s">
        <v>223</v>
      </c>
      <c r="O150" s="270">
        <v>44468</v>
      </c>
      <c r="P150" s="270">
        <v>44327</v>
      </c>
      <c r="Q150" s="270"/>
      <c r="R150" s="118"/>
      <c r="S150" s="118"/>
      <c r="T150" s="13"/>
      <c r="U150" s="13"/>
      <c r="V150" s="13"/>
      <c r="W150" s="13"/>
      <c r="X150" s="13"/>
      <c r="Y150" s="13"/>
      <c r="Z150" s="13"/>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row>
    <row r="151" spans="1:113" s="20" customFormat="1" ht="49.95" customHeight="1" x14ac:dyDescent="0.3">
      <c r="A151" s="19"/>
      <c r="B151" s="268" t="s">
        <v>230</v>
      </c>
      <c r="C151" s="268" t="s">
        <v>231</v>
      </c>
      <c r="D151" s="268"/>
      <c r="E151" s="115" t="s">
        <v>231</v>
      </c>
      <c r="F151" s="115" t="s">
        <v>217</v>
      </c>
      <c r="G151" s="269" t="s">
        <v>222</v>
      </c>
      <c r="H151" s="269"/>
      <c r="I151" s="269"/>
      <c r="J151" s="115" t="s">
        <v>186</v>
      </c>
      <c r="K151" s="116">
        <v>1</v>
      </c>
      <c r="L151" s="117">
        <v>44833</v>
      </c>
      <c r="M151" s="270" t="s">
        <v>223</v>
      </c>
      <c r="N151" s="270" t="s">
        <v>223</v>
      </c>
      <c r="O151" s="270">
        <v>44468</v>
      </c>
      <c r="P151" s="270">
        <v>44328</v>
      </c>
      <c r="Q151" s="270"/>
      <c r="R151" s="118"/>
      <c r="S151" s="118"/>
      <c r="T151" s="13"/>
      <c r="U151" s="13"/>
      <c r="V151" s="13"/>
      <c r="W151" s="13"/>
      <c r="X151" s="13"/>
      <c r="Y151" s="13"/>
      <c r="Z151" s="13"/>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row>
    <row r="152" spans="1:113" s="20" customFormat="1" ht="49.95" customHeight="1" x14ac:dyDescent="0.3">
      <c r="A152" s="19"/>
      <c r="B152" s="268" t="s">
        <v>232</v>
      </c>
      <c r="C152" s="268" t="s">
        <v>221</v>
      </c>
      <c r="D152" s="268"/>
      <c r="E152" s="115" t="s">
        <v>221</v>
      </c>
      <c r="F152" s="115" t="s">
        <v>207</v>
      </c>
      <c r="G152" s="269" t="s">
        <v>233</v>
      </c>
      <c r="H152" s="269"/>
      <c r="I152" s="269"/>
      <c r="J152" s="115" t="s">
        <v>186</v>
      </c>
      <c r="K152" s="116">
        <v>1</v>
      </c>
      <c r="L152" s="117">
        <v>44863</v>
      </c>
      <c r="M152" s="270" t="s">
        <v>223</v>
      </c>
      <c r="N152" s="270" t="s">
        <v>223</v>
      </c>
      <c r="O152" s="270">
        <v>44498</v>
      </c>
      <c r="P152" s="270">
        <v>44329</v>
      </c>
      <c r="Q152" s="270"/>
      <c r="R152" s="118"/>
      <c r="S152" s="118"/>
      <c r="T152" s="13"/>
      <c r="U152" s="13"/>
      <c r="V152" s="13"/>
      <c r="W152" s="13"/>
      <c r="X152" s="13"/>
      <c r="Y152" s="13"/>
      <c r="Z152" s="13"/>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row>
    <row r="153" spans="1:113" s="20" customFormat="1" ht="49.95" customHeight="1" x14ac:dyDescent="0.3">
      <c r="A153" s="19"/>
      <c r="B153" s="268" t="s">
        <v>234</v>
      </c>
      <c r="C153" s="268" t="s">
        <v>225</v>
      </c>
      <c r="D153" s="268"/>
      <c r="E153" s="115" t="s">
        <v>225</v>
      </c>
      <c r="F153" s="115" t="s">
        <v>211</v>
      </c>
      <c r="G153" s="269" t="s">
        <v>233</v>
      </c>
      <c r="H153" s="269"/>
      <c r="I153" s="269"/>
      <c r="J153" s="115" t="s">
        <v>186</v>
      </c>
      <c r="K153" s="116">
        <v>1</v>
      </c>
      <c r="L153" s="117">
        <v>44863</v>
      </c>
      <c r="M153" s="270" t="s">
        <v>223</v>
      </c>
      <c r="N153" s="270" t="s">
        <v>223</v>
      </c>
      <c r="O153" s="270">
        <v>44498</v>
      </c>
      <c r="P153" s="270">
        <v>44330</v>
      </c>
      <c r="Q153" s="270"/>
      <c r="R153" s="118"/>
      <c r="S153" s="118"/>
      <c r="T153" s="13"/>
      <c r="U153" s="13"/>
      <c r="V153" s="13"/>
      <c r="W153" s="13"/>
      <c r="X153" s="13"/>
      <c r="Y153" s="13"/>
      <c r="Z153" s="13"/>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row>
    <row r="154" spans="1:113" s="20" customFormat="1" ht="49.95" customHeight="1" x14ac:dyDescent="0.3">
      <c r="A154" s="19"/>
      <c r="B154" s="268" t="s">
        <v>235</v>
      </c>
      <c r="C154" s="268" t="s">
        <v>227</v>
      </c>
      <c r="D154" s="268"/>
      <c r="E154" s="115" t="s">
        <v>227</v>
      </c>
      <c r="F154" s="115" t="s">
        <v>213</v>
      </c>
      <c r="G154" s="269" t="s">
        <v>233</v>
      </c>
      <c r="H154" s="269"/>
      <c r="I154" s="269"/>
      <c r="J154" s="115" t="s">
        <v>186</v>
      </c>
      <c r="K154" s="116">
        <v>1</v>
      </c>
      <c r="L154" s="117">
        <v>44863</v>
      </c>
      <c r="M154" s="270" t="s">
        <v>223</v>
      </c>
      <c r="N154" s="270" t="s">
        <v>223</v>
      </c>
      <c r="O154" s="270">
        <v>44498</v>
      </c>
      <c r="P154" s="270">
        <v>44331</v>
      </c>
      <c r="Q154" s="270"/>
      <c r="R154" s="118"/>
      <c r="S154" s="118"/>
      <c r="T154" s="13"/>
      <c r="U154" s="13"/>
      <c r="V154" s="13"/>
      <c r="W154" s="13"/>
      <c r="X154" s="13"/>
      <c r="Y154" s="13"/>
      <c r="Z154" s="13"/>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row>
    <row r="155" spans="1:113" s="20" customFormat="1" ht="49.95" customHeight="1" x14ac:dyDescent="0.25">
      <c r="A155" s="19"/>
      <c r="B155" s="268" t="s">
        <v>236</v>
      </c>
      <c r="C155" s="268" t="s">
        <v>229</v>
      </c>
      <c r="D155" s="268"/>
      <c r="E155" s="115" t="s">
        <v>229</v>
      </c>
      <c r="F155" s="115" t="s">
        <v>215</v>
      </c>
      <c r="G155" s="269" t="s">
        <v>233</v>
      </c>
      <c r="H155" s="269"/>
      <c r="I155" s="269"/>
      <c r="J155" s="115" t="s">
        <v>186</v>
      </c>
      <c r="K155" s="116">
        <v>1</v>
      </c>
      <c r="L155" s="117">
        <v>44863</v>
      </c>
      <c r="M155" s="270" t="s">
        <v>223</v>
      </c>
      <c r="N155" s="270" t="s">
        <v>223</v>
      </c>
      <c r="O155" s="270">
        <v>44498</v>
      </c>
      <c r="P155" s="270">
        <v>44332</v>
      </c>
      <c r="Q155" s="270"/>
      <c r="R155" s="118"/>
      <c r="S155" s="118"/>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row>
    <row r="156" spans="1:113" s="20" customFormat="1" ht="49.95" customHeight="1" x14ac:dyDescent="0.25">
      <c r="A156" s="19"/>
      <c r="B156" s="268" t="s">
        <v>237</v>
      </c>
      <c r="C156" s="268" t="s">
        <v>231</v>
      </c>
      <c r="D156" s="268"/>
      <c r="E156" s="115" t="s">
        <v>231</v>
      </c>
      <c r="F156" s="115" t="s">
        <v>217</v>
      </c>
      <c r="G156" s="269" t="s">
        <v>233</v>
      </c>
      <c r="H156" s="269"/>
      <c r="I156" s="269"/>
      <c r="J156" s="115" t="s">
        <v>186</v>
      </c>
      <c r="K156" s="116">
        <v>1</v>
      </c>
      <c r="L156" s="117">
        <v>44863</v>
      </c>
      <c r="M156" s="270" t="s">
        <v>223</v>
      </c>
      <c r="N156" s="270" t="s">
        <v>223</v>
      </c>
      <c r="O156" s="270">
        <v>44498</v>
      </c>
      <c r="P156" s="270">
        <v>44333</v>
      </c>
      <c r="Q156" s="270"/>
      <c r="R156" s="118"/>
      <c r="S156" s="118"/>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row>
    <row r="157" spans="1:113" s="20" customFormat="1" ht="49.95" customHeight="1" x14ac:dyDescent="0.25">
      <c r="A157" s="19"/>
      <c r="B157" s="268" t="s">
        <v>238</v>
      </c>
      <c r="C157" s="268" t="s">
        <v>131</v>
      </c>
      <c r="D157" s="268"/>
      <c r="E157" s="115" t="s">
        <v>131</v>
      </c>
      <c r="F157" s="115" t="s">
        <v>219</v>
      </c>
      <c r="G157" s="269" t="s">
        <v>233</v>
      </c>
      <c r="H157" s="269"/>
      <c r="I157" s="269"/>
      <c r="J157" s="115" t="s">
        <v>186</v>
      </c>
      <c r="K157" s="116">
        <v>1</v>
      </c>
      <c r="L157" s="117">
        <v>44863</v>
      </c>
      <c r="M157" s="270" t="s">
        <v>223</v>
      </c>
      <c r="N157" s="270" t="s">
        <v>223</v>
      </c>
      <c r="O157" s="270">
        <v>44498</v>
      </c>
      <c r="P157" s="270">
        <v>44334</v>
      </c>
      <c r="Q157" s="270"/>
      <c r="R157" s="118"/>
      <c r="S157" s="118"/>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row>
    <row r="158" spans="1:113" s="20" customFormat="1" ht="49.95" customHeight="1" x14ac:dyDescent="0.25">
      <c r="A158" s="19"/>
      <c r="B158" s="268" t="s">
        <v>239</v>
      </c>
      <c r="C158" s="268" t="s">
        <v>221</v>
      </c>
      <c r="D158" s="268"/>
      <c r="E158" s="115" t="s">
        <v>221</v>
      </c>
      <c r="F158" s="115" t="s">
        <v>207</v>
      </c>
      <c r="G158" s="269" t="s">
        <v>240</v>
      </c>
      <c r="H158" s="269"/>
      <c r="I158" s="269"/>
      <c r="J158" s="115" t="s">
        <v>241</v>
      </c>
      <c r="K158" s="116">
        <v>1</v>
      </c>
      <c r="L158" s="117">
        <v>44891</v>
      </c>
      <c r="M158" s="270" t="s">
        <v>223</v>
      </c>
      <c r="N158" s="270" t="s">
        <v>223</v>
      </c>
      <c r="O158" s="270">
        <v>44526</v>
      </c>
      <c r="P158" s="270">
        <v>44335</v>
      </c>
      <c r="Q158" s="270"/>
      <c r="R158" s="118"/>
      <c r="S158" s="118"/>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row>
    <row r="159" spans="1:113" s="20" customFormat="1" ht="49.95" customHeight="1" x14ac:dyDescent="0.25">
      <c r="A159" s="19"/>
      <c r="B159" s="268" t="s">
        <v>242</v>
      </c>
      <c r="C159" s="268" t="s">
        <v>225</v>
      </c>
      <c r="D159" s="268"/>
      <c r="E159" s="115" t="s">
        <v>225</v>
      </c>
      <c r="F159" s="115" t="s">
        <v>211</v>
      </c>
      <c r="G159" s="269" t="s">
        <v>240</v>
      </c>
      <c r="H159" s="269"/>
      <c r="I159" s="269"/>
      <c r="J159" s="115" t="s">
        <v>241</v>
      </c>
      <c r="K159" s="116">
        <v>1</v>
      </c>
      <c r="L159" s="117">
        <v>44891</v>
      </c>
      <c r="M159" s="270" t="s">
        <v>223</v>
      </c>
      <c r="N159" s="270" t="s">
        <v>223</v>
      </c>
      <c r="O159" s="270">
        <v>44526</v>
      </c>
      <c r="P159" s="270">
        <v>44336</v>
      </c>
      <c r="Q159" s="270"/>
      <c r="R159" s="118"/>
      <c r="S159" s="118"/>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row>
    <row r="160" spans="1:113" s="20" customFormat="1" ht="49.95" customHeight="1" x14ac:dyDescent="0.25">
      <c r="A160" s="19"/>
      <c r="B160" s="268" t="s">
        <v>243</v>
      </c>
      <c r="C160" s="268" t="s">
        <v>227</v>
      </c>
      <c r="D160" s="268"/>
      <c r="E160" s="115" t="s">
        <v>227</v>
      </c>
      <c r="F160" s="115" t="s">
        <v>213</v>
      </c>
      <c r="G160" s="269" t="s">
        <v>240</v>
      </c>
      <c r="H160" s="269"/>
      <c r="I160" s="269"/>
      <c r="J160" s="115" t="s">
        <v>241</v>
      </c>
      <c r="K160" s="116">
        <v>1</v>
      </c>
      <c r="L160" s="117">
        <v>44891</v>
      </c>
      <c r="M160" s="270" t="s">
        <v>223</v>
      </c>
      <c r="N160" s="270" t="s">
        <v>223</v>
      </c>
      <c r="O160" s="270">
        <v>44526</v>
      </c>
      <c r="P160" s="270">
        <v>44337</v>
      </c>
      <c r="Q160" s="270"/>
      <c r="R160" s="118"/>
      <c r="S160" s="118"/>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row>
    <row r="161" spans="1:113" s="20" customFormat="1" ht="49.95" customHeight="1" x14ac:dyDescent="0.25">
      <c r="A161" s="19"/>
      <c r="B161" s="268" t="s">
        <v>244</v>
      </c>
      <c r="C161" s="268" t="s">
        <v>229</v>
      </c>
      <c r="D161" s="268"/>
      <c r="E161" s="115" t="s">
        <v>229</v>
      </c>
      <c r="F161" s="115" t="s">
        <v>215</v>
      </c>
      <c r="G161" s="269" t="s">
        <v>240</v>
      </c>
      <c r="H161" s="269"/>
      <c r="I161" s="269"/>
      <c r="J161" s="115" t="s">
        <v>241</v>
      </c>
      <c r="K161" s="116">
        <v>1</v>
      </c>
      <c r="L161" s="117">
        <v>44891</v>
      </c>
      <c r="M161" s="270" t="s">
        <v>223</v>
      </c>
      <c r="N161" s="270" t="s">
        <v>223</v>
      </c>
      <c r="O161" s="270">
        <v>44526</v>
      </c>
      <c r="P161" s="270">
        <v>44338</v>
      </c>
      <c r="Q161" s="270"/>
      <c r="R161" s="118"/>
      <c r="S161" s="118"/>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row>
    <row r="162" spans="1:113" s="20" customFormat="1" ht="49.95" customHeight="1" x14ac:dyDescent="0.25">
      <c r="A162" s="19"/>
      <c r="B162" s="268" t="s">
        <v>245</v>
      </c>
      <c r="C162" s="268" t="s">
        <v>231</v>
      </c>
      <c r="D162" s="268"/>
      <c r="E162" s="115" t="s">
        <v>231</v>
      </c>
      <c r="F162" s="115" t="s">
        <v>217</v>
      </c>
      <c r="G162" s="269" t="s">
        <v>240</v>
      </c>
      <c r="H162" s="269"/>
      <c r="I162" s="269"/>
      <c r="J162" s="115" t="s">
        <v>241</v>
      </c>
      <c r="K162" s="116">
        <v>1</v>
      </c>
      <c r="L162" s="117">
        <v>44891</v>
      </c>
      <c r="M162" s="270" t="s">
        <v>223</v>
      </c>
      <c r="N162" s="270" t="s">
        <v>223</v>
      </c>
      <c r="O162" s="270">
        <v>44526</v>
      </c>
      <c r="P162" s="270">
        <v>44339</v>
      </c>
      <c r="Q162" s="270"/>
      <c r="R162" s="118"/>
      <c r="S162" s="118"/>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row>
    <row r="163" spans="1:113" s="20" customFormat="1" ht="49.95" customHeight="1" x14ac:dyDescent="0.25">
      <c r="A163" s="19"/>
      <c r="B163" s="268" t="s">
        <v>246</v>
      </c>
      <c r="C163" s="268" t="s">
        <v>131</v>
      </c>
      <c r="D163" s="268"/>
      <c r="E163" s="115" t="s">
        <v>131</v>
      </c>
      <c r="F163" s="115" t="s">
        <v>219</v>
      </c>
      <c r="G163" s="269" t="s">
        <v>247</v>
      </c>
      <c r="H163" s="269"/>
      <c r="I163" s="269"/>
      <c r="J163" s="115" t="s">
        <v>241</v>
      </c>
      <c r="K163" s="116">
        <v>1</v>
      </c>
      <c r="L163" s="117">
        <v>44892</v>
      </c>
      <c r="M163" s="270" t="s">
        <v>223</v>
      </c>
      <c r="N163" s="270" t="s">
        <v>223</v>
      </c>
      <c r="O163" s="270">
        <v>44527</v>
      </c>
      <c r="P163" s="270">
        <v>44340</v>
      </c>
      <c r="Q163" s="270"/>
      <c r="R163" s="118"/>
      <c r="S163" s="118"/>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row>
    <row r="164" spans="1:113" s="20" customFormat="1" ht="49.95" customHeight="1" x14ac:dyDescent="0.25">
      <c r="A164" s="19"/>
      <c r="B164" s="268" t="s">
        <v>248</v>
      </c>
      <c r="C164" s="268" t="s">
        <v>221</v>
      </c>
      <c r="D164" s="268"/>
      <c r="E164" s="115" t="s">
        <v>221</v>
      </c>
      <c r="F164" s="115" t="s">
        <v>207</v>
      </c>
      <c r="G164" s="269" t="s">
        <v>249</v>
      </c>
      <c r="H164" s="269"/>
      <c r="I164" s="269"/>
      <c r="J164" s="115" t="s">
        <v>250</v>
      </c>
      <c r="K164" s="116">
        <v>1</v>
      </c>
      <c r="L164" s="117">
        <v>44891</v>
      </c>
      <c r="M164" s="270" t="s">
        <v>251</v>
      </c>
      <c r="N164" s="270" t="s">
        <v>251</v>
      </c>
      <c r="O164" s="270">
        <v>44526</v>
      </c>
      <c r="P164" s="270">
        <v>44341</v>
      </c>
      <c r="Q164" s="270"/>
      <c r="R164" s="118"/>
      <c r="S164" s="118"/>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row>
    <row r="165" spans="1:113" s="20" customFormat="1" ht="49.95" customHeight="1" x14ac:dyDescent="0.25">
      <c r="A165" s="19"/>
      <c r="B165" s="268" t="s">
        <v>252</v>
      </c>
      <c r="C165" s="268" t="s">
        <v>225</v>
      </c>
      <c r="D165" s="268"/>
      <c r="E165" s="115" t="s">
        <v>225</v>
      </c>
      <c r="F165" s="115" t="s">
        <v>211</v>
      </c>
      <c r="G165" s="269" t="s">
        <v>249</v>
      </c>
      <c r="H165" s="269"/>
      <c r="I165" s="269"/>
      <c r="J165" s="115" t="s">
        <v>250</v>
      </c>
      <c r="K165" s="116">
        <v>1</v>
      </c>
      <c r="L165" s="117">
        <v>44891</v>
      </c>
      <c r="M165" s="270" t="s">
        <v>251</v>
      </c>
      <c r="N165" s="270" t="s">
        <v>251</v>
      </c>
      <c r="O165" s="270">
        <v>44526</v>
      </c>
      <c r="P165" s="270">
        <v>44342</v>
      </c>
      <c r="Q165" s="270"/>
      <c r="R165" s="118"/>
      <c r="S165" s="118"/>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row>
    <row r="166" spans="1:113" s="20" customFormat="1" ht="49.95" customHeight="1" x14ac:dyDescent="0.25">
      <c r="A166" s="19"/>
      <c r="B166" s="268" t="s">
        <v>253</v>
      </c>
      <c r="C166" s="268" t="s">
        <v>227</v>
      </c>
      <c r="D166" s="268"/>
      <c r="E166" s="115" t="s">
        <v>227</v>
      </c>
      <c r="F166" s="115" t="s">
        <v>213</v>
      </c>
      <c r="G166" s="269" t="s">
        <v>249</v>
      </c>
      <c r="H166" s="269"/>
      <c r="I166" s="269"/>
      <c r="J166" s="115" t="s">
        <v>250</v>
      </c>
      <c r="K166" s="116">
        <v>1</v>
      </c>
      <c r="L166" s="117">
        <v>44891</v>
      </c>
      <c r="M166" s="270" t="s">
        <v>251</v>
      </c>
      <c r="N166" s="270" t="s">
        <v>251</v>
      </c>
      <c r="O166" s="270">
        <v>44526</v>
      </c>
      <c r="P166" s="270">
        <v>44343</v>
      </c>
      <c r="Q166" s="270"/>
      <c r="R166" s="118"/>
      <c r="S166" s="118"/>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row>
    <row r="167" spans="1:113" s="20" customFormat="1" ht="49.95" customHeight="1" x14ac:dyDescent="0.25">
      <c r="A167" s="19"/>
      <c r="B167" s="268" t="s">
        <v>254</v>
      </c>
      <c r="C167" s="268" t="s">
        <v>229</v>
      </c>
      <c r="D167" s="268"/>
      <c r="E167" s="115" t="s">
        <v>229</v>
      </c>
      <c r="F167" s="115" t="s">
        <v>215</v>
      </c>
      <c r="G167" s="269" t="s">
        <v>249</v>
      </c>
      <c r="H167" s="269"/>
      <c r="I167" s="269"/>
      <c r="J167" s="115" t="s">
        <v>250</v>
      </c>
      <c r="K167" s="116">
        <v>1</v>
      </c>
      <c r="L167" s="117">
        <v>44891</v>
      </c>
      <c r="M167" s="270" t="s">
        <v>251</v>
      </c>
      <c r="N167" s="270" t="s">
        <v>251</v>
      </c>
      <c r="O167" s="270">
        <v>44526</v>
      </c>
      <c r="P167" s="270">
        <v>44344</v>
      </c>
      <c r="Q167" s="270"/>
      <c r="R167" s="118"/>
      <c r="S167" s="118"/>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row>
    <row r="168" spans="1:113" s="20" customFormat="1" ht="49.95" customHeight="1" x14ac:dyDescent="0.25">
      <c r="A168" s="19"/>
      <c r="B168" s="268" t="s">
        <v>255</v>
      </c>
      <c r="C168" s="268" t="s">
        <v>231</v>
      </c>
      <c r="D168" s="268"/>
      <c r="E168" s="115" t="s">
        <v>231</v>
      </c>
      <c r="F168" s="115" t="s">
        <v>217</v>
      </c>
      <c r="G168" s="269" t="s">
        <v>249</v>
      </c>
      <c r="H168" s="269"/>
      <c r="I168" s="269"/>
      <c r="J168" s="115" t="s">
        <v>250</v>
      </c>
      <c r="K168" s="116">
        <v>1</v>
      </c>
      <c r="L168" s="117">
        <v>44891</v>
      </c>
      <c r="M168" s="270" t="s">
        <v>251</v>
      </c>
      <c r="N168" s="270" t="s">
        <v>251</v>
      </c>
      <c r="O168" s="270">
        <v>44526</v>
      </c>
      <c r="P168" s="270">
        <v>44345</v>
      </c>
      <c r="Q168" s="270"/>
      <c r="R168" s="118"/>
      <c r="S168" s="118"/>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row>
    <row r="169" spans="1:113" s="20" customFormat="1" ht="49.95" customHeight="1" x14ac:dyDescent="0.25">
      <c r="A169" s="19"/>
      <c r="B169" s="268" t="s">
        <v>256</v>
      </c>
      <c r="C169" s="268" t="s">
        <v>257</v>
      </c>
      <c r="D169" s="268"/>
      <c r="E169" s="115" t="s">
        <v>257</v>
      </c>
      <c r="F169" s="115" t="s">
        <v>219</v>
      </c>
      <c r="G169" s="269" t="s">
        <v>258</v>
      </c>
      <c r="H169" s="269"/>
      <c r="I169" s="269"/>
      <c r="J169" s="115" t="s">
        <v>259</v>
      </c>
      <c r="K169" s="116">
        <v>1</v>
      </c>
      <c r="L169" s="117" t="s">
        <v>260</v>
      </c>
      <c r="M169" s="270" t="s">
        <v>261</v>
      </c>
      <c r="N169" s="270" t="s">
        <v>261</v>
      </c>
      <c r="O169" s="270" t="s">
        <v>260</v>
      </c>
      <c r="P169" s="270">
        <v>44346</v>
      </c>
      <c r="Q169" s="270"/>
      <c r="R169" s="118"/>
      <c r="S169" s="118"/>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row>
    <row r="170" spans="1:113" s="20" customFormat="1" ht="58.2" customHeight="1" x14ac:dyDescent="0.25">
      <c r="A170" s="19"/>
      <c r="B170" s="268" t="s">
        <v>262</v>
      </c>
      <c r="C170" s="268" t="s">
        <v>263</v>
      </c>
      <c r="D170" s="268"/>
      <c r="E170" s="115" t="s">
        <v>263</v>
      </c>
      <c r="F170" s="115" t="s">
        <v>264</v>
      </c>
      <c r="G170" s="269" t="s">
        <v>265</v>
      </c>
      <c r="H170" s="269"/>
      <c r="I170" s="269"/>
      <c r="J170" s="115" t="s">
        <v>259</v>
      </c>
      <c r="K170" s="116">
        <v>1</v>
      </c>
      <c r="L170" s="117">
        <v>44893</v>
      </c>
      <c r="M170" s="270" t="s">
        <v>261</v>
      </c>
      <c r="N170" s="270" t="s">
        <v>261</v>
      </c>
      <c r="O170" s="270">
        <v>44528</v>
      </c>
      <c r="P170" s="270">
        <v>44347</v>
      </c>
      <c r="Q170" s="270"/>
      <c r="R170" s="118"/>
      <c r="S170" s="118"/>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row>
    <row r="171" spans="1:113" s="20" customFormat="1" ht="49.95" customHeight="1" x14ac:dyDescent="0.25">
      <c r="A171" s="19"/>
      <c r="B171" s="268" t="s">
        <v>266</v>
      </c>
      <c r="C171" s="268" t="s">
        <v>263</v>
      </c>
      <c r="D171" s="268"/>
      <c r="E171" s="115" t="s">
        <v>263</v>
      </c>
      <c r="F171" s="115" t="s">
        <v>267</v>
      </c>
      <c r="G171" s="269" t="s">
        <v>268</v>
      </c>
      <c r="H171" s="269"/>
      <c r="I171" s="269"/>
      <c r="J171" s="115" t="s">
        <v>259</v>
      </c>
      <c r="K171" s="116">
        <v>1</v>
      </c>
      <c r="L171" s="117">
        <v>44894</v>
      </c>
      <c r="M171" s="270" t="s">
        <v>269</v>
      </c>
      <c r="N171" s="270" t="s">
        <v>269</v>
      </c>
      <c r="O171" s="270">
        <v>44529</v>
      </c>
      <c r="P171" s="270">
        <v>44348</v>
      </c>
      <c r="Q171" s="270"/>
      <c r="R171" s="118"/>
      <c r="S171" s="118"/>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row>
    <row r="172" spans="1:113" s="20" customFormat="1" ht="49.95" customHeight="1" x14ac:dyDescent="0.25">
      <c r="A172" s="19"/>
      <c r="B172" s="268" t="s">
        <v>270</v>
      </c>
      <c r="C172" s="268" t="s">
        <v>257</v>
      </c>
      <c r="D172" s="268"/>
      <c r="E172" s="115" t="s">
        <v>257</v>
      </c>
      <c r="F172" s="115" t="s">
        <v>271</v>
      </c>
      <c r="G172" s="269" t="s">
        <v>272</v>
      </c>
      <c r="H172" s="269"/>
      <c r="I172" s="269"/>
      <c r="J172" s="115" t="s">
        <v>259</v>
      </c>
      <c r="K172" s="116">
        <v>1</v>
      </c>
      <c r="L172" s="117">
        <v>44895</v>
      </c>
      <c r="M172" s="270" t="s">
        <v>269</v>
      </c>
      <c r="N172" s="270" t="s">
        <v>269</v>
      </c>
      <c r="O172" s="270">
        <v>44530</v>
      </c>
      <c r="P172" s="270">
        <v>44349</v>
      </c>
      <c r="Q172" s="270"/>
      <c r="R172" s="118"/>
      <c r="S172" s="118"/>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row>
    <row r="173" spans="1:113" s="20" customFormat="1" ht="99.75" customHeight="1" x14ac:dyDescent="0.25">
      <c r="A173" s="19"/>
      <c r="B173" s="268" t="s">
        <v>273</v>
      </c>
      <c r="C173" s="268" t="s">
        <v>99</v>
      </c>
      <c r="D173" s="268"/>
      <c r="E173" s="115" t="s">
        <v>99</v>
      </c>
      <c r="F173" s="115" t="s">
        <v>274</v>
      </c>
      <c r="G173" s="269" t="s">
        <v>275</v>
      </c>
      <c r="H173" s="269"/>
      <c r="I173" s="269"/>
      <c r="J173" s="115" t="s">
        <v>259</v>
      </c>
      <c r="K173" s="116">
        <v>1</v>
      </c>
      <c r="L173" s="117">
        <v>44590</v>
      </c>
      <c r="M173" s="270" t="s">
        <v>274</v>
      </c>
      <c r="N173" s="270" t="s">
        <v>274</v>
      </c>
      <c r="O173" s="270">
        <v>44590</v>
      </c>
      <c r="P173" s="270">
        <v>44350</v>
      </c>
      <c r="Q173" s="270"/>
      <c r="R173" s="118"/>
      <c r="S173" s="118"/>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row>
    <row r="174" spans="1:113" s="20" customFormat="1" ht="99.75" customHeight="1" x14ac:dyDescent="0.25">
      <c r="A174" s="19"/>
      <c r="B174" s="268" t="s">
        <v>117</v>
      </c>
      <c r="C174" s="268" t="s">
        <v>276</v>
      </c>
      <c r="D174" s="268"/>
      <c r="E174" s="115" t="s">
        <v>276</v>
      </c>
      <c r="F174" s="115" t="s">
        <v>277</v>
      </c>
      <c r="G174" s="269" t="s">
        <v>278</v>
      </c>
      <c r="H174" s="269"/>
      <c r="I174" s="269"/>
      <c r="J174" s="115" t="s">
        <v>259</v>
      </c>
      <c r="K174" s="116">
        <v>1</v>
      </c>
      <c r="L174" s="117">
        <v>44607</v>
      </c>
      <c r="M174" s="270" t="s">
        <v>269</v>
      </c>
      <c r="N174" s="270" t="s">
        <v>269</v>
      </c>
      <c r="O174" s="270">
        <v>44607</v>
      </c>
      <c r="P174" s="270">
        <v>44351</v>
      </c>
      <c r="Q174" s="270"/>
      <c r="R174" s="118"/>
      <c r="S174" s="118"/>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row>
    <row r="175" spans="1:113" s="20" customFormat="1" ht="30" customHeight="1" x14ac:dyDescent="0.25">
      <c r="A175" s="19"/>
      <c r="B175" s="268"/>
      <c r="C175" s="268"/>
      <c r="D175" s="268"/>
      <c r="E175" s="115"/>
      <c r="F175" s="115"/>
      <c r="G175" s="269"/>
      <c r="H175" s="269"/>
      <c r="I175" s="269"/>
      <c r="J175" s="115"/>
      <c r="K175" s="115"/>
      <c r="L175" s="117"/>
      <c r="M175" s="270"/>
      <c r="N175" s="270"/>
      <c r="O175" s="270"/>
      <c r="P175" s="270"/>
      <c r="Q175" s="270"/>
      <c r="R175" s="118"/>
      <c r="S175" s="118"/>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row>
    <row r="176" spans="1:113" x14ac:dyDescent="0.3">
      <c r="B176" s="84"/>
      <c r="C176" s="84"/>
      <c r="D176" s="84"/>
      <c r="E176" s="84"/>
      <c r="F176" s="84"/>
      <c r="G176" s="84"/>
      <c r="H176" s="84"/>
      <c r="I176" s="84"/>
      <c r="J176" s="84"/>
      <c r="K176" s="84"/>
      <c r="L176" s="84"/>
      <c r="M176" s="84"/>
      <c r="N176" s="84"/>
      <c r="O176" s="84"/>
      <c r="P176" s="84"/>
      <c r="Q176" s="84"/>
      <c r="R176" s="84"/>
      <c r="S176" s="84"/>
    </row>
    <row r="177" spans="1:113" ht="20.100000000000001" customHeight="1" x14ac:dyDescent="0.3">
      <c r="B177" s="193" t="s">
        <v>279</v>
      </c>
      <c r="C177" s="194"/>
      <c r="D177" s="194"/>
      <c r="E177" s="194"/>
      <c r="F177" s="194"/>
      <c r="G177" s="194"/>
      <c r="H177" s="194"/>
      <c r="I177" s="194"/>
      <c r="J177" s="194"/>
      <c r="K177" s="194"/>
      <c r="L177" s="194"/>
      <c r="M177" s="194"/>
      <c r="N177" s="194"/>
      <c r="O177" s="194"/>
      <c r="P177" s="194"/>
      <c r="Q177" s="194"/>
      <c r="R177" s="194"/>
      <c r="S177" s="195"/>
    </row>
    <row r="178" spans="1:113" x14ac:dyDescent="0.3">
      <c r="B178" s="84"/>
      <c r="C178" s="84"/>
      <c r="D178" s="84"/>
      <c r="E178" s="84"/>
      <c r="F178" s="84"/>
      <c r="G178" s="84"/>
      <c r="H178" s="84"/>
      <c r="I178" s="84"/>
      <c r="J178" s="84"/>
      <c r="K178" s="84"/>
      <c r="L178" s="84"/>
      <c r="M178" s="84"/>
      <c r="N178" s="84"/>
      <c r="O178" s="84"/>
      <c r="P178" s="84"/>
      <c r="Q178" s="84"/>
      <c r="R178" s="84"/>
      <c r="S178" s="84"/>
    </row>
    <row r="179" spans="1:113" s="22" customFormat="1" ht="43.2" customHeight="1" x14ac:dyDescent="0.25">
      <c r="A179" s="21"/>
      <c r="B179" s="119" t="s">
        <v>280</v>
      </c>
      <c r="C179" s="119" t="s">
        <v>281</v>
      </c>
      <c r="D179" s="119" t="s">
        <v>282</v>
      </c>
      <c r="E179" s="119" t="s">
        <v>283</v>
      </c>
      <c r="F179" s="119" t="s">
        <v>284</v>
      </c>
      <c r="G179" s="205" t="s">
        <v>285</v>
      </c>
      <c r="H179" s="206"/>
      <c r="I179" s="206"/>
      <c r="J179" s="206"/>
      <c r="K179" s="207"/>
      <c r="L179" s="205" t="s">
        <v>479</v>
      </c>
      <c r="M179" s="207"/>
      <c r="N179" s="205" t="s">
        <v>286</v>
      </c>
      <c r="O179" s="206"/>
      <c r="P179" s="206"/>
      <c r="Q179" s="206"/>
      <c r="R179" s="207"/>
      <c r="S179" s="119" t="s">
        <v>480</v>
      </c>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row>
    <row r="180" spans="1:113" s="24" customFormat="1" ht="43.5" customHeight="1" x14ac:dyDescent="0.3">
      <c r="A180" s="23"/>
      <c r="B180" s="123">
        <v>1</v>
      </c>
      <c r="C180" s="120" t="s">
        <v>287</v>
      </c>
      <c r="D180" s="113" t="s">
        <v>288</v>
      </c>
      <c r="E180" s="113" t="s">
        <v>289</v>
      </c>
      <c r="F180" s="121">
        <v>2</v>
      </c>
      <c r="G180" s="271" t="s">
        <v>290</v>
      </c>
      <c r="H180" s="271"/>
      <c r="I180" s="271"/>
      <c r="J180" s="271"/>
      <c r="K180" s="271"/>
      <c r="L180" s="272" t="s">
        <v>291</v>
      </c>
      <c r="M180" s="272"/>
      <c r="N180" s="272" t="s">
        <v>292</v>
      </c>
      <c r="O180" s="272"/>
      <c r="P180" s="272"/>
      <c r="Q180" s="272"/>
      <c r="R180" s="272"/>
      <c r="S180" s="122" t="s">
        <v>293</v>
      </c>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c r="CA180" s="23"/>
      <c r="CB180" s="23"/>
      <c r="CC180" s="23"/>
      <c r="CD180" s="23"/>
      <c r="CE180" s="23"/>
      <c r="CF180" s="23"/>
      <c r="CG180" s="23"/>
      <c r="CH180" s="23"/>
      <c r="CI180" s="23"/>
      <c r="CJ180" s="23"/>
      <c r="CK180" s="23"/>
      <c r="CL180" s="23"/>
      <c r="CM180" s="23"/>
      <c r="CN180" s="23"/>
      <c r="CO180" s="23"/>
      <c r="CP180" s="23"/>
      <c r="CQ180" s="23"/>
      <c r="CR180" s="23"/>
      <c r="CS180" s="23"/>
      <c r="CT180" s="23"/>
      <c r="CU180" s="23"/>
      <c r="CV180" s="23"/>
      <c r="CW180" s="23"/>
      <c r="CX180" s="23"/>
      <c r="CY180" s="23"/>
      <c r="CZ180" s="23"/>
      <c r="DA180" s="23"/>
      <c r="DB180" s="23"/>
      <c r="DC180" s="23"/>
      <c r="DD180" s="23"/>
      <c r="DE180" s="23"/>
      <c r="DF180" s="23"/>
      <c r="DG180" s="23"/>
      <c r="DH180" s="23"/>
      <c r="DI180" s="23"/>
    </row>
    <row r="181" spans="1:113" s="24" customFormat="1" ht="44.1" customHeight="1" x14ac:dyDescent="0.3">
      <c r="A181" s="23"/>
      <c r="B181" s="123">
        <v>2</v>
      </c>
      <c r="C181" s="120" t="s">
        <v>294</v>
      </c>
      <c r="D181" s="113" t="s">
        <v>289</v>
      </c>
      <c r="E181" s="113" t="s">
        <v>289</v>
      </c>
      <c r="F181" s="121">
        <v>1</v>
      </c>
      <c r="G181" s="271" t="s">
        <v>295</v>
      </c>
      <c r="H181" s="271"/>
      <c r="I181" s="271"/>
      <c r="J181" s="271"/>
      <c r="K181" s="271"/>
      <c r="L181" s="272" t="s">
        <v>296</v>
      </c>
      <c r="M181" s="272"/>
      <c r="N181" s="272" t="s">
        <v>292</v>
      </c>
      <c r="O181" s="272"/>
      <c r="P181" s="272"/>
      <c r="Q181" s="272"/>
      <c r="R181" s="272"/>
      <c r="S181" s="122" t="s">
        <v>297</v>
      </c>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c r="CA181" s="23"/>
      <c r="CB181" s="23"/>
      <c r="CC181" s="23"/>
      <c r="CD181" s="23"/>
      <c r="CE181" s="23"/>
      <c r="CF181" s="23"/>
      <c r="CG181" s="23"/>
      <c r="CH181" s="23"/>
      <c r="CI181" s="23"/>
      <c r="CJ181" s="23"/>
      <c r="CK181" s="23"/>
      <c r="CL181" s="23"/>
      <c r="CM181" s="23"/>
      <c r="CN181" s="23"/>
      <c r="CO181" s="23"/>
      <c r="CP181" s="23"/>
      <c r="CQ181" s="23"/>
      <c r="CR181" s="23"/>
      <c r="CS181" s="23"/>
      <c r="CT181" s="23"/>
      <c r="CU181" s="23"/>
      <c r="CV181" s="23"/>
      <c r="CW181" s="23"/>
      <c r="CX181" s="23"/>
      <c r="CY181" s="23"/>
      <c r="CZ181" s="23"/>
      <c r="DA181" s="23"/>
      <c r="DB181" s="23"/>
      <c r="DC181" s="23"/>
      <c r="DD181" s="23"/>
      <c r="DE181" s="23"/>
      <c r="DF181" s="23"/>
      <c r="DG181" s="23"/>
      <c r="DH181" s="23"/>
      <c r="DI181" s="23"/>
    </row>
    <row r="182" spans="1:113" s="24" customFormat="1" ht="44.1" customHeight="1" x14ac:dyDescent="0.3">
      <c r="A182" s="23"/>
      <c r="B182" s="123">
        <v>3</v>
      </c>
      <c r="C182" s="120"/>
      <c r="D182" s="113"/>
      <c r="E182" s="113"/>
      <c r="F182" s="121"/>
      <c r="G182" s="271"/>
      <c r="H182" s="271"/>
      <c r="I182" s="271"/>
      <c r="J182" s="271"/>
      <c r="K182" s="271"/>
      <c r="L182" s="272"/>
      <c r="M182" s="272"/>
      <c r="N182" s="272" t="s">
        <v>292</v>
      </c>
      <c r="O182" s="272"/>
      <c r="P182" s="272"/>
      <c r="Q182" s="272"/>
      <c r="R182" s="272"/>
      <c r="S182" s="122"/>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c r="CA182" s="23"/>
      <c r="CB182" s="23"/>
      <c r="CC182" s="23"/>
      <c r="CD182" s="23"/>
      <c r="CE182" s="23"/>
      <c r="CF182" s="23"/>
      <c r="CG182" s="23"/>
      <c r="CH182" s="23"/>
      <c r="CI182" s="23"/>
      <c r="CJ182" s="23"/>
      <c r="CK182" s="23"/>
      <c r="CL182" s="23"/>
      <c r="CM182" s="23"/>
      <c r="CN182" s="23"/>
      <c r="CO182" s="23"/>
      <c r="CP182" s="23"/>
      <c r="CQ182" s="23"/>
      <c r="CR182" s="23"/>
      <c r="CS182" s="23"/>
      <c r="CT182" s="23"/>
      <c r="CU182" s="23"/>
      <c r="CV182" s="23"/>
      <c r="CW182" s="23"/>
      <c r="CX182" s="23"/>
      <c r="CY182" s="23"/>
      <c r="CZ182" s="23"/>
      <c r="DA182" s="23"/>
      <c r="DB182" s="23"/>
      <c r="DC182" s="23"/>
      <c r="DD182" s="23"/>
      <c r="DE182" s="23"/>
      <c r="DF182" s="23"/>
      <c r="DG182" s="23"/>
      <c r="DH182" s="23"/>
      <c r="DI182" s="23"/>
    </row>
    <row r="183" spans="1:113" s="24" customFormat="1" ht="44.1" customHeight="1" x14ac:dyDescent="0.3">
      <c r="A183" s="23"/>
      <c r="B183" s="123">
        <v>4</v>
      </c>
      <c r="C183" s="120"/>
      <c r="D183" s="113"/>
      <c r="E183" s="113"/>
      <c r="F183" s="121"/>
      <c r="G183" s="271"/>
      <c r="H183" s="271"/>
      <c r="I183" s="271"/>
      <c r="J183" s="271"/>
      <c r="K183" s="271"/>
      <c r="L183" s="272"/>
      <c r="M183" s="272"/>
      <c r="N183" s="272" t="s">
        <v>292</v>
      </c>
      <c r="O183" s="272"/>
      <c r="P183" s="272"/>
      <c r="Q183" s="272"/>
      <c r="R183" s="272"/>
      <c r="S183" s="122"/>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c r="CA183" s="23"/>
      <c r="CB183" s="23"/>
      <c r="CC183" s="23"/>
      <c r="CD183" s="23"/>
      <c r="CE183" s="23"/>
      <c r="CF183" s="23"/>
      <c r="CG183" s="23"/>
      <c r="CH183" s="23"/>
      <c r="CI183" s="23"/>
      <c r="CJ183" s="23"/>
      <c r="CK183" s="23"/>
      <c r="CL183" s="23"/>
      <c r="CM183" s="23"/>
      <c r="CN183" s="23"/>
      <c r="CO183" s="23"/>
      <c r="CP183" s="23"/>
      <c r="CQ183" s="23"/>
      <c r="CR183" s="23"/>
      <c r="CS183" s="23"/>
      <c r="CT183" s="23"/>
      <c r="CU183" s="23"/>
      <c r="CV183" s="23"/>
      <c r="CW183" s="23"/>
      <c r="CX183" s="23"/>
      <c r="CY183" s="23"/>
      <c r="CZ183" s="23"/>
      <c r="DA183" s="23"/>
      <c r="DB183" s="23"/>
      <c r="DC183" s="23"/>
      <c r="DD183" s="23"/>
      <c r="DE183" s="23"/>
      <c r="DF183" s="23"/>
      <c r="DG183" s="23"/>
      <c r="DH183" s="23"/>
      <c r="DI183" s="23"/>
    </row>
    <row r="184" spans="1:113" x14ac:dyDescent="0.3">
      <c r="B184" s="94"/>
      <c r="C184" s="94"/>
      <c r="D184" s="94"/>
      <c r="E184" s="94"/>
      <c r="F184" s="94"/>
      <c r="G184" s="94"/>
      <c r="H184" s="94"/>
      <c r="I184" s="94"/>
      <c r="J184" s="94"/>
      <c r="K184" s="94"/>
      <c r="L184" s="94"/>
      <c r="M184" s="94"/>
      <c r="N184" s="94"/>
      <c r="O184" s="94"/>
      <c r="P184" s="94"/>
      <c r="Q184" s="94"/>
      <c r="R184" s="94"/>
      <c r="S184" s="94"/>
      <c r="T184" s="23"/>
      <c r="U184" s="23"/>
      <c r="V184" s="23"/>
    </row>
    <row r="185" spans="1:113" ht="30.6" customHeight="1" x14ac:dyDescent="0.3">
      <c r="B185" s="277" t="s">
        <v>298</v>
      </c>
      <c r="C185" s="278"/>
      <c r="D185" s="278"/>
      <c r="E185" s="278"/>
      <c r="F185" s="278"/>
      <c r="G185" s="278"/>
      <c r="H185" s="278"/>
      <c r="I185" s="278"/>
      <c r="J185" s="278"/>
      <c r="K185" s="278"/>
      <c r="L185" s="278"/>
      <c r="M185" s="278"/>
      <c r="N185" s="278"/>
      <c r="O185" s="278"/>
      <c r="P185" s="278"/>
      <c r="Q185" s="278"/>
      <c r="R185" s="278"/>
      <c r="S185" s="279"/>
      <c r="U185" s="23"/>
      <c r="V185" s="23"/>
    </row>
    <row r="186" spans="1:113" ht="15" customHeight="1" x14ac:dyDescent="0.3">
      <c r="B186" s="275" t="s">
        <v>299</v>
      </c>
      <c r="C186" s="275"/>
      <c r="D186" s="275"/>
      <c r="E186" s="275"/>
      <c r="F186" s="275"/>
      <c r="G186" s="275"/>
      <c r="H186" s="275"/>
      <c r="I186" s="275"/>
      <c r="J186" s="275"/>
      <c r="K186" s="275"/>
      <c r="L186" s="275"/>
      <c r="M186" s="275"/>
      <c r="N186" s="275"/>
      <c r="O186" s="275"/>
      <c r="P186" s="275"/>
      <c r="Q186" s="275"/>
      <c r="R186" s="275"/>
      <c r="S186" s="275"/>
    </row>
    <row r="187" spans="1:113" x14ac:dyDescent="0.3">
      <c r="B187" s="275"/>
      <c r="C187" s="275"/>
      <c r="D187" s="275"/>
      <c r="E187" s="275"/>
      <c r="F187" s="275"/>
      <c r="G187" s="275"/>
      <c r="H187" s="275"/>
      <c r="I187" s="275"/>
      <c r="J187" s="275"/>
      <c r="K187" s="275"/>
      <c r="L187" s="275"/>
      <c r="M187" s="275"/>
      <c r="N187" s="275"/>
      <c r="O187" s="275"/>
      <c r="P187" s="275"/>
      <c r="Q187" s="275"/>
      <c r="R187" s="275"/>
      <c r="S187" s="275"/>
    </row>
    <row r="188" spans="1:113" ht="16.2" customHeight="1" x14ac:dyDescent="0.3">
      <c r="B188" s="267" t="s">
        <v>433</v>
      </c>
      <c r="C188" s="267"/>
      <c r="D188" s="267"/>
      <c r="E188" s="267"/>
      <c r="F188" s="276" t="s">
        <v>432</v>
      </c>
      <c r="G188" s="276"/>
      <c r="H188" s="276"/>
      <c r="I188" s="276"/>
      <c r="J188" s="276"/>
      <c r="K188" s="276"/>
      <c r="L188" s="276" t="s">
        <v>300</v>
      </c>
      <c r="M188" s="276"/>
      <c r="N188" s="276"/>
      <c r="O188" s="276"/>
      <c r="P188" s="276"/>
      <c r="Q188" s="276"/>
      <c r="R188" s="276"/>
      <c r="S188" s="276"/>
      <c r="T188" s="23"/>
      <c r="U188" s="23"/>
      <c r="V188" s="23"/>
    </row>
    <row r="189" spans="1:113" ht="28.95" customHeight="1" x14ac:dyDescent="0.3">
      <c r="B189" s="273" t="s">
        <v>301</v>
      </c>
      <c r="C189" s="273"/>
      <c r="D189" s="273"/>
      <c r="E189" s="273"/>
      <c r="F189" s="274" t="s">
        <v>302</v>
      </c>
      <c r="G189" s="274"/>
      <c r="H189" s="274"/>
      <c r="I189" s="274"/>
      <c r="J189" s="274"/>
      <c r="K189" s="274"/>
      <c r="L189" s="274" t="s">
        <v>303</v>
      </c>
      <c r="M189" s="274"/>
      <c r="N189" s="274"/>
      <c r="O189" s="274"/>
      <c r="P189" s="274"/>
      <c r="Q189" s="274"/>
      <c r="R189" s="274"/>
      <c r="S189" s="274"/>
      <c r="T189" s="23"/>
      <c r="U189" s="23"/>
      <c r="V189" s="23"/>
    </row>
    <row r="190" spans="1:113" ht="28.95" customHeight="1" x14ac:dyDescent="0.3">
      <c r="B190" s="273"/>
      <c r="C190" s="273"/>
      <c r="D190" s="273"/>
      <c r="E190" s="273"/>
      <c r="F190" s="274" t="s">
        <v>304</v>
      </c>
      <c r="G190" s="274"/>
      <c r="H190" s="274"/>
      <c r="I190" s="274"/>
      <c r="J190" s="274"/>
      <c r="K190" s="274"/>
      <c r="L190" s="274" t="s">
        <v>305</v>
      </c>
      <c r="M190" s="274"/>
      <c r="N190" s="274"/>
      <c r="O190" s="274"/>
      <c r="P190" s="274"/>
      <c r="Q190" s="274"/>
      <c r="R190" s="274"/>
      <c r="S190" s="274"/>
      <c r="T190" s="23"/>
      <c r="U190" s="23"/>
      <c r="V190" s="23"/>
    </row>
    <row r="191" spans="1:113" ht="28.95" customHeight="1" x14ac:dyDescent="0.3">
      <c r="B191" s="273"/>
      <c r="C191" s="273"/>
      <c r="D191" s="273"/>
      <c r="E191" s="273"/>
      <c r="F191" s="274" t="s">
        <v>306</v>
      </c>
      <c r="G191" s="274"/>
      <c r="H191" s="274"/>
      <c r="I191" s="274"/>
      <c r="J191" s="274"/>
      <c r="K191" s="274"/>
      <c r="L191" s="274" t="s">
        <v>307</v>
      </c>
      <c r="M191" s="274"/>
      <c r="N191" s="274"/>
      <c r="O191" s="274"/>
      <c r="P191" s="274"/>
      <c r="Q191" s="274"/>
      <c r="R191" s="274"/>
      <c r="S191" s="274"/>
      <c r="T191" s="23"/>
      <c r="U191" s="23"/>
      <c r="V191" s="23"/>
    </row>
    <row r="192" spans="1:113" ht="28.95" customHeight="1" x14ac:dyDescent="0.3">
      <c r="B192" s="273" t="s">
        <v>308</v>
      </c>
      <c r="C192" s="273"/>
      <c r="D192" s="273"/>
      <c r="E192" s="273"/>
      <c r="F192" s="274" t="s">
        <v>309</v>
      </c>
      <c r="G192" s="274"/>
      <c r="H192" s="274"/>
      <c r="I192" s="274"/>
      <c r="J192" s="274"/>
      <c r="K192" s="274"/>
      <c r="L192" s="274" t="s">
        <v>310</v>
      </c>
      <c r="M192" s="274"/>
      <c r="N192" s="274"/>
      <c r="O192" s="274"/>
      <c r="P192" s="274"/>
      <c r="Q192" s="274"/>
      <c r="R192" s="274"/>
      <c r="S192" s="274"/>
      <c r="T192" s="23"/>
      <c r="U192" s="23"/>
      <c r="V192" s="23"/>
    </row>
    <row r="193" spans="2:22" ht="28.95" customHeight="1" x14ac:dyDescent="0.3">
      <c r="B193" s="273" t="s">
        <v>311</v>
      </c>
      <c r="C193" s="273"/>
      <c r="D193" s="273"/>
      <c r="E193" s="273"/>
      <c r="F193" s="274" t="s">
        <v>312</v>
      </c>
      <c r="G193" s="274"/>
      <c r="H193" s="274"/>
      <c r="I193" s="274"/>
      <c r="J193" s="274"/>
      <c r="K193" s="274"/>
      <c r="L193" s="274" t="s">
        <v>313</v>
      </c>
      <c r="M193" s="274"/>
      <c r="N193" s="274"/>
      <c r="O193" s="274"/>
      <c r="P193" s="274"/>
      <c r="Q193" s="274"/>
      <c r="R193" s="274"/>
      <c r="S193" s="274"/>
      <c r="T193" s="23"/>
      <c r="U193" s="23"/>
      <c r="V193" s="23"/>
    </row>
    <row r="194" spans="2:22" ht="28.95" customHeight="1" x14ac:dyDescent="0.3">
      <c r="B194" s="273" t="s">
        <v>364</v>
      </c>
      <c r="C194" s="273"/>
      <c r="D194" s="273"/>
      <c r="E194" s="273"/>
      <c r="F194" s="274" t="s">
        <v>314</v>
      </c>
      <c r="G194" s="274"/>
      <c r="H194" s="274"/>
      <c r="I194" s="274"/>
      <c r="J194" s="274"/>
      <c r="K194" s="274"/>
      <c r="L194" s="274" t="s">
        <v>315</v>
      </c>
      <c r="M194" s="274"/>
      <c r="N194" s="274"/>
      <c r="O194" s="274"/>
      <c r="P194" s="274"/>
      <c r="Q194" s="274"/>
      <c r="R194" s="274"/>
      <c r="S194" s="274"/>
      <c r="T194" s="23"/>
      <c r="U194" s="23"/>
      <c r="V194" s="23"/>
    </row>
    <row r="195" spans="2:22" ht="28.95" customHeight="1" x14ac:dyDescent="0.3">
      <c r="B195" s="273" t="s">
        <v>316</v>
      </c>
      <c r="C195" s="273"/>
      <c r="D195" s="273"/>
      <c r="E195" s="273"/>
      <c r="F195" s="274" t="s">
        <v>317</v>
      </c>
      <c r="G195" s="274"/>
      <c r="H195" s="274"/>
      <c r="I195" s="274"/>
      <c r="J195" s="274"/>
      <c r="K195" s="274"/>
      <c r="L195" s="274" t="s">
        <v>318</v>
      </c>
      <c r="M195" s="274"/>
      <c r="N195" s="274"/>
      <c r="O195" s="274"/>
      <c r="P195" s="274"/>
      <c r="Q195" s="274"/>
      <c r="R195" s="274"/>
      <c r="S195" s="274"/>
      <c r="T195" s="23"/>
      <c r="U195" s="23"/>
      <c r="V195" s="23"/>
    </row>
    <row r="196" spans="2:22" ht="28.95" customHeight="1" x14ac:dyDescent="0.3">
      <c r="B196" s="273" t="s">
        <v>361</v>
      </c>
      <c r="C196" s="273"/>
      <c r="D196" s="273"/>
      <c r="E196" s="273"/>
      <c r="F196" s="274" t="s">
        <v>319</v>
      </c>
      <c r="G196" s="274"/>
      <c r="H196" s="274"/>
      <c r="I196" s="274"/>
      <c r="J196" s="274"/>
      <c r="K196" s="274"/>
      <c r="L196" s="274" t="s">
        <v>320</v>
      </c>
      <c r="M196" s="274"/>
      <c r="N196" s="274"/>
      <c r="O196" s="274"/>
      <c r="P196" s="274"/>
      <c r="Q196" s="274"/>
      <c r="R196" s="274"/>
      <c r="S196" s="274"/>
      <c r="T196" s="23"/>
      <c r="U196" s="23"/>
      <c r="V196" s="23"/>
    </row>
    <row r="197" spans="2:22" ht="28.95" customHeight="1" x14ac:dyDescent="0.3">
      <c r="B197" s="273" t="s">
        <v>363</v>
      </c>
      <c r="C197" s="273"/>
      <c r="D197" s="273"/>
      <c r="E197" s="273"/>
      <c r="F197" s="274" t="s">
        <v>321</v>
      </c>
      <c r="G197" s="274"/>
      <c r="H197" s="274"/>
      <c r="I197" s="274"/>
      <c r="J197" s="274"/>
      <c r="K197" s="274"/>
      <c r="L197" s="274" t="s">
        <v>322</v>
      </c>
      <c r="M197" s="274"/>
      <c r="N197" s="274"/>
      <c r="O197" s="274"/>
      <c r="P197" s="274"/>
      <c r="Q197" s="274"/>
      <c r="R197" s="274"/>
      <c r="S197" s="274"/>
      <c r="T197" s="23"/>
      <c r="U197" s="23"/>
      <c r="V197" s="23"/>
    </row>
    <row r="198" spans="2:22" ht="28.95" customHeight="1" x14ac:dyDescent="0.3">
      <c r="B198" s="273" t="s">
        <v>100</v>
      </c>
      <c r="C198" s="273"/>
      <c r="D198" s="273"/>
      <c r="E198" s="273"/>
      <c r="F198" s="274" t="s">
        <v>323</v>
      </c>
      <c r="G198" s="274"/>
      <c r="H198" s="274"/>
      <c r="I198" s="274"/>
      <c r="J198" s="274"/>
      <c r="K198" s="274"/>
      <c r="L198" s="274" t="s">
        <v>324</v>
      </c>
      <c r="M198" s="274"/>
      <c r="N198" s="274"/>
      <c r="O198" s="274"/>
      <c r="P198" s="274"/>
      <c r="Q198" s="274"/>
      <c r="R198" s="274"/>
      <c r="S198" s="274"/>
      <c r="T198" s="23"/>
      <c r="U198" s="23"/>
      <c r="V198" s="23"/>
    </row>
    <row r="199" spans="2:22" ht="28.95" customHeight="1" x14ac:dyDescent="0.3">
      <c r="B199" s="273" t="s">
        <v>362</v>
      </c>
      <c r="C199" s="273"/>
      <c r="D199" s="273"/>
      <c r="E199" s="273"/>
      <c r="F199" s="274" t="s">
        <v>325</v>
      </c>
      <c r="G199" s="274"/>
      <c r="H199" s="274"/>
      <c r="I199" s="274"/>
      <c r="J199" s="274"/>
      <c r="K199" s="274"/>
      <c r="L199" s="274" t="s">
        <v>326</v>
      </c>
      <c r="M199" s="274"/>
      <c r="N199" s="274"/>
      <c r="O199" s="274"/>
      <c r="P199" s="274"/>
      <c r="Q199" s="274"/>
      <c r="R199" s="274"/>
      <c r="S199" s="274"/>
      <c r="T199" s="23"/>
      <c r="U199" s="23"/>
      <c r="V199" s="23"/>
    </row>
    <row r="200" spans="2:22" ht="28.95" customHeight="1" x14ac:dyDescent="0.3">
      <c r="B200" s="273" t="s">
        <v>327</v>
      </c>
      <c r="C200" s="273"/>
      <c r="D200" s="273"/>
      <c r="E200" s="273"/>
      <c r="F200" s="274" t="s">
        <v>328</v>
      </c>
      <c r="G200" s="274"/>
      <c r="H200" s="274"/>
      <c r="I200" s="274"/>
      <c r="J200" s="274"/>
      <c r="K200" s="274"/>
      <c r="L200" s="274" t="s">
        <v>329</v>
      </c>
      <c r="M200" s="274"/>
      <c r="N200" s="274"/>
      <c r="O200" s="274"/>
      <c r="P200" s="274"/>
      <c r="Q200" s="274"/>
      <c r="R200" s="274"/>
      <c r="S200" s="274"/>
      <c r="T200" s="23"/>
      <c r="U200" s="23"/>
      <c r="V200" s="23"/>
    </row>
    <row r="201" spans="2:22" ht="28.95" customHeight="1" x14ac:dyDescent="0.3">
      <c r="B201" s="280"/>
      <c r="C201" s="280"/>
      <c r="D201" s="280"/>
      <c r="E201" s="280"/>
      <c r="F201" s="274"/>
      <c r="G201" s="274"/>
      <c r="H201" s="274"/>
      <c r="I201" s="274"/>
      <c r="J201" s="274"/>
      <c r="K201" s="274"/>
      <c r="L201" s="274"/>
      <c r="M201" s="274"/>
      <c r="N201" s="274"/>
      <c r="O201" s="274"/>
      <c r="P201" s="274"/>
      <c r="Q201" s="274"/>
      <c r="R201" s="274"/>
      <c r="S201" s="274"/>
      <c r="T201" s="23"/>
      <c r="U201" s="23"/>
      <c r="V201" s="23"/>
    </row>
    <row r="202" spans="2:22" s="13" customFormat="1" x14ac:dyDescent="0.3">
      <c r="B202" s="84"/>
      <c r="C202" s="84"/>
      <c r="D202" s="84"/>
      <c r="E202" s="84"/>
      <c r="F202" s="84"/>
      <c r="G202" s="84"/>
      <c r="H202" s="84"/>
      <c r="I202" s="84"/>
      <c r="J202" s="84"/>
      <c r="K202" s="84"/>
      <c r="L202" s="84"/>
      <c r="M202" s="84"/>
      <c r="N202" s="84"/>
      <c r="O202" s="84"/>
      <c r="P202" s="84"/>
      <c r="Q202" s="84"/>
      <c r="R202" s="84"/>
      <c r="S202" s="84"/>
    </row>
    <row r="203" spans="2:22" s="13" customFormat="1" x14ac:dyDescent="0.3">
      <c r="B203" s="84"/>
      <c r="C203" s="84"/>
      <c r="D203" s="84"/>
      <c r="E203" s="84"/>
      <c r="F203" s="84"/>
      <c r="G203" s="84"/>
      <c r="H203" s="84"/>
      <c r="I203" s="84"/>
      <c r="J203" s="84"/>
      <c r="K203" s="84"/>
      <c r="L203" s="84"/>
      <c r="M203" s="84"/>
      <c r="N203" s="84"/>
      <c r="O203" s="84"/>
      <c r="P203" s="84"/>
      <c r="Q203" s="84"/>
      <c r="R203" s="84"/>
      <c r="S203" s="84"/>
    </row>
    <row r="204" spans="2:22" s="13" customFormat="1" x14ac:dyDescent="0.3">
      <c r="B204" s="84"/>
      <c r="C204" s="84"/>
      <c r="D204" s="84"/>
      <c r="E204" s="84"/>
      <c r="F204" s="84"/>
      <c r="G204" s="84"/>
      <c r="H204" s="84"/>
      <c r="I204" s="84"/>
      <c r="J204" s="84"/>
      <c r="K204" s="84"/>
      <c r="L204" s="84"/>
      <c r="M204" s="84"/>
      <c r="N204" s="84"/>
      <c r="O204" s="84"/>
      <c r="P204" s="84"/>
      <c r="Q204" s="84"/>
      <c r="R204" s="84"/>
      <c r="S204" s="84"/>
    </row>
    <row r="205" spans="2:22" s="13" customFormat="1" x14ac:dyDescent="0.3">
      <c r="B205" s="84"/>
      <c r="C205" s="84"/>
      <c r="D205" s="84"/>
      <c r="E205" s="84"/>
      <c r="F205" s="84"/>
      <c r="G205" s="84"/>
      <c r="H205" s="84"/>
      <c r="I205" s="84"/>
      <c r="J205" s="84"/>
      <c r="K205" s="84"/>
      <c r="L205" s="84"/>
      <c r="M205" s="84"/>
      <c r="N205" s="84"/>
      <c r="O205" s="84"/>
      <c r="P205" s="84"/>
      <c r="Q205" s="84"/>
      <c r="R205" s="84"/>
      <c r="S205" s="84"/>
    </row>
    <row r="206" spans="2:22" s="13" customFormat="1" x14ac:dyDescent="0.3">
      <c r="B206" s="84"/>
      <c r="C206" s="84"/>
      <c r="D206" s="84"/>
      <c r="E206" s="84"/>
      <c r="F206" s="84"/>
      <c r="G206" s="84"/>
      <c r="H206" s="84"/>
      <c r="I206" s="84"/>
      <c r="J206" s="84"/>
      <c r="K206" s="84"/>
      <c r="L206" s="84"/>
      <c r="M206" s="84"/>
      <c r="N206" s="84"/>
      <c r="O206" s="84"/>
      <c r="P206" s="84"/>
      <c r="Q206" s="84"/>
      <c r="R206" s="84"/>
      <c r="S206" s="84"/>
    </row>
    <row r="207" spans="2:22" s="13" customFormat="1" x14ac:dyDescent="0.3">
      <c r="B207" s="84"/>
      <c r="C207" s="84"/>
      <c r="D207" s="84"/>
      <c r="E207" s="84"/>
      <c r="F207" s="84"/>
      <c r="G207" s="84"/>
      <c r="H207" s="84"/>
      <c r="I207" s="84"/>
      <c r="J207" s="84"/>
      <c r="K207" s="84"/>
      <c r="L207" s="84"/>
      <c r="M207" s="84"/>
      <c r="N207" s="84"/>
      <c r="O207" s="84"/>
      <c r="P207" s="84"/>
      <c r="Q207" s="84"/>
      <c r="R207" s="84"/>
      <c r="S207" s="84"/>
    </row>
    <row r="208" spans="2:22" s="13" customFormat="1" x14ac:dyDescent="0.3">
      <c r="B208" s="84"/>
      <c r="C208" s="84"/>
      <c r="D208" s="84"/>
      <c r="E208" s="84"/>
      <c r="F208" s="84"/>
      <c r="G208" s="84"/>
      <c r="H208" s="84"/>
      <c r="I208" s="84"/>
      <c r="J208" s="84"/>
      <c r="K208" s="84"/>
      <c r="L208" s="84"/>
      <c r="M208" s="84"/>
      <c r="N208" s="84"/>
      <c r="O208" s="84"/>
      <c r="P208" s="84"/>
      <c r="Q208" s="84"/>
      <c r="R208" s="84"/>
      <c r="S208" s="84"/>
    </row>
    <row r="209" spans="2:19" s="13" customFormat="1" x14ac:dyDescent="0.3">
      <c r="B209" s="84"/>
      <c r="C209" s="84"/>
      <c r="D209" s="84"/>
      <c r="E209" s="84"/>
      <c r="F209" s="84"/>
      <c r="G209" s="84"/>
      <c r="H209" s="84"/>
      <c r="I209" s="84"/>
      <c r="J209" s="84"/>
      <c r="K209" s="84"/>
      <c r="L209" s="84"/>
      <c r="M209" s="84"/>
      <c r="N209" s="84"/>
      <c r="O209" s="84"/>
      <c r="P209" s="84"/>
      <c r="Q209" s="84"/>
      <c r="R209" s="84"/>
      <c r="S209" s="84"/>
    </row>
    <row r="210" spans="2:19" s="13" customFormat="1" x14ac:dyDescent="0.3">
      <c r="B210" s="84"/>
      <c r="C210" s="84"/>
      <c r="D210" s="84"/>
      <c r="E210" s="84"/>
      <c r="F210" s="84"/>
      <c r="G210" s="84"/>
      <c r="H210" s="84"/>
      <c r="I210" s="84"/>
      <c r="J210" s="84"/>
      <c r="K210" s="84"/>
      <c r="L210" s="84"/>
      <c r="M210" s="84"/>
      <c r="N210" s="84"/>
      <c r="O210" s="84"/>
      <c r="P210" s="84"/>
      <c r="Q210" s="84"/>
      <c r="R210" s="84"/>
      <c r="S210" s="84"/>
    </row>
    <row r="211" spans="2:19" s="13" customFormat="1" x14ac:dyDescent="0.3">
      <c r="B211" s="84"/>
      <c r="C211" s="84"/>
      <c r="D211" s="84"/>
      <c r="E211" s="84"/>
      <c r="F211" s="84"/>
      <c r="G211" s="84"/>
      <c r="H211" s="84"/>
      <c r="I211" s="84"/>
      <c r="J211" s="84"/>
      <c r="K211" s="84"/>
      <c r="L211" s="84"/>
      <c r="M211" s="84"/>
      <c r="N211" s="84"/>
      <c r="O211" s="84"/>
      <c r="P211" s="84"/>
      <c r="Q211" s="84"/>
      <c r="R211" s="84"/>
      <c r="S211" s="84"/>
    </row>
    <row r="212" spans="2:19" s="13" customFormat="1" x14ac:dyDescent="0.3">
      <c r="B212" s="84"/>
      <c r="C212" s="84"/>
      <c r="D212" s="84"/>
      <c r="E212" s="84"/>
      <c r="F212" s="84"/>
      <c r="G212" s="84"/>
      <c r="H212" s="84"/>
      <c r="I212" s="84"/>
      <c r="J212" s="84"/>
      <c r="K212" s="84"/>
      <c r="L212" s="84"/>
      <c r="M212" s="84"/>
      <c r="N212" s="84"/>
      <c r="O212" s="84"/>
      <c r="P212" s="84"/>
      <c r="Q212" s="84"/>
      <c r="R212" s="84"/>
      <c r="S212" s="84"/>
    </row>
    <row r="213" spans="2:19" s="13" customFormat="1" x14ac:dyDescent="0.3">
      <c r="B213" s="84"/>
      <c r="C213" s="84"/>
      <c r="D213" s="84"/>
      <c r="E213" s="84"/>
      <c r="F213" s="84"/>
      <c r="G213" s="84"/>
      <c r="H213" s="84"/>
      <c r="I213" s="84"/>
      <c r="J213" s="84"/>
      <c r="K213" s="84"/>
      <c r="L213" s="84"/>
      <c r="M213" s="84"/>
      <c r="N213" s="84"/>
      <c r="O213" s="84"/>
      <c r="P213" s="84"/>
      <c r="Q213" s="84"/>
      <c r="R213" s="84"/>
      <c r="S213" s="84"/>
    </row>
    <row r="214" spans="2:19" s="13" customFormat="1" x14ac:dyDescent="0.3">
      <c r="B214" s="84"/>
      <c r="C214" s="84"/>
      <c r="D214" s="84"/>
      <c r="E214" s="84"/>
      <c r="F214" s="84"/>
      <c r="G214" s="84"/>
      <c r="H214" s="84"/>
      <c r="I214" s="84"/>
      <c r="J214" s="84"/>
      <c r="K214" s="84"/>
      <c r="L214" s="84"/>
      <c r="M214" s="84"/>
      <c r="N214" s="84"/>
      <c r="O214" s="84"/>
      <c r="P214" s="84"/>
      <c r="Q214" s="84"/>
      <c r="R214" s="84"/>
      <c r="S214" s="84"/>
    </row>
    <row r="215" spans="2:19" s="13" customFormat="1" x14ac:dyDescent="0.3">
      <c r="B215" s="84"/>
      <c r="C215" s="84"/>
      <c r="D215" s="84"/>
      <c r="E215" s="84"/>
      <c r="F215" s="84"/>
      <c r="G215" s="84"/>
      <c r="H215" s="84"/>
      <c r="I215" s="84"/>
      <c r="J215" s="84"/>
      <c r="K215" s="84"/>
      <c r="L215" s="84"/>
      <c r="M215" s="84"/>
      <c r="N215" s="84"/>
      <c r="O215" s="84"/>
      <c r="P215" s="84"/>
      <c r="Q215" s="84"/>
      <c r="R215" s="84"/>
      <c r="S215" s="84"/>
    </row>
    <row r="216" spans="2:19" s="13" customFormat="1" x14ac:dyDescent="0.3">
      <c r="B216" s="84"/>
      <c r="C216" s="84"/>
      <c r="D216" s="84"/>
      <c r="E216" s="84"/>
      <c r="F216" s="84"/>
      <c r="G216" s="84"/>
      <c r="H216" s="84"/>
      <c r="I216" s="84"/>
      <c r="J216" s="84"/>
      <c r="K216" s="84"/>
      <c r="L216" s="84"/>
      <c r="M216" s="84"/>
      <c r="N216" s="84"/>
      <c r="O216" s="84"/>
      <c r="P216" s="84"/>
      <c r="Q216" s="84"/>
      <c r="R216" s="84"/>
      <c r="S216" s="84"/>
    </row>
    <row r="217" spans="2:19" s="13" customFormat="1" x14ac:dyDescent="0.3">
      <c r="B217" s="84"/>
      <c r="C217" s="84"/>
      <c r="D217" s="84"/>
      <c r="E217" s="84"/>
      <c r="F217" s="84"/>
      <c r="G217" s="84"/>
      <c r="H217" s="84"/>
      <c r="I217" s="84"/>
      <c r="J217" s="84"/>
      <c r="K217" s="84"/>
      <c r="L217" s="84"/>
      <c r="M217" s="84"/>
      <c r="N217" s="84"/>
      <c r="O217" s="84"/>
      <c r="P217" s="84"/>
      <c r="Q217" s="84"/>
      <c r="R217" s="84"/>
      <c r="S217" s="84"/>
    </row>
    <row r="218" spans="2:19" s="13" customFormat="1" x14ac:dyDescent="0.3">
      <c r="B218" s="84"/>
      <c r="C218" s="84"/>
      <c r="D218" s="84"/>
      <c r="E218" s="84"/>
      <c r="F218" s="84"/>
      <c r="G218" s="84"/>
      <c r="H218" s="84"/>
      <c r="I218" s="84"/>
      <c r="J218" s="84"/>
      <c r="K218" s="84"/>
      <c r="L218" s="84"/>
      <c r="M218" s="84"/>
      <c r="N218" s="84"/>
      <c r="O218" s="84"/>
      <c r="P218" s="84"/>
      <c r="Q218" s="84"/>
      <c r="R218" s="84"/>
      <c r="S218" s="84"/>
    </row>
    <row r="219" spans="2:19" s="13" customFormat="1" x14ac:dyDescent="0.3">
      <c r="B219" s="84"/>
      <c r="C219" s="84"/>
      <c r="D219" s="84"/>
      <c r="E219" s="84"/>
      <c r="F219" s="84"/>
      <c r="G219" s="84"/>
      <c r="H219" s="84"/>
      <c r="I219" s="84"/>
      <c r="J219" s="84"/>
      <c r="K219" s="84"/>
      <c r="L219" s="84"/>
      <c r="M219" s="84"/>
      <c r="N219" s="84"/>
      <c r="O219" s="84"/>
      <c r="P219" s="84"/>
      <c r="Q219" s="84"/>
      <c r="R219" s="84"/>
      <c r="S219" s="84"/>
    </row>
    <row r="220" spans="2:19" s="13" customFormat="1" x14ac:dyDescent="0.3">
      <c r="B220" s="84"/>
      <c r="C220" s="84"/>
      <c r="D220" s="84"/>
      <c r="E220" s="84"/>
      <c r="F220" s="84"/>
      <c r="G220" s="84"/>
      <c r="H220" s="84"/>
      <c r="I220" s="84"/>
      <c r="J220" s="84"/>
      <c r="K220" s="84"/>
      <c r="L220" s="84"/>
      <c r="M220" s="84"/>
      <c r="N220" s="84"/>
      <c r="O220" s="84"/>
      <c r="P220" s="84"/>
      <c r="Q220" s="84"/>
      <c r="R220" s="84"/>
      <c r="S220" s="84"/>
    </row>
    <row r="221" spans="2:19" s="13" customFormat="1" x14ac:dyDescent="0.3">
      <c r="B221" s="84"/>
      <c r="C221" s="84"/>
      <c r="D221" s="84"/>
      <c r="E221" s="84"/>
      <c r="F221" s="84"/>
      <c r="G221" s="84"/>
      <c r="H221" s="84"/>
      <c r="I221" s="84"/>
      <c r="J221" s="84"/>
      <c r="K221" s="84"/>
      <c r="L221" s="84"/>
      <c r="M221" s="84"/>
      <c r="N221" s="84"/>
      <c r="O221" s="84"/>
      <c r="P221" s="84"/>
      <c r="Q221" s="84"/>
      <c r="R221" s="84"/>
      <c r="S221" s="84"/>
    </row>
    <row r="222" spans="2:19" s="13" customFormat="1" x14ac:dyDescent="0.3">
      <c r="B222" s="84"/>
      <c r="C222" s="84"/>
      <c r="D222" s="84"/>
      <c r="E222" s="84"/>
      <c r="F222" s="84"/>
      <c r="G222" s="84"/>
      <c r="H222" s="84"/>
      <c r="I222" s="84"/>
      <c r="J222" s="84"/>
      <c r="K222" s="84"/>
      <c r="L222" s="84"/>
      <c r="M222" s="84"/>
      <c r="N222" s="84"/>
      <c r="O222" s="84"/>
      <c r="P222" s="84"/>
      <c r="Q222" s="84"/>
      <c r="R222" s="84"/>
      <c r="S222" s="84"/>
    </row>
    <row r="223" spans="2:19" s="13" customFormat="1" x14ac:dyDescent="0.3">
      <c r="B223" s="84"/>
      <c r="C223" s="84"/>
      <c r="D223" s="84"/>
      <c r="E223" s="84"/>
      <c r="F223" s="84"/>
      <c r="G223" s="84"/>
      <c r="H223" s="84"/>
      <c r="I223" s="84"/>
      <c r="J223" s="84"/>
      <c r="K223" s="84"/>
      <c r="L223" s="84"/>
      <c r="M223" s="84"/>
      <c r="N223" s="84"/>
      <c r="O223" s="84"/>
      <c r="P223" s="84"/>
      <c r="Q223" s="84"/>
      <c r="R223" s="84"/>
      <c r="S223" s="84"/>
    </row>
    <row r="224" spans="2:19" s="13" customFormat="1" x14ac:dyDescent="0.3">
      <c r="B224" s="84"/>
      <c r="C224" s="84"/>
      <c r="D224" s="84"/>
      <c r="E224" s="84"/>
      <c r="F224" s="84"/>
      <c r="G224" s="84"/>
      <c r="H224" s="84"/>
      <c r="I224" s="84"/>
      <c r="J224" s="84"/>
      <c r="K224" s="84"/>
      <c r="L224" s="84"/>
      <c r="M224" s="84"/>
      <c r="N224" s="84"/>
      <c r="O224" s="84"/>
      <c r="P224" s="84"/>
      <c r="Q224" s="84"/>
      <c r="R224" s="84"/>
      <c r="S224" s="84"/>
    </row>
    <row r="225" spans="2:19" s="13" customFormat="1" x14ac:dyDescent="0.3">
      <c r="B225" s="84"/>
      <c r="C225" s="84"/>
      <c r="D225" s="84"/>
      <c r="E225" s="84"/>
      <c r="F225" s="84"/>
      <c r="G225" s="84"/>
      <c r="H225" s="84"/>
      <c r="I225" s="84"/>
      <c r="J225" s="84"/>
      <c r="K225" s="84"/>
      <c r="L225" s="84"/>
      <c r="M225" s="84"/>
      <c r="N225" s="84"/>
      <c r="O225" s="84"/>
      <c r="P225" s="84"/>
      <c r="Q225" s="84"/>
      <c r="R225" s="84"/>
      <c r="S225" s="84"/>
    </row>
    <row r="226" spans="2:19" s="13" customFormat="1" x14ac:dyDescent="0.3">
      <c r="B226" s="84"/>
      <c r="C226" s="84"/>
      <c r="D226" s="84"/>
      <c r="E226" s="84"/>
      <c r="F226" s="84"/>
      <c r="G226" s="84"/>
      <c r="H226" s="84"/>
      <c r="I226" s="84"/>
      <c r="J226" s="84"/>
      <c r="K226" s="84"/>
      <c r="L226" s="84"/>
      <c r="M226" s="84"/>
      <c r="N226" s="84"/>
      <c r="O226" s="84"/>
      <c r="P226" s="84"/>
      <c r="Q226" s="84"/>
      <c r="R226" s="84"/>
      <c r="S226" s="84"/>
    </row>
    <row r="227" spans="2:19" s="13" customFormat="1" x14ac:dyDescent="0.3">
      <c r="B227" s="84"/>
      <c r="C227" s="84"/>
      <c r="D227" s="84"/>
      <c r="E227" s="84"/>
      <c r="F227" s="84"/>
      <c r="G227" s="84"/>
      <c r="H227" s="84"/>
      <c r="I227" s="84"/>
      <c r="J227" s="84"/>
      <c r="K227" s="84"/>
      <c r="L227" s="84"/>
      <c r="M227" s="84"/>
      <c r="N227" s="84"/>
      <c r="O227" s="84"/>
      <c r="P227" s="84"/>
      <c r="Q227" s="84"/>
      <c r="R227" s="84"/>
      <c r="S227" s="84"/>
    </row>
    <row r="228" spans="2:19" s="13" customFormat="1" x14ac:dyDescent="0.3">
      <c r="B228" s="84"/>
      <c r="C228" s="84"/>
      <c r="D228" s="84"/>
      <c r="E228" s="84"/>
      <c r="F228" s="84"/>
      <c r="G228" s="84"/>
      <c r="H228" s="84"/>
      <c r="I228" s="84"/>
      <c r="J228" s="84"/>
      <c r="K228" s="84"/>
      <c r="L228" s="84"/>
      <c r="M228" s="84"/>
      <c r="N228" s="84"/>
      <c r="O228" s="84"/>
      <c r="P228" s="84"/>
      <c r="Q228" s="84"/>
      <c r="R228" s="84"/>
      <c r="S228" s="84"/>
    </row>
    <row r="229" spans="2:19" s="13" customFormat="1" x14ac:dyDescent="0.3">
      <c r="B229" s="84"/>
      <c r="C229" s="84"/>
      <c r="D229" s="84"/>
      <c r="E229" s="84"/>
      <c r="F229" s="84"/>
      <c r="G229" s="84"/>
      <c r="H229" s="84"/>
      <c r="I229" s="84"/>
      <c r="J229" s="84"/>
      <c r="K229" s="84"/>
      <c r="L229" s="84"/>
      <c r="M229" s="84"/>
      <c r="N229" s="84"/>
      <c r="O229" s="84"/>
      <c r="P229" s="84"/>
      <c r="Q229" s="84"/>
      <c r="R229" s="84"/>
      <c r="S229" s="84"/>
    </row>
    <row r="230" spans="2:19" s="13" customFormat="1" x14ac:dyDescent="0.3">
      <c r="B230" s="84"/>
      <c r="C230" s="84"/>
      <c r="D230" s="84"/>
      <c r="E230" s="84"/>
      <c r="F230" s="84"/>
      <c r="G230" s="84"/>
      <c r="H230" s="84"/>
      <c r="I230" s="84"/>
      <c r="J230" s="84"/>
      <c r="K230" s="84"/>
      <c r="L230" s="84"/>
      <c r="M230" s="84"/>
      <c r="N230" s="84"/>
      <c r="O230" s="84"/>
      <c r="P230" s="84"/>
      <c r="Q230" s="84"/>
      <c r="R230" s="84"/>
      <c r="S230" s="84"/>
    </row>
    <row r="231" spans="2:19" s="13" customFormat="1" x14ac:dyDescent="0.3">
      <c r="B231" s="84"/>
      <c r="C231" s="84"/>
      <c r="D231" s="84"/>
      <c r="E231" s="84"/>
      <c r="F231" s="84"/>
      <c r="G231" s="84"/>
      <c r="H231" s="84"/>
      <c r="I231" s="84"/>
      <c r="J231" s="84"/>
      <c r="K231" s="84"/>
      <c r="L231" s="84"/>
      <c r="M231" s="84"/>
      <c r="N231" s="84"/>
      <c r="O231" s="84"/>
      <c r="P231" s="84"/>
      <c r="Q231" s="84"/>
      <c r="R231" s="84"/>
      <c r="S231" s="84"/>
    </row>
    <row r="232" spans="2:19" s="13" customFormat="1" x14ac:dyDescent="0.3">
      <c r="B232" s="84"/>
      <c r="C232" s="84"/>
      <c r="D232" s="84"/>
      <c r="E232" s="84"/>
      <c r="F232" s="84"/>
      <c r="G232" s="84"/>
      <c r="H232" s="84"/>
      <c r="I232" s="84"/>
      <c r="J232" s="84"/>
      <c r="K232" s="84"/>
      <c r="L232" s="84"/>
      <c r="M232" s="84"/>
      <c r="N232" s="84"/>
      <c r="O232" s="84"/>
      <c r="P232" s="84"/>
      <c r="Q232" s="84"/>
      <c r="R232" s="84"/>
      <c r="S232" s="84"/>
    </row>
    <row r="233" spans="2:19" s="13" customFormat="1" x14ac:dyDescent="0.3">
      <c r="B233" s="84"/>
      <c r="C233" s="84"/>
      <c r="D233" s="84"/>
      <c r="E233" s="84"/>
      <c r="F233" s="84"/>
      <c r="G233" s="84"/>
      <c r="H233" s="84"/>
      <c r="I233" s="84"/>
      <c r="J233" s="84"/>
      <c r="K233" s="84"/>
      <c r="L233" s="84"/>
      <c r="M233" s="84"/>
      <c r="N233" s="84"/>
      <c r="O233" s="84"/>
      <c r="P233" s="84"/>
      <c r="Q233" s="84"/>
      <c r="R233" s="84"/>
      <c r="S233" s="84"/>
    </row>
    <row r="234" spans="2:19" s="13" customFormat="1" x14ac:dyDescent="0.3">
      <c r="B234" s="84"/>
      <c r="C234" s="84"/>
      <c r="D234" s="84"/>
      <c r="E234" s="84"/>
      <c r="F234" s="84"/>
      <c r="G234" s="84"/>
      <c r="H234" s="84"/>
      <c r="I234" s="84"/>
      <c r="J234" s="84"/>
      <c r="K234" s="84"/>
      <c r="L234" s="84"/>
      <c r="M234" s="84"/>
      <c r="N234" s="84"/>
      <c r="O234" s="84"/>
      <c r="P234" s="84"/>
      <c r="Q234" s="84"/>
      <c r="R234" s="84"/>
      <c r="S234" s="84"/>
    </row>
    <row r="235" spans="2:19" s="13" customFormat="1" x14ac:dyDescent="0.3">
      <c r="B235" s="84"/>
      <c r="C235" s="84"/>
      <c r="D235" s="84"/>
      <c r="E235" s="84"/>
      <c r="F235" s="84"/>
      <c r="G235" s="84"/>
      <c r="H235" s="84"/>
      <c r="I235" s="84"/>
      <c r="J235" s="84"/>
      <c r="K235" s="84"/>
      <c r="L235" s="84"/>
      <c r="M235" s="84"/>
      <c r="N235" s="84"/>
      <c r="O235" s="84"/>
      <c r="P235" s="84"/>
      <c r="Q235" s="84"/>
      <c r="R235" s="84"/>
      <c r="S235" s="84"/>
    </row>
    <row r="236" spans="2:19" s="13" customFormat="1" x14ac:dyDescent="0.3">
      <c r="B236" s="84"/>
      <c r="C236" s="84"/>
      <c r="D236" s="84"/>
      <c r="E236" s="84"/>
      <c r="F236" s="84"/>
      <c r="G236" s="84"/>
      <c r="H236" s="84"/>
      <c r="I236" s="84"/>
      <c r="J236" s="84"/>
      <c r="K236" s="84"/>
      <c r="L236" s="84"/>
      <c r="M236" s="84"/>
      <c r="N236" s="84"/>
      <c r="O236" s="84"/>
      <c r="P236" s="84"/>
      <c r="Q236" s="84"/>
      <c r="R236" s="84"/>
      <c r="S236" s="84"/>
    </row>
    <row r="237" spans="2:19" s="13" customFormat="1" x14ac:dyDescent="0.3">
      <c r="B237" s="84"/>
      <c r="C237" s="84"/>
      <c r="D237" s="84"/>
      <c r="E237" s="84"/>
      <c r="F237" s="84"/>
      <c r="G237" s="84"/>
      <c r="H237" s="84"/>
      <c r="I237" s="84"/>
      <c r="J237" s="84"/>
      <c r="K237" s="84"/>
      <c r="L237" s="84"/>
      <c r="M237" s="84"/>
      <c r="N237" s="84"/>
      <c r="O237" s="84"/>
      <c r="P237" s="84"/>
      <c r="Q237" s="84"/>
      <c r="R237" s="84"/>
      <c r="S237" s="84"/>
    </row>
    <row r="238" spans="2:19" s="13" customFormat="1" x14ac:dyDescent="0.3">
      <c r="B238" s="84"/>
      <c r="C238" s="84"/>
      <c r="D238" s="84"/>
      <c r="E238" s="84"/>
      <c r="F238" s="84"/>
      <c r="G238" s="84"/>
      <c r="H238" s="84"/>
      <c r="I238" s="84"/>
      <c r="J238" s="84"/>
      <c r="K238" s="84"/>
      <c r="L238" s="84"/>
      <c r="M238" s="84"/>
      <c r="N238" s="84"/>
      <c r="O238" s="84"/>
      <c r="P238" s="84"/>
      <c r="Q238" s="84"/>
      <c r="R238" s="84"/>
      <c r="S238" s="84"/>
    </row>
    <row r="239" spans="2:19" s="13" customFormat="1" x14ac:dyDescent="0.3">
      <c r="B239" s="84"/>
      <c r="C239" s="84"/>
      <c r="D239" s="84"/>
      <c r="E239" s="84"/>
      <c r="F239" s="84"/>
      <c r="G239" s="84"/>
      <c r="H239" s="84"/>
      <c r="I239" s="84"/>
      <c r="J239" s="84"/>
      <c r="K239" s="84"/>
      <c r="L239" s="84"/>
      <c r="M239" s="84"/>
      <c r="N239" s="84"/>
      <c r="O239" s="84"/>
      <c r="P239" s="84"/>
      <c r="Q239" s="84"/>
      <c r="R239" s="84"/>
      <c r="S239" s="84"/>
    </row>
    <row r="240" spans="2:19" s="13" customFormat="1" x14ac:dyDescent="0.3">
      <c r="B240" s="84"/>
      <c r="C240" s="84"/>
      <c r="D240" s="84"/>
      <c r="E240" s="84"/>
      <c r="F240" s="84"/>
      <c r="G240" s="84"/>
      <c r="H240" s="84"/>
      <c r="I240" s="84"/>
      <c r="J240" s="84"/>
      <c r="K240" s="84"/>
      <c r="L240" s="84"/>
      <c r="M240" s="84"/>
      <c r="N240" s="84"/>
      <c r="O240" s="84"/>
      <c r="P240" s="84"/>
      <c r="Q240" s="84"/>
      <c r="R240" s="84"/>
      <c r="S240" s="84"/>
    </row>
    <row r="241" spans="2:19" s="13" customFormat="1" x14ac:dyDescent="0.3">
      <c r="B241" s="84"/>
      <c r="C241" s="84"/>
      <c r="D241" s="84"/>
      <c r="E241" s="84"/>
      <c r="F241" s="84"/>
      <c r="G241" s="84"/>
      <c r="H241" s="84"/>
      <c r="I241" s="84"/>
      <c r="J241" s="84"/>
      <c r="K241" s="84"/>
      <c r="L241" s="84"/>
      <c r="M241" s="84"/>
      <c r="N241" s="84"/>
      <c r="O241" s="84"/>
      <c r="P241" s="84"/>
      <c r="Q241" s="84"/>
      <c r="R241" s="84"/>
      <c r="S241" s="84"/>
    </row>
    <row r="242" spans="2:19" s="13" customFormat="1" x14ac:dyDescent="0.3">
      <c r="B242" s="84"/>
      <c r="C242" s="84"/>
      <c r="D242" s="84"/>
      <c r="E242" s="84"/>
      <c r="F242" s="84"/>
      <c r="G242" s="84"/>
      <c r="H242" s="84"/>
      <c r="I242" s="84"/>
      <c r="J242" s="84"/>
      <c r="K242" s="84"/>
      <c r="L242" s="84"/>
      <c r="M242" s="84"/>
      <c r="N242" s="84"/>
      <c r="O242" s="84"/>
      <c r="P242" s="84"/>
      <c r="Q242" s="84"/>
      <c r="R242" s="84"/>
      <c r="S242" s="84"/>
    </row>
    <row r="243" spans="2:19" s="13" customFormat="1" x14ac:dyDescent="0.3">
      <c r="B243" s="84"/>
      <c r="C243" s="84"/>
      <c r="D243" s="84"/>
      <c r="E243" s="84"/>
      <c r="F243" s="84"/>
      <c r="G243" s="84"/>
      <c r="H243" s="84"/>
      <c r="I243" s="84"/>
      <c r="J243" s="84"/>
      <c r="K243" s="84"/>
      <c r="L243" s="84"/>
      <c r="M243" s="84"/>
      <c r="N243" s="84"/>
      <c r="O243" s="84"/>
      <c r="P243" s="84"/>
      <c r="Q243" s="84"/>
      <c r="R243" s="84"/>
      <c r="S243" s="84"/>
    </row>
    <row r="244" spans="2:19" s="13" customFormat="1" x14ac:dyDescent="0.3">
      <c r="B244" s="84"/>
      <c r="C244" s="84"/>
      <c r="D244" s="84"/>
      <c r="E244" s="84"/>
      <c r="F244" s="84"/>
      <c r="G244" s="84"/>
      <c r="H244" s="84"/>
      <c r="I244" s="84"/>
      <c r="J244" s="84"/>
      <c r="K244" s="84"/>
      <c r="L244" s="84"/>
      <c r="M244" s="84"/>
      <c r="N244" s="84"/>
      <c r="O244" s="84"/>
      <c r="P244" s="84"/>
      <c r="Q244" s="84"/>
      <c r="R244" s="84"/>
      <c r="S244" s="84"/>
    </row>
    <row r="245" spans="2:19" s="13" customFormat="1" x14ac:dyDescent="0.3">
      <c r="B245" s="84"/>
      <c r="C245" s="84"/>
      <c r="D245" s="84"/>
      <c r="E245" s="84"/>
      <c r="F245" s="84"/>
      <c r="G245" s="84"/>
      <c r="H245" s="84"/>
      <c r="I245" s="84"/>
      <c r="J245" s="84"/>
      <c r="K245" s="84"/>
      <c r="L245" s="84"/>
      <c r="M245" s="84"/>
      <c r="N245" s="84"/>
      <c r="O245" s="84"/>
      <c r="P245" s="84"/>
      <c r="Q245" s="84"/>
      <c r="R245" s="84"/>
      <c r="S245" s="84"/>
    </row>
    <row r="246" spans="2:19" s="13" customFormat="1" x14ac:dyDescent="0.3">
      <c r="B246" s="84"/>
      <c r="C246" s="84"/>
      <c r="D246" s="84"/>
      <c r="E246" s="84"/>
      <c r="F246" s="84"/>
      <c r="G246" s="84"/>
      <c r="H246" s="84"/>
      <c r="I246" s="84"/>
      <c r="J246" s="84"/>
      <c r="K246" s="84"/>
      <c r="L246" s="84"/>
      <c r="M246" s="84"/>
      <c r="N246" s="84"/>
      <c r="O246" s="84"/>
      <c r="P246" s="84"/>
      <c r="Q246" s="84"/>
      <c r="R246" s="84"/>
      <c r="S246" s="84"/>
    </row>
    <row r="247" spans="2:19" s="13" customFormat="1" x14ac:dyDescent="0.3">
      <c r="B247" s="84"/>
      <c r="C247" s="84"/>
      <c r="D247" s="84"/>
      <c r="E247" s="84"/>
      <c r="F247" s="84"/>
      <c r="G247" s="84"/>
      <c r="H247" s="84"/>
      <c r="I247" s="84"/>
      <c r="J247" s="84"/>
      <c r="K247" s="84"/>
      <c r="L247" s="84"/>
      <c r="M247" s="84"/>
      <c r="N247" s="84"/>
      <c r="O247" s="84"/>
      <c r="P247" s="84"/>
      <c r="Q247" s="84"/>
      <c r="R247" s="84"/>
      <c r="S247" s="84"/>
    </row>
    <row r="248" spans="2:19" s="13" customFormat="1" x14ac:dyDescent="0.3">
      <c r="B248" s="84"/>
      <c r="C248" s="84"/>
      <c r="D248" s="84"/>
      <c r="E248" s="84"/>
      <c r="F248" s="84"/>
      <c r="G248" s="84"/>
      <c r="H248" s="84"/>
      <c r="I248" s="84"/>
      <c r="J248" s="84"/>
      <c r="K248" s="84"/>
      <c r="L248" s="84"/>
      <c r="M248" s="84"/>
      <c r="N248" s="84"/>
      <c r="O248" s="84"/>
      <c r="P248" s="84"/>
      <c r="Q248" s="84"/>
      <c r="R248" s="84"/>
      <c r="S248" s="84"/>
    </row>
    <row r="249" spans="2:19" s="13" customFormat="1" x14ac:dyDescent="0.3">
      <c r="B249" s="84"/>
      <c r="C249" s="84"/>
      <c r="D249" s="84"/>
      <c r="E249" s="84"/>
      <c r="F249" s="84"/>
      <c r="G249" s="84"/>
      <c r="H249" s="84"/>
      <c r="I249" s="84"/>
      <c r="J249" s="84"/>
      <c r="K249" s="84"/>
      <c r="L249" s="84"/>
      <c r="M249" s="84"/>
      <c r="N249" s="84"/>
      <c r="O249" s="84"/>
      <c r="P249" s="84"/>
      <c r="Q249" s="84"/>
      <c r="R249" s="84"/>
      <c r="S249" s="84"/>
    </row>
    <row r="250" spans="2:19" s="13" customFormat="1" x14ac:dyDescent="0.3">
      <c r="B250" s="84"/>
      <c r="C250" s="84"/>
      <c r="D250" s="84"/>
      <c r="E250" s="84"/>
      <c r="F250" s="84"/>
      <c r="G250" s="84"/>
      <c r="H250" s="84"/>
      <c r="I250" s="84"/>
      <c r="J250" s="84"/>
      <c r="K250" s="84"/>
      <c r="L250" s="84"/>
      <c r="M250" s="84"/>
      <c r="N250" s="84"/>
      <c r="O250" s="84"/>
      <c r="P250" s="84"/>
      <c r="Q250" s="84"/>
      <c r="R250" s="84"/>
      <c r="S250" s="84"/>
    </row>
    <row r="251" spans="2:19" s="13" customFormat="1" x14ac:dyDescent="0.3">
      <c r="B251" s="84"/>
      <c r="C251" s="84"/>
      <c r="D251" s="84"/>
      <c r="E251" s="84"/>
      <c r="F251" s="84"/>
      <c r="G251" s="84"/>
      <c r="H251" s="84"/>
      <c r="I251" s="84"/>
      <c r="J251" s="84"/>
      <c r="K251" s="84"/>
      <c r="L251" s="84"/>
      <c r="M251" s="84"/>
      <c r="N251" s="84"/>
      <c r="O251" s="84"/>
      <c r="P251" s="84"/>
      <c r="Q251" s="84"/>
      <c r="R251" s="84"/>
      <c r="S251" s="84"/>
    </row>
    <row r="252" spans="2:19" s="13" customFormat="1" x14ac:dyDescent="0.3">
      <c r="B252" s="84"/>
      <c r="C252" s="84"/>
      <c r="D252" s="84"/>
      <c r="E252" s="84"/>
      <c r="F252" s="84"/>
      <c r="G252" s="84"/>
      <c r="H252" s="84"/>
      <c r="I252" s="84"/>
      <c r="J252" s="84"/>
      <c r="K252" s="84"/>
      <c r="L252" s="84"/>
      <c r="M252" s="84"/>
      <c r="N252" s="84"/>
      <c r="O252" s="84"/>
      <c r="P252" s="84"/>
      <c r="Q252" s="84"/>
      <c r="R252" s="84"/>
      <c r="S252" s="84"/>
    </row>
    <row r="253" spans="2:19" s="13" customFormat="1" x14ac:dyDescent="0.3">
      <c r="B253" s="84"/>
      <c r="C253" s="84"/>
      <c r="D253" s="84"/>
      <c r="E253" s="84"/>
      <c r="F253" s="84"/>
      <c r="G253" s="84"/>
      <c r="H253" s="84"/>
      <c r="I253" s="84"/>
      <c r="J253" s="84"/>
      <c r="K253" s="84"/>
      <c r="L253" s="84"/>
      <c r="M253" s="84"/>
      <c r="N253" s="84"/>
      <c r="O253" s="84"/>
      <c r="P253" s="84"/>
      <c r="Q253" s="84"/>
      <c r="R253" s="84"/>
      <c r="S253" s="84"/>
    </row>
    <row r="254" spans="2:19" s="13" customFormat="1" x14ac:dyDescent="0.3">
      <c r="B254" s="84"/>
      <c r="C254" s="84"/>
      <c r="D254" s="84"/>
      <c r="E254" s="84"/>
      <c r="F254" s="84"/>
      <c r="G254" s="84"/>
      <c r="H254" s="84"/>
      <c r="I254" s="84"/>
      <c r="J254" s="84"/>
      <c r="K254" s="84"/>
      <c r="L254" s="84"/>
      <c r="M254" s="84"/>
      <c r="N254" s="84"/>
      <c r="O254" s="84"/>
      <c r="P254" s="84"/>
      <c r="Q254" s="84"/>
      <c r="R254" s="84"/>
      <c r="S254" s="84"/>
    </row>
    <row r="255" spans="2:19" s="13" customFormat="1" x14ac:dyDescent="0.3">
      <c r="B255" s="84"/>
      <c r="C255" s="84"/>
      <c r="D255" s="84"/>
      <c r="E255" s="84"/>
      <c r="F255" s="84"/>
      <c r="G255" s="84"/>
      <c r="H255" s="84"/>
      <c r="I255" s="84"/>
      <c r="J255" s="84"/>
      <c r="K255" s="84"/>
      <c r="L255" s="84"/>
      <c r="M255" s="84"/>
      <c r="N255" s="84"/>
      <c r="O255" s="84"/>
      <c r="P255" s="84"/>
      <c r="Q255" s="84"/>
      <c r="R255" s="84"/>
      <c r="S255" s="84"/>
    </row>
    <row r="256" spans="2:19" s="13" customFormat="1" x14ac:dyDescent="0.3">
      <c r="B256" s="84"/>
      <c r="C256" s="84"/>
      <c r="D256" s="84"/>
      <c r="E256" s="84"/>
      <c r="F256" s="84"/>
      <c r="G256" s="84"/>
      <c r="H256" s="84"/>
      <c r="I256" s="84"/>
      <c r="J256" s="84"/>
      <c r="K256" s="84"/>
      <c r="L256" s="84"/>
      <c r="M256" s="84"/>
      <c r="N256" s="84"/>
      <c r="O256" s="84"/>
      <c r="P256" s="84"/>
      <c r="Q256" s="84"/>
      <c r="R256" s="84"/>
      <c r="S256" s="84"/>
    </row>
    <row r="257" spans="2:19" s="13" customFormat="1" x14ac:dyDescent="0.3">
      <c r="B257" s="84"/>
      <c r="C257" s="84"/>
      <c r="D257" s="84"/>
      <c r="E257" s="84"/>
      <c r="F257" s="84"/>
      <c r="G257" s="84"/>
      <c r="H257" s="84"/>
      <c r="I257" s="84"/>
      <c r="J257" s="84"/>
      <c r="K257" s="84"/>
      <c r="L257" s="84"/>
      <c r="M257" s="84"/>
      <c r="N257" s="84"/>
      <c r="O257" s="84"/>
      <c r="P257" s="84"/>
      <c r="Q257" s="84"/>
      <c r="R257" s="84"/>
      <c r="S257" s="84"/>
    </row>
    <row r="258" spans="2:19" s="13" customFormat="1" x14ac:dyDescent="0.3">
      <c r="B258" s="84"/>
      <c r="C258" s="84"/>
      <c r="D258" s="84"/>
      <c r="E258" s="84"/>
      <c r="F258" s="84"/>
      <c r="G258" s="84"/>
      <c r="H258" s="84"/>
      <c r="I258" s="84"/>
      <c r="J258" s="84"/>
      <c r="K258" s="84"/>
      <c r="L258" s="84"/>
      <c r="M258" s="84"/>
      <c r="N258" s="84"/>
      <c r="O258" s="84"/>
      <c r="P258" s="84"/>
      <c r="Q258" s="84"/>
      <c r="R258" s="84"/>
      <c r="S258" s="84"/>
    </row>
    <row r="259" spans="2:19" s="13" customFormat="1" x14ac:dyDescent="0.3">
      <c r="B259" s="84"/>
      <c r="C259" s="84"/>
      <c r="D259" s="84"/>
      <c r="E259" s="84"/>
      <c r="F259" s="84"/>
      <c r="G259" s="84"/>
      <c r="H259" s="84"/>
      <c r="I259" s="84"/>
      <c r="J259" s="84"/>
      <c r="K259" s="84"/>
      <c r="L259" s="84"/>
      <c r="M259" s="84"/>
      <c r="N259" s="84"/>
      <c r="O259" s="84"/>
      <c r="P259" s="84"/>
      <c r="Q259" s="84"/>
      <c r="R259" s="84"/>
      <c r="S259" s="84"/>
    </row>
    <row r="260" spans="2:19" s="13" customFormat="1" x14ac:dyDescent="0.3">
      <c r="B260" s="84"/>
      <c r="C260" s="84"/>
      <c r="D260" s="84"/>
      <c r="E260" s="84"/>
      <c r="F260" s="84"/>
      <c r="G260" s="84"/>
      <c r="H260" s="84"/>
      <c r="I260" s="84"/>
      <c r="J260" s="84"/>
      <c r="K260" s="84"/>
      <c r="L260" s="84"/>
      <c r="M260" s="84"/>
      <c r="N260" s="84"/>
      <c r="O260" s="84"/>
      <c r="P260" s="84"/>
      <c r="Q260" s="84"/>
      <c r="R260" s="84"/>
      <c r="S260" s="84"/>
    </row>
    <row r="261" spans="2:19" s="13" customFormat="1" x14ac:dyDescent="0.3">
      <c r="B261" s="84"/>
      <c r="C261" s="84"/>
      <c r="D261" s="84"/>
      <c r="E261" s="84"/>
      <c r="F261" s="84"/>
      <c r="G261" s="84"/>
      <c r="H261" s="84"/>
      <c r="I261" s="84"/>
      <c r="J261" s="84"/>
      <c r="K261" s="84"/>
      <c r="L261" s="84"/>
      <c r="M261" s="84"/>
      <c r="N261" s="84"/>
      <c r="O261" s="84"/>
      <c r="P261" s="84"/>
      <c r="Q261" s="84"/>
      <c r="R261" s="84"/>
      <c r="S261" s="84"/>
    </row>
    <row r="262" spans="2:19" s="13" customFormat="1" x14ac:dyDescent="0.3">
      <c r="B262" s="84"/>
      <c r="C262" s="84"/>
      <c r="D262" s="84"/>
      <c r="E262" s="84"/>
      <c r="F262" s="84"/>
      <c r="G262" s="84"/>
      <c r="H262" s="84"/>
      <c r="I262" s="84"/>
      <c r="J262" s="84"/>
      <c r="K262" s="84"/>
      <c r="L262" s="84"/>
      <c r="M262" s="84"/>
      <c r="N262" s="84"/>
      <c r="O262" s="84"/>
      <c r="P262" s="84"/>
      <c r="Q262" s="84"/>
      <c r="R262" s="84"/>
      <c r="S262" s="84"/>
    </row>
    <row r="263" spans="2:19" s="13" customFormat="1" x14ac:dyDescent="0.3">
      <c r="B263" s="84"/>
      <c r="C263" s="84"/>
      <c r="D263" s="84"/>
      <c r="E263" s="84"/>
      <c r="F263" s="84"/>
      <c r="G263" s="84"/>
      <c r="H263" s="84"/>
      <c r="I263" s="84"/>
      <c r="J263" s="84"/>
      <c r="K263" s="84"/>
      <c r="L263" s="84"/>
      <c r="M263" s="84"/>
      <c r="N263" s="84"/>
      <c r="O263" s="84"/>
      <c r="P263" s="84"/>
      <c r="Q263" s="84"/>
      <c r="R263" s="84"/>
      <c r="S263" s="84"/>
    </row>
    <row r="264" spans="2:19" s="13" customFormat="1" x14ac:dyDescent="0.3">
      <c r="B264" s="84"/>
      <c r="C264" s="84"/>
      <c r="D264" s="84"/>
      <c r="E264" s="84"/>
      <c r="F264" s="84"/>
      <c r="G264" s="84"/>
      <c r="H264" s="84"/>
      <c r="I264" s="84"/>
      <c r="J264" s="84"/>
      <c r="K264" s="84"/>
      <c r="L264" s="84"/>
      <c r="M264" s="84"/>
      <c r="N264" s="84"/>
      <c r="O264" s="84"/>
      <c r="P264" s="84"/>
      <c r="Q264" s="84"/>
      <c r="R264" s="84"/>
      <c r="S264" s="84"/>
    </row>
    <row r="265" spans="2:19" s="13" customFormat="1" x14ac:dyDescent="0.3">
      <c r="B265" s="84"/>
      <c r="C265" s="84"/>
      <c r="D265" s="84"/>
      <c r="E265" s="84"/>
      <c r="F265" s="84"/>
      <c r="G265" s="84"/>
      <c r="H265" s="84"/>
      <c r="I265" s="84"/>
      <c r="J265" s="84"/>
      <c r="K265" s="84"/>
      <c r="L265" s="84"/>
      <c r="M265" s="84"/>
      <c r="N265" s="84"/>
      <c r="O265" s="84"/>
      <c r="P265" s="84"/>
      <c r="Q265" s="84"/>
      <c r="R265" s="84"/>
      <c r="S265" s="84"/>
    </row>
    <row r="266" spans="2:19" s="13" customFormat="1" x14ac:dyDescent="0.3">
      <c r="B266" s="84"/>
      <c r="C266" s="84"/>
      <c r="D266" s="84"/>
      <c r="E266" s="84"/>
      <c r="F266" s="84"/>
      <c r="G266" s="84"/>
      <c r="H266" s="84"/>
      <c r="I266" s="84"/>
      <c r="J266" s="84"/>
      <c r="K266" s="84"/>
      <c r="L266" s="84"/>
      <c r="M266" s="84"/>
      <c r="N266" s="84"/>
      <c r="O266" s="84"/>
      <c r="P266" s="84"/>
      <c r="Q266" s="84"/>
      <c r="R266" s="84"/>
      <c r="S266" s="84"/>
    </row>
    <row r="267" spans="2:19" s="13" customFormat="1" x14ac:dyDescent="0.3">
      <c r="B267" s="84"/>
      <c r="C267" s="84"/>
      <c r="D267" s="84"/>
      <c r="E267" s="84"/>
      <c r="F267" s="84"/>
      <c r="G267" s="84"/>
      <c r="H267" s="84"/>
      <c r="I267" s="84"/>
      <c r="J267" s="84"/>
      <c r="K267" s="84"/>
      <c r="L267" s="84"/>
      <c r="M267" s="84"/>
      <c r="N267" s="84"/>
      <c r="O267" s="84"/>
      <c r="P267" s="84"/>
      <c r="Q267" s="84"/>
      <c r="R267" s="84"/>
      <c r="S267" s="84"/>
    </row>
    <row r="268" spans="2:19" s="13" customFormat="1" x14ac:dyDescent="0.3">
      <c r="B268" s="84"/>
      <c r="C268" s="84"/>
      <c r="D268" s="84"/>
      <c r="E268" s="84"/>
      <c r="F268" s="84"/>
      <c r="G268" s="84"/>
      <c r="H268" s="84"/>
      <c r="I268" s="84"/>
      <c r="J268" s="84"/>
      <c r="K268" s="84"/>
      <c r="L268" s="84"/>
      <c r="M268" s="84"/>
      <c r="N268" s="84"/>
      <c r="O268" s="84"/>
      <c r="P268" s="84"/>
      <c r="Q268" s="84"/>
      <c r="R268" s="84"/>
      <c r="S268" s="84"/>
    </row>
    <row r="269" spans="2:19" s="13" customFormat="1" x14ac:dyDescent="0.3">
      <c r="B269" s="84"/>
      <c r="C269" s="84"/>
      <c r="D269" s="84"/>
      <c r="E269" s="84"/>
      <c r="F269" s="84"/>
      <c r="G269" s="84"/>
      <c r="H269" s="84"/>
      <c r="I269" s="84"/>
      <c r="J269" s="84"/>
      <c r="K269" s="84"/>
      <c r="L269" s="84"/>
      <c r="M269" s="84"/>
      <c r="N269" s="84"/>
      <c r="O269" s="84"/>
      <c r="P269" s="84"/>
      <c r="Q269" s="84"/>
      <c r="R269" s="84"/>
      <c r="S269" s="84"/>
    </row>
    <row r="270" spans="2:19" s="13" customFormat="1" x14ac:dyDescent="0.3">
      <c r="B270" s="84"/>
      <c r="C270" s="84"/>
      <c r="D270" s="84"/>
      <c r="E270" s="84"/>
      <c r="F270" s="84"/>
      <c r="G270" s="84"/>
      <c r="H270" s="84"/>
      <c r="I270" s="84"/>
      <c r="J270" s="84"/>
      <c r="K270" s="84"/>
      <c r="L270" s="84"/>
      <c r="M270" s="84"/>
      <c r="N270" s="84"/>
      <c r="O270" s="84"/>
      <c r="P270" s="84"/>
      <c r="Q270" s="84"/>
      <c r="R270" s="84"/>
      <c r="S270" s="84"/>
    </row>
    <row r="271" spans="2:19" s="13" customFormat="1" x14ac:dyDescent="0.3">
      <c r="B271" s="84"/>
      <c r="C271" s="84"/>
      <c r="D271" s="84"/>
      <c r="E271" s="84"/>
      <c r="F271" s="84"/>
      <c r="G271" s="84"/>
      <c r="H271" s="84"/>
      <c r="I271" s="84"/>
      <c r="J271" s="84"/>
      <c r="K271" s="84"/>
      <c r="L271" s="84"/>
      <c r="M271" s="84"/>
      <c r="N271" s="84"/>
      <c r="O271" s="84"/>
      <c r="P271" s="84"/>
      <c r="Q271" s="84"/>
      <c r="R271" s="84"/>
      <c r="S271" s="84"/>
    </row>
    <row r="272" spans="2:19" s="13" customFormat="1" x14ac:dyDescent="0.3">
      <c r="B272" s="84"/>
      <c r="C272" s="84"/>
      <c r="D272" s="84"/>
      <c r="E272" s="84"/>
      <c r="F272" s="84"/>
      <c r="G272" s="84"/>
      <c r="H272" s="84"/>
      <c r="I272" s="84"/>
      <c r="J272" s="84"/>
      <c r="K272" s="84"/>
      <c r="L272" s="84"/>
      <c r="M272" s="84"/>
      <c r="N272" s="84"/>
      <c r="O272" s="84"/>
      <c r="P272" s="84"/>
      <c r="Q272" s="84"/>
      <c r="R272" s="84"/>
      <c r="S272" s="84"/>
    </row>
    <row r="273" spans="2:19" s="13" customFormat="1" x14ac:dyDescent="0.3">
      <c r="B273" s="84"/>
      <c r="C273" s="84"/>
      <c r="D273" s="84"/>
      <c r="E273" s="84"/>
      <c r="F273" s="84"/>
      <c r="G273" s="84"/>
      <c r="H273" s="84"/>
      <c r="I273" s="84"/>
      <c r="J273" s="84"/>
      <c r="K273" s="84"/>
      <c r="L273" s="84"/>
      <c r="M273" s="84"/>
      <c r="N273" s="84"/>
      <c r="O273" s="84"/>
      <c r="P273" s="84"/>
      <c r="Q273" s="84"/>
      <c r="R273" s="84"/>
      <c r="S273" s="84"/>
    </row>
    <row r="274" spans="2:19" s="13" customFormat="1" x14ac:dyDescent="0.3">
      <c r="B274" s="84"/>
      <c r="C274" s="84"/>
      <c r="D274" s="84"/>
      <c r="E274" s="84"/>
      <c r="F274" s="84"/>
      <c r="G274" s="84"/>
      <c r="H274" s="84"/>
      <c r="I274" s="84"/>
      <c r="J274" s="84"/>
      <c r="K274" s="84"/>
      <c r="L274" s="84"/>
      <c r="M274" s="84"/>
      <c r="N274" s="84"/>
      <c r="O274" s="84"/>
      <c r="P274" s="84"/>
      <c r="Q274" s="84"/>
      <c r="R274" s="84"/>
      <c r="S274" s="84"/>
    </row>
    <row r="275" spans="2:19" s="13" customFormat="1" x14ac:dyDescent="0.3">
      <c r="B275" s="84"/>
      <c r="C275" s="84"/>
      <c r="D275" s="84"/>
      <c r="E275" s="84"/>
      <c r="F275" s="84"/>
      <c r="G275" s="84"/>
      <c r="H275" s="84"/>
      <c r="I275" s="84"/>
      <c r="J275" s="84"/>
      <c r="K275" s="84"/>
      <c r="L275" s="84"/>
      <c r="M275" s="84"/>
      <c r="N275" s="84"/>
      <c r="O275" s="84"/>
      <c r="P275" s="84"/>
      <c r="Q275" s="84"/>
      <c r="R275" s="84"/>
      <c r="S275" s="84"/>
    </row>
    <row r="276" spans="2:19" s="13" customFormat="1" x14ac:dyDescent="0.3">
      <c r="B276" s="84"/>
      <c r="C276" s="84"/>
      <c r="D276" s="84"/>
      <c r="E276" s="84"/>
      <c r="F276" s="84"/>
      <c r="G276" s="84"/>
      <c r="H276" s="84"/>
      <c r="I276" s="84"/>
      <c r="J276" s="84"/>
      <c r="K276" s="84"/>
      <c r="L276" s="84"/>
      <c r="M276" s="84"/>
      <c r="N276" s="84"/>
      <c r="O276" s="84"/>
      <c r="P276" s="84"/>
      <c r="Q276" s="84"/>
      <c r="R276" s="84"/>
      <c r="S276" s="84"/>
    </row>
    <row r="277" spans="2:19" s="13" customFormat="1" x14ac:dyDescent="0.3">
      <c r="B277" s="84"/>
      <c r="C277" s="84"/>
      <c r="D277" s="84"/>
      <c r="E277" s="84"/>
      <c r="F277" s="84"/>
      <c r="G277" s="84"/>
      <c r="H277" s="84"/>
      <c r="I277" s="84"/>
      <c r="J277" s="84"/>
      <c r="K277" s="84"/>
      <c r="L277" s="84"/>
      <c r="M277" s="84"/>
      <c r="N277" s="84"/>
      <c r="O277" s="84"/>
      <c r="P277" s="84"/>
      <c r="Q277" s="84"/>
      <c r="R277" s="84"/>
      <c r="S277" s="84"/>
    </row>
    <row r="278" spans="2:19" s="13" customFormat="1" x14ac:dyDescent="0.3">
      <c r="B278" s="84"/>
      <c r="C278" s="84"/>
      <c r="D278" s="84"/>
      <c r="E278" s="84"/>
      <c r="F278" s="84"/>
      <c r="G278" s="84"/>
      <c r="H278" s="84"/>
      <c r="I278" s="84"/>
      <c r="J278" s="84"/>
      <c r="K278" s="84"/>
      <c r="L278" s="84"/>
      <c r="M278" s="84"/>
      <c r="N278" s="84"/>
      <c r="O278" s="84"/>
      <c r="P278" s="84"/>
      <c r="Q278" s="84"/>
      <c r="R278" s="84"/>
      <c r="S278" s="84"/>
    </row>
    <row r="279" spans="2:19" s="13" customFormat="1" x14ac:dyDescent="0.3">
      <c r="B279" s="84"/>
      <c r="C279" s="84"/>
      <c r="D279" s="84"/>
      <c r="E279" s="84"/>
      <c r="F279" s="84"/>
      <c r="G279" s="84"/>
      <c r="H279" s="84"/>
      <c r="I279" s="84"/>
      <c r="J279" s="84"/>
      <c r="K279" s="84"/>
      <c r="L279" s="84"/>
      <c r="M279" s="84"/>
      <c r="N279" s="84"/>
      <c r="O279" s="84"/>
      <c r="P279" s="84"/>
      <c r="Q279" s="84"/>
      <c r="R279" s="84"/>
      <c r="S279" s="84"/>
    </row>
    <row r="280" spans="2:19" s="13" customFormat="1" x14ac:dyDescent="0.3">
      <c r="B280" s="84"/>
      <c r="C280" s="84"/>
      <c r="D280" s="84"/>
      <c r="E280" s="84"/>
      <c r="F280" s="84"/>
      <c r="G280" s="84"/>
      <c r="H280" s="84"/>
      <c r="I280" s="84"/>
      <c r="J280" s="84"/>
      <c r="K280" s="84"/>
      <c r="L280" s="84"/>
      <c r="M280" s="84"/>
      <c r="N280" s="84"/>
      <c r="O280" s="84"/>
      <c r="P280" s="84"/>
      <c r="Q280" s="84"/>
      <c r="R280" s="84"/>
      <c r="S280" s="84"/>
    </row>
    <row r="281" spans="2:19" s="13" customFormat="1" x14ac:dyDescent="0.3">
      <c r="B281" s="84"/>
      <c r="C281" s="84"/>
      <c r="D281" s="84"/>
      <c r="E281" s="84"/>
      <c r="F281" s="84"/>
      <c r="G281" s="84"/>
      <c r="H281" s="84"/>
      <c r="I281" s="84"/>
      <c r="J281" s="84"/>
      <c r="K281" s="84"/>
      <c r="L281" s="84"/>
      <c r="M281" s="84"/>
      <c r="N281" s="84"/>
      <c r="O281" s="84"/>
      <c r="P281" s="84"/>
      <c r="Q281" s="84"/>
      <c r="R281" s="84"/>
      <c r="S281" s="84"/>
    </row>
    <row r="282" spans="2:19" s="13" customFormat="1" x14ac:dyDescent="0.3">
      <c r="B282" s="84"/>
      <c r="C282" s="84"/>
      <c r="D282" s="84"/>
      <c r="E282" s="84"/>
      <c r="F282" s="84"/>
      <c r="G282" s="84"/>
      <c r="H282" s="84"/>
      <c r="I282" s="84"/>
      <c r="J282" s="84"/>
      <c r="K282" s="84"/>
      <c r="L282" s="84"/>
      <c r="M282" s="84"/>
      <c r="N282" s="84"/>
      <c r="O282" s="84"/>
      <c r="P282" s="84"/>
      <c r="Q282" s="84"/>
      <c r="R282" s="84"/>
      <c r="S282" s="84"/>
    </row>
    <row r="283" spans="2:19" s="13" customFormat="1" x14ac:dyDescent="0.3">
      <c r="B283" s="84"/>
      <c r="C283" s="84"/>
      <c r="D283" s="84"/>
      <c r="E283" s="84"/>
      <c r="F283" s="84"/>
      <c r="G283" s="84"/>
      <c r="H283" s="84"/>
      <c r="I283" s="84"/>
      <c r="J283" s="84"/>
      <c r="K283" s="84"/>
      <c r="L283" s="84"/>
      <c r="M283" s="84"/>
      <c r="N283" s="84"/>
      <c r="O283" s="84"/>
      <c r="P283" s="84"/>
      <c r="Q283" s="84"/>
      <c r="R283" s="84"/>
      <c r="S283" s="84"/>
    </row>
    <row r="284" spans="2:19" s="13" customFormat="1" x14ac:dyDescent="0.3">
      <c r="B284" s="84"/>
      <c r="C284" s="84"/>
      <c r="D284" s="84"/>
      <c r="E284" s="84"/>
      <c r="F284" s="84"/>
      <c r="G284" s="84"/>
      <c r="H284" s="84"/>
      <c r="I284" s="84"/>
      <c r="J284" s="84"/>
      <c r="K284" s="84"/>
      <c r="L284" s="84"/>
      <c r="M284" s="84"/>
      <c r="N284" s="84"/>
      <c r="O284" s="84"/>
      <c r="P284" s="84"/>
      <c r="Q284" s="84"/>
      <c r="R284" s="84"/>
      <c r="S284" s="84"/>
    </row>
    <row r="285" spans="2:19" s="13" customFormat="1" x14ac:dyDescent="0.3">
      <c r="B285" s="84"/>
      <c r="C285" s="84"/>
      <c r="D285" s="84"/>
      <c r="E285" s="84"/>
      <c r="F285" s="84"/>
      <c r="G285" s="84"/>
      <c r="H285" s="84"/>
      <c r="I285" s="84"/>
      <c r="J285" s="84"/>
      <c r="K285" s="84"/>
      <c r="L285" s="84"/>
      <c r="M285" s="84"/>
      <c r="N285" s="84"/>
      <c r="O285" s="84"/>
      <c r="P285" s="84"/>
      <c r="Q285" s="84"/>
      <c r="R285" s="84"/>
      <c r="S285" s="84"/>
    </row>
    <row r="286" spans="2:19" s="13" customFormat="1" x14ac:dyDescent="0.3">
      <c r="B286" s="84"/>
      <c r="C286" s="84"/>
      <c r="D286" s="84"/>
      <c r="E286" s="84"/>
      <c r="F286" s="84"/>
      <c r="G286" s="84"/>
      <c r="H286" s="84"/>
      <c r="I286" s="84"/>
      <c r="J286" s="84"/>
      <c r="K286" s="84"/>
      <c r="L286" s="84"/>
      <c r="M286" s="84"/>
      <c r="N286" s="84"/>
      <c r="O286" s="84"/>
      <c r="P286" s="84"/>
      <c r="Q286" s="84"/>
      <c r="R286" s="84"/>
      <c r="S286" s="84"/>
    </row>
    <row r="287" spans="2:19" s="13" customFormat="1" x14ac:dyDescent="0.3">
      <c r="B287" s="84"/>
      <c r="C287" s="84"/>
      <c r="D287" s="84"/>
      <c r="E287" s="84"/>
      <c r="F287" s="84"/>
      <c r="G287" s="84"/>
      <c r="H287" s="84"/>
      <c r="I287" s="84"/>
      <c r="J287" s="84"/>
      <c r="K287" s="84"/>
      <c r="L287" s="84"/>
      <c r="M287" s="84"/>
      <c r="N287" s="84"/>
      <c r="O287" s="84"/>
      <c r="P287" s="84"/>
      <c r="Q287" s="84"/>
      <c r="R287" s="84"/>
      <c r="S287" s="84"/>
    </row>
    <row r="288" spans="2:19" s="13" customFormat="1" x14ac:dyDescent="0.3">
      <c r="B288" s="84"/>
      <c r="C288" s="84"/>
      <c r="D288" s="84"/>
      <c r="E288" s="84"/>
      <c r="F288" s="84"/>
      <c r="G288" s="84"/>
      <c r="H288" s="84"/>
      <c r="I288" s="84"/>
      <c r="J288" s="84"/>
      <c r="K288" s="84"/>
      <c r="L288" s="84"/>
      <c r="M288" s="84"/>
      <c r="N288" s="84"/>
      <c r="O288" s="84"/>
      <c r="P288" s="84"/>
      <c r="Q288" s="84"/>
      <c r="R288" s="84"/>
      <c r="S288" s="84"/>
    </row>
    <row r="289" spans="2:19" s="13" customFormat="1" x14ac:dyDescent="0.3">
      <c r="B289" s="84"/>
      <c r="C289" s="84"/>
      <c r="D289" s="84"/>
      <c r="E289" s="84"/>
      <c r="F289" s="84"/>
      <c r="G289" s="84"/>
      <c r="H289" s="84"/>
      <c r="I289" s="84"/>
      <c r="J289" s="84"/>
      <c r="K289" s="84"/>
      <c r="L289" s="84"/>
      <c r="M289" s="84"/>
      <c r="N289" s="84"/>
      <c r="O289" s="84"/>
      <c r="P289" s="84"/>
      <c r="Q289" s="84"/>
      <c r="R289" s="84"/>
      <c r="S289" s="84"/>
    </row>
    <row r="290" spans="2:19" s="13" customFormat="1" x14ac:dyDescent="0.3">
      <c r="B290" s="84"/>
      <c r="C290" s="84"/>
      <c r="D290" s="84"/>
      <c r="E290" s="84"/>
      <c r="F290" s="84"/>
      <c r="G290" s="84"/>
      <c r="H290" s="84"/>
      <c r="I290" s="84"/>
      <c r="J290" s="84"/>
      <c r="K290" s="84"/>
      <c r="L290" s="84"/>
      <c r="M290" s="84"/>
      <c r="N290" s="84"/>
      <c r="O290" s="84"/>
      <c r="P290" s="84"/>
      <c r="Q290" s="84"/>
      <c r="R290" s="84"/>
      <c r="S290" s="84"/>
    </row>
    <row r="291" spans="2:19" s="13" customFormat="1" x14ac:dyDescent="0.3">
      <c r="B291" s="84"/>
      <c r="C291" s="84"/>
      <c r="D291" s="84"/>
      <c r="E291" s="84"/>
      <c r="F291" s="84"/>
      <c r="G291" s="84"/>
      <c r="H291" s="84"/>
      <c r="I291" s="84"/>
      <c r="J291" s="84"/>
      <c r="K291" s="84"/>
      <c r="L291" s="84"/>
      <c r="M291" s="84"/>
      <c r="N291" s="84"/>
      <c r="O291" s="84"/>
      <c r="P291" s="84"/>
      <c r="Q291" s="84"/>
      <c r="R291" s="84"/>
      <c r="S291" s="84"/>
    </row>
    <row r="292" spans="2:19" s="13" customFormat="1" x14ac:dyDescent="0.3">
      <c r="B292" s="84"/>
      <c r="C292" s="84"/>
      <c r="D292" s="84"/>
      <c r="E292" s="84"/>
      <c r="F292" s="84"/>
      <c r="G292" s="84"/>
      <c r="H292" s="84"/>
      <c r="I292" s="84"/>
      <c r="J292" s="84"/>
      <c r="K292" s="84"/>
      <c r="L292" s="84"/>
      <c r="M292" s="84"/>
      <c r="N292" s="84"/>
      <c r="O292" s="84"/>
      <c r="P292" s="84"/>
      <c r="Q292" s="84"/>
      <c r="R292" s="84"/>
      <c r="S292" s="84"/>
    </row>
    <row r="293" spans="2:19" s="13" customFormat="1" x14ac:dyDescent="0.3">
      <c r="B293" s="84"/>
      <c r="C293" s="84"/>
      <c r="D293" s="84"/>
      <c r="E293" s="84"/>
      <c r="F293" s="84"/>
      <c r="G293" s="84"/>
      <c r="H293" s="84"/>
      <c r="I293" s="84"/>
      <c r="J293" s="84"/>
      <c r="K293" s="84"/>
      <c r="L293" s="84"/>
      <c r="M293" s="84"/>
      <c r="N293" s="84"/>
      <c r="O293" s="84"/>
      <c r="P293" s="84"/>
      <c r="Q293" s="84"/>
      <c r="R293" s="84"/>
      <c r="S293" s="84"/>
    </row>
    <row r="294" spans="2:19" s="13" customFormat="1" x14ac:dyDescent="0.3">
      <c r="B294" s="84"/>
      <c r="C294" s="84"/>
      <c r="D294" s="84"/>
      <c r="E294" s="84"/>
      <c r="F294" s="84"/>
      <c r="G294" s="84"/>
      <c r="H294" s="84"/>
      <c r="I294" s="84"/>
      <c r="J294" s="84"/>
      <c r="K294" s="84"/>
      <c r="L294" s="84"/>
      <c r="M294" s="84"/>
      <c r="N294" s="84"/>
      <c r="O294" s="84"/>
      <c r="P294" s="84"/>
      <c r="Q294" s="84"/>
      <c r="R294" s="84"/>
      <c r="S294" s="84"/>
    </row>
    <row r="295" spans="2:19" s="13" customFormat="1" x14ac:dyDescent="0.3">
      <c r="B295" s="84"/>
      <c r="C295" s="84"/>
      <c r="D295" s="84"/>
      <c r="E295" s="84"/>
      <c r="F295" s="84"/>
      <c r="G295" s="84"/>
      <c r="H295" s="84"/>
      <c r="I295" s="84"/>
      <c r="J295" s="84"/>
      <c r="K295" s="84"/>
      <c r="L295" s="84"/>
      <c r="M295" s="84"/>
      <c r="N295" s="84"/>
      <c r="O295" s="84"/>
      <c r="P295" s="84"/>
      <c r="Q295" s="84"/>
      <c r="R295" s="84"/>
      <c r="S295" s="84"/>
    </row>
    <row r="296" spans="2:19" s="13" customFormat="1" x14ac:dyDescent="0.3">
      <c r="B296" s="84"/>
      <c r="C296" s="84"/>
      <c r="D296" s="84"/>
      <c r="E296" s="84"/>
      <c r="F296" s="84"/>
      <c r="G296" s="84"/>
      <c r="H296" s="84"/>
      <c r="I296" s="84"/>
      <c r="J296" s="84"/>
      <c r="K296" s="84"/>
      <c r="L296" s="84"/>
      <c r="M296" s="84"/>
      <c r="N296" s="84"/>
      <c r="O296" s="84"/>
      <c r="P296" s="84"/>
      <c r="Q296" s="84"/>
      <c r="R296" s="84"/>
      <c r="S296" s="84"/>
    </row>
    <row r="297" spans="2:19" s="13" customFormat="1" x14ac:dyDescent="0.3">
      <c r="B297" s="84"/>
      <c r="C297" s="84"/>
      <c r="D297" s="84"/>
      <c r="E297" s="84"/>
      <c r="F297" s="84"/>
      <c r="G297" s="84"/>
      <c r="H297" s="84"/>
      <c r="I297" s="84"/>
      <c r="J297" s="84"/>
      <c r="K297" s="84"/>
      <c r="L297" s="84"/>
      <c r="M297" s="84"/>
      <c r="N297" s="84"/>
      <c r="O297" s="84"/>
      <c r="P297" s="84"/>
      <c r="Q297" s="84"/>
      <c r="R297" s="84"/>
      <c r="S297" s="84"/>
    </row>
    <row r="298" spans="2:19" s="13" customFormat="1" x14ac:dyDescent="0.3">
      <c r="B298" s="84"/>
      <c r="C298" s="84"/>
      <c r="D298" s="84"/>
      <c r="E298" s="84"/>
      <c r="F298" s="84"/>
      <c r="G298" s="84"/>
      <c r="H298" s="84"/>
      <c r="I298" s="84"/>
      <c r="J298" s="84"/>
      <c r="K298" s="84"/>
      <c r="L298" s="84"/>
      <c r="M298" s="84"/>
      <c r="N298" s="84"/>
      <c r="O298" s="84"/>
      <c r="P298" s="84"/>
      <c r="Q298" s="84"/>
      <c r="R298" s="84"/>
      <c r="S298" s="84"/>
    </row>
    <row r="299" spans="2:19" s="13" customFormat="1" x14ac:dyDescent="0.3">
      <c r="B299" s="84"/>
      <c r="C299" s="84"/>
      <c r="D299" s="84"/>
      <c r="E299" s="84"/>
      <c r="F299" s="84"/>
      <c r="G299" s="84"/>
      <c r="H299" s="84"/>
      <c r="I299" s="84"/>
      <c r="J299" s="84"/>
      <c r="K299" s="84"/>
      <c r="L299" s="84"/>
      <c r="M299" s="84"/>
      <c r="N299" s="84"/>
      <c r="O299" s="84"/>
      <c r="P299" s="84"/>
      <c r="Q299" s="84"/>
      <c r="R299" s="84"/>
      <c r="S299" s="84"/>
    </row>
    <row r="300" spans="2:19" s="13" customFormat="1" x14ac:dyDescent="0.3">
      <c r="B300" s="84"/>
      <c r="C300" s="84"/>
      <c r="D300" s="84"/>
      <c r="E300" s="84"/>
      <c r="F300" s="84"/>
      <c r="G300" s="84"/>
      <c r="H300" s="84"/>
      <c r="I300" s="84"/>
      <c r="J300" s="84"/>
      <c r="K300" s="84"/>
      <c r="L300" s="84"/>
      <c r="M300" s="84"/>
      <c r="N300" s="84"/>
      <c r="O300" s="84"/>
      <c r="P300" s="84"/>
      <c r="Q300" s="84"/>
      <c r="R300" s="84"/>
      <c r="S300" s="84"/>
    </row>
    <row r="301" spans="2:19" s="13" customFormat="1" x14ac:dyDescent="0.3">
      <c r="B301" s="84"/>
      <c r="C301" s="84"/>
      <c r="D301" s="84"/>
      <c r="E301" s="84"/>
      <c r="F301" s="84"/>
      <c r="G301" s="84"/>
      <c r="H301" s="84"/>
      <c r="I301" s="84"/>
      <c r="J301" s="84"/>
      <c r="K301" s="84"/>
      <c r="L301" s="84"/>
      <c r="M301" s="84"/>
      <c r="N301" s="84"/>
      <c r="O301" s="84"/>
      <c r="P301" s="84"/>
      <c r="Q301" s="84"/>
      <c r="R301" s="84"/>
      <c r="S301" s="84"/>
    </row>
    <row r="302" spans="2:19" s="13" customFormat="1" x14ac:dyDescent="0.3">
      <c r="B302" s="84"/>
      <c r="C302" s="84"/>
      <c r="D302" s="84"/>
      <c r="E302" s="84"/>
      <c r="F302" s="84"/>
      <c r="G302" s="84"/>
      <c r="H302" s="84"/>
      <c r="I302" s="84"/>
      <c r="J302" s="84"/>
      <c r="K302" s="84"/>
      <c r="L302" s="84"/>
      <c r="M302" s="84"/>
      <c r="N302" s="84"/>
      <c r="O302" s="84"/>
      <c r="P302" s="84"/>
      <c r="Q302" s="84"/>
      <c r="R302" s="84"/>
      <c r="S302" s="84"/>
    </row>
    <row r="303" spans="2:19" s="13" customFormat="1" x14ac:dyDescent="0.3"/>
    <row r="304" spans="2:19" s="13" customFormat="1" x14ac:dyDescent="0.3"/>
    <row r="305" s="13" customFormat="1" x14ac:dyDescent="0.3"/>
    <row r="306" s="13" customFormat="1" x14ac:dyDescent="0.3"/>
    <row r="307" s="13" customFormat="1" x14ac:dyDescent="0.3"/>
    <row r="308" s="13" customFormat="1" x14ac:dyDescent="0.3"/>
    <row r="309" s="13" customFormat="1" x14ac:dyDescent="0.3"/>
    <row r="310" s="13" customFormat="1" x14ac:dyDescent="0.3"/>
    <row r="311" s="13" customFormat="1" x14ac:dyDescent="0.3"/>
    <row r="312" s="13" customFormat="1" x14ac:dyDescent="0.3"/>
    <row r="313" s="13" customFormat="1" x14ac:dyDescent="0.3"/>
    <row r="314" s="13" customFormat="1" x14ac:dyDescent="0.3"/>
    <row r="315" s="13" customFormat="1" x14ac:dyDescent="0.3"/>
    <row r="316" s="13" customFormat="1" x14ac:dyDescent="0.3"/>
    <row r="317" s="13" customFormat="1" x14ac:dyDescent="0.3"/>
    <row r="318" s="13" customFormat="1" x14ac:dyDescent="0.3"/>
    <row r="319" s="13" customFormat="1" x14ac:dyDescent="0.3"/>
    <row r="320" s="13" customFormat="1" x14ac:dyDescent="0.3"/>
    <row r="321" s="13" customFormat="1" x14ac:dyDescent="0.3"/>
    <row r="322" s="13" customFormat="1" x14ac:dyDescent="0.3"/>
    <row r="323" s="13" customFormat="1" x14ac:dyDescent="0.3"/>
    <row r="324" s="13" customFormat="1" x14ac:dyDescent="0.3"/>
    <row r="325" s="13" customFormat="1" x14ac:dyDescent="0.3"/>
    <row r="326" s="13" customFormat="1" x14ac:dyDescent="0.3"/>
    <row r="327" s="13" customFormat="1" x14ac:dyDescent="0.3"/>
    <row r="328" s="13" customFormat="1" x14ac:dyDescent="0.3"/>
    <row r="329" s="13" customFormat="1" x14ac:dyDescent="0.3"/>
    <row r="330" s="13" customFormat="1" x14ac:dyDescent="0.3"/>
    <row r="331" s="13" customFormat="1" x14ac:dyDescent="0.3"/>
    <row r="332" s="13" customFormat="1" x14ac:dyDescent="0.3"/>
    <row r="333" s="13" customFormat="1" x14ac:dyDescent="0.3"/>
    <row r="334" s="13" customFormat="1" x14ac:dyDescent="0.3"/>
    <row r="335" s="13" customFormat="1" x14ac:dyDescent="0.3"/>
    <row r="336" s="13" customFormat="1" x14ac:dyDescent="0.3"/>
    <row r="337" s="13" customFormat="1" x14ac:dyDescent="0.3"/>
    <row r="338" s="13" customFormat="1" x14ac:dyDescent="0.3"/>
    <row r="339" s="13" customFormat="1" x14ac:dyDescent="0.3"/>
    <row r="340" s="13" customFormat="1" x14ac:dyDescent="0.3"/>
    <row r="341" s="13" customFormat="1" x14ac:dyDescent="0.3"/>
    <row r="342" s="13" customFormat="1" x14ac:dyDescent="0.3"/>
    <row r="343" s="13" customFormat="1" x14ac:dyDescent="0.3"/>
    <row r="344" s="13" customFormat="1" x14ac:dyDescent="0.3"/>
    <row r="345" s="13" customFormat="1" x14ac:dyDescent="0.3"/>
    <row r="346" s="13" customFormat="1" x14ac:dyDescent="0.3"/>
    <row r="347" s="13" customFormat="1" x14ac:dyDescent="0.3"/>
    <row r="348" s="13" customFormat="1" x14ac:dyDescent="0.3"/>
    <row r="349" s="13" customFormat="1" x14ac:dyDescent="0.3"/>
    <row r="350" s="13" customFormat="1" x14ac:dyDescent="0.3"/>
    <row r="351" s="13" customFormat="1" x14ac:dyDescent="0.3"/>
    <row r="352" s="13" customFormat="1" x14ac:dyDescent="0.3"/>
    <row r="353" s="13" customFormat="1" x14ac:dyDescent="0.3"/>
    <row r="354" s="13" customFormat="1" x14ac:dyDescent="0.3"/>
    <row r="355" s="13" customFormat="1" x14ac:dyDescent="0.3"/>
    <row r="356" s="13" customFormat="1" x14ac:dyDescent="0.3"/>
    <row r="357" s="13" customFormat="1" x14ac:dyDescent="0.3"/>
    <row r="358" s="13" customFormat="1" x14ac:dyDescent="0.3"/>
    <row r="359" s="13" customFormat="1" x14ac:dyDescent="0.3"/>
    <row r="360" s="13" customFormat="1" x14ac:dyDescent="0.3"/>
    <row r="361" s="13" customFormat="1" x14ac:dyDescent="0.3"/>
    <row r="362" s="13" customFormat="1" x14ac:dyDescent="0.3"/>
    <row r="363" s="13" customFormat="1" x14ac:dyDescent="0.3"/>
    <row r="364" s="13" customFormat="1" x14ac:dyDescent="0.3"/>
    <row r="365" s="13" customFormat="1" x14ac:dyDescent="0.3"/>
    <row r="366" s="13" customFormat="1" x14ac:dyDescent="0.3"/>
    <row r="367" s="13" customFormat="1" x14ac:dyDescent="0.3"/>
    <row r="368" s="13" customFormat="1" x14ac:dyDescent="0.3"/>
    <row r="369" s="13" customFormat="1" x14ac:dyDescent="0.3"/>
    <row r="370" s="13" customFormat="1" x14ac:dyDescent="0.3"/>
    <row r="371" s="13" customFormat="1" x14ac:dyDescent="0.3"/>
    <row r="372" s="13" customFormat="1" x14ac:dyDescent="0.3"/>
    <row r="373" s="13" customFormat="1" x14ac:dyDescent="0.3"/>
    <row r="374" s="13" customFormat="1" x14ac:dyDescent="0.3"/>
    <row r="375" s="13" customFormat="1" x14ac:dyDescent="0.3"/>
    <row r="376" s="13" customFormat="1" x14ac:dyDescent="0.3"/>
    <row r="377" s="13" customFormat="1" x14ac:dyDescent="0.3"/>
    <row r="378" s="13" customFormat="1" x14ac:dyDescent="0.3"/>
    <row r="379" s="13" customFormat="1" x14ac:dyDescent="0.3"/>
    <row r="380" s="13" customFormat="1" x14ac:dyDescent="0.3"/>
    <row r="381" s="13" customFormat="1" x14ac:dyDescent="0.3"/>
    <row r="382" s="13" customFormat="1" x14ac:dyDescent="0.3"/>
    <row r="383" s="13" customFormat="1" x14ac:dyDescent="0.3"/>
    <row r="384" s="13" customFormat="1" x14ac:dyDescent="0.3"/>
    <row r="385" s="13" customFormat="1" x14ac:dyDescent="0.3"/>
    <row r="386" s="13" customFormat="1" x14ac:dyDescent="0.3"/>
    <row r="387" s="13" customFormat="1" x14ac:dyDescent="0.3"/>
    <row r="388" s="13" customFormat="1" x14ac:dyDescent="0.3"/>
    <row r="389" s="13" customFormat="1" x14ac:dyDescent="0.3"/>
    <row r="390" s="13" customFormat="1" x14ac:dyDescent="0.3"/>
    <row r="391" s="13" customFormat="1" x14ac:dyDescent="0.3"/>
    <row r="392" s="13" customFormat="1" x14ac:dyDescent="0.3"/>
    <row r="393" s="13" customFormat="1" x14ac:dyDescent="0.3"/>
    <row r="394" s="13" customFormat="1" x14ac:dyDescent="0.3"/>
    <row r="395" s="13" customFormat="1" x14ac:dyDescent="0.3"/>
    <row r="396" s="13" customFormat="1" x14ac:dyDescent="0.3"/>
    <row r="397" s="13" customFormat="1" x14ac:dyDescent="0.3"/>
    <row r="398" s="13" customFormat="1" x14ac:dyDescent="0.3"/>
    <row r="399" s="13" customFormat="1" x14ac:dyDescent="0.3"/>
    <row r="400" s="13" customFormat="1" x14ac:dyDescent="0.3"/>
    <row r="401" s="13" customFormat="1" x14ac:dyDescent="0.3"/>
    <row r="402" s="13" customFormat="1" x14ac:dyDescent="0.3"/>
    <row r="403" s="13" customFormat="1" x14ac:dyDescent="0.3"/>
    <row r="404" s="13" customFormat="1" x14ac:dyDescent="0.3"/>
    <row r="405" s="13" customFormat="1" x14ac:dyDescent="0.3"/>
    <row r="406" s="13" customFormat="1" x14ac:dyDescent="0.3"/>
    <row r="407" s="13" customFormat="1" x14ac:dyDescent="0.3"/>
    <row r="408" s="13" customFormat="1" x14ac:dyDescent="0.3"/>
    <row r="409" s="13" customFormat="1" x14ac:dyDescent="0.3"/>
    <row r="410" s="13" customFormat="1" x14ac:dyDescent="0.3"/>
    <row r="411" s="13" customFormat="1" x14ac:dyDescent="0.3"/>
    <row r="412" s="13" customFormat="1" x14ac:dyDescent="0.3"/>
    <row r="413" s="13" customFormat="1" x14ac:dyDescent="0.3"/>
    <row r="414" s="13" customFormat="1" x14ac:dyDescent="0.3"/>
    <row r="415" s="13" customFormat="1" x14ac:dyDescent="0.3"/>
    <row r="416" s="13" customFormat="1" x14ac:dyDescent="0.3"/>
    <row r="417" s="13" customFormat="1" x14ac:dyDescent="0.3"/>
    <row r="418" s="13" customFormat="1" x14ac:dyDescent="0.3"/>
    <row r="419" s="13" customFormat="1" x14ac:dyDescent="0.3"/>
    <row r="420" s="13" customFormat="1" x14ac:dyDescent="0.3"/>
    <row r="421" s="13" customFormat="1" x14ac:dyDescent="0.3"/>
    <row r="422" s="13" customFormat="1" x14ac:dyDescent="0.3"/>
    <row r="423" s="13" customFormat="1" x14ac:dyDescent="0.3"/>
    <row r="424" s="13" customFormat="1" x14ac:dyDescent="0.3"/>
    <row r="425" s="13" customFormat="1" x14ac:dyDescent="0.3"/>
    <row r="426" s="13" customFormat="1" x14ac:dyDescent="0.3"/>
    <row r="427" s="13" customFormat="1" x14ac:dyDescent="0.3"/>
    <row r="428" s="13" customFormat="1" x14ac:dyDescent="0.3"/>
    <row r="429" s="13" customFormat="1" x14ac:dyDescent="0.3"/>
    <row r="430" s="13" customFormat="1" x14ac:dyDescent="0.3"/>
    <row r="431" s="13" customFormat="1" x14ac:dyDescent="0.3"/>
    <row r="432" s="13" customFormat="1" x14ac:dyDescent="0.3"/>
    <row r="433" s="13" customFormat="1" x14ac:dyDescent="0.3"/>
    <row r="434" s="13" customFormat="1" x14ac:dyDescent="0.3"/>
    <row r="435" s="13" customFormat="1" x14ac:dyDescent="0.3"/>
    <row r="436" s="13" customFormat="1" x14ac:dyDescent="0.3"/>
    <row r="437" s="13" customFormat="1" x14ac:dyDescent="0.3"/>
    <row r="438" s="13" customFormat="1" x14ac:dyDescent="0.3"/>
    <row r="439" s="13" customFormat="1" x14ac:dyDescent="0.3"/>
    <row r="440" s="13" customFormat="1" x14ac:dyDescent="0.3"/>
    <row r="441" s="13" customFormat="1" x14ac:dyDescent="0.3"/>
    <row r="442" s="13" customFormat="1" x14ac:dyDescent="0.3"/>
    <row r="443" s="13" customFormat="1" x14ac:dyDescent="0.3"/>
    <row r="444" s="13" customFormat="1" x14ac:dyDescent="0.3"/>
    <row r="445" s="13" customFormat="1" x14ac:dyDescent="0.3"/>
    <row r="446" s="13" customFormat="1" x14ac:dyDescent="0.3"/>
    <row r="447" s="13" customFormat="1" x14ac:dyDescent="0.3"/>
    <row r="448" s="13" customFormat="1" x14ac:dyDescent="0.3"/>
    <row r="449" s="13" customFormat="1" x14ac:dyDescent="0.3"/>
    <row r="450" s="13" customFormat="1" x14ac:dyDescent="0.3"/>
    <row r="451" s="13" customFormat="1" x14ac:dyDescent="0.3"/>
    <row r="452" s="13" customFormat="1" x14ac:dyDescent="0.3"/>
    <row r="453" s="13" customFormat="1" x14ac:dyDescent="0.3"/>
    <row r="454" s="13" customFormat="1" x14ac:dyDescent="0.3"/>
    <row r="455" s="13" customFormat="1" x14ac:dyDescent="0.3"/>
    <row r="456" s="13" customFormat="1" x14ac:dyDescent="0.3"/>
    <row r="457" s="13" customFormat="1" x14ac:dyDescent="0.3"/>
    <row r="458" s="13" customFormat="1" x14ac:dyDescent="0.3"/>
    <row r="459" s="13" customFormat="1" x14ac:dyDescent="0.3"/>
    <row r="460" s="13" customFormat="1" x14ac:dyDescent="0.3"/>
    <row r="461" s="13" customFormat="1" x14ac:dyDescent="0.3"/>
    <row r="462" s="13" customFormat="1" x14ac:dyDescent="0.3"/>
    <row r="463" s="13" customFormat="1" x14ac:dyDescent="0.3"/>
    <row r="464" s="13" customFormat="1" x14ac:dyDescent="0.3"/>
    <row r="465" s="13" customFormat="1" x14ac:dyDescent="0.3"/>
    <row r="466" s="13" customFormat="1" x14ac:dyDescent="0.3"/>
    <row r="467" s="13" customFormat="1" x14ac:dyDescent="0.3"/>
    <row r="468" s="13" customFormat="1" x14ac:dyDescent="0.3"/>
    <row r="469" s="13" customFormat="1" x14ac:dyDescent="0.3"/>
    <row r="470" s="13" customFormat="1" x14ac:dyDescent="0.3"/>
    <row r="471" s="13" customFormat="1" x14ac:dyDescent="0.3"/>
    <row r="472" s="13" customFormat="1" x14ac:dyDescent="0.3"/>
    <row r="473" s="13" customFormat="1" x14ac:dyDescent="0.3"/>
    <row r="474" s="13" customFormat="1" x14ac:dyDescent="0.3"/>
    <row r="475" s="13" customFormat="1" x14ac:dyDescent="0.3"/>
    <row r="476" s="13" customFormat="1" x14ac:dyDescent="0.3"/>
    <row r="477" s="13" customFormat="1" x14ac:dyDescent="0.3"/>
    <row r="478" s="13" customFormat="1" x14ac:dyDescent="0.3"/>
    <row r="479" s="13" customFormat="1" x14ac:dyDescent="0.3"/>
    <row r="480" s="13" customFormat="1" x14ac:dyDescent="0.3"/>
    <row r="481" s="13" customFormat="1" x14ac:dyDescent="0.3"/>
    <row r="482" s="13" customFormat="1" x14ac:dyDescent="0.3"/>
    <row r="483" s="13" customFormat="1" x14ac:dyDescent="0.3"/>
    <row r="484" s="13" customFormat="1" x14ac:dyDescent="0.3"/>
    <row r="485" s="13" customFormat="1" x14ac:dyDescent="0.3"/>
    <row r="486" s="13" customFormat="1" x14ac:dyDescent="0.3"/>
    <row r="487" s="13" customFormat="1" x14ac:dyDescent="0.3"/>
    <row r="488" s="13" customFormat="1" x14ac:dyDescent="0.3"/>
    <row r="489" s="13" customFormat="1" x14ac:dyDescent="0.3"/>
    <row r="490" s="13" customFormat="1" x14ac:dyDescent="0.3"/>
    <row r="491" s="13" customFormat="1" x14ac:dyDescent="0.3"/>
    <row r="492" s="13" customFormat="1" x14ac:dyDescent="0.3"/>
    <row r="493" s="13" customFormat="1" x14ac:dyDescent="0.3"/>
    <row r="494" s="13" customFormat="1" x14ac:dyDescent="0.3"/>
    <row r="495" s="13" customFormat="1" x14ac:dyDescent="0.3"/>
    <row r="496" s="13" customFormat="1" x14ac:dyDescent="0.3"/>
    <row r="497" s="13" customFormat="1" x14ac:dyDescent="0.3"/>
    <row r="498" s="13" customFormat="1" x14ac:dyDescent="0.3"/>
    <row r="499" s="13" customFormat="1" x14ac:dyDescent="0.3"/>
    <row r="500" s="13" customFormat="1" x14ac:dyDescent="0.3"/>
    <row r="501" s="13" customFormat="1" x14ac:dyDescent="0.3"/>
    <row r="502" s="13" customFormat="1" x14ac:dyDescent="0.3"/>
    <row r="503" s="13" customFormat="1" x14ac:dyDescent="0.3"/>
    <row r="504" s="13" customFormat="1" x14ac:dyDescent="0.3"/>
    <row r="505" s="13" customFormat="1" x14ac:dyDescent="0.3"/>
    <row r="506" s="13" customFormat="1" x14ac:dyDescent="0.3"/>
    <row r="507" s="13" customFormat="1" x14ac:dyDescent="0.3"/>
    <row r="508" s="13" customFormat="1" x14ac:dyDescent="0.3"/>
    <row r="509" s="13" customFormat="1" x14ac:dyDescent="0.3"/>
    <row r="510" s="13" customFormat="1" x14ac:dyDescent="0.3"/>
    <row r="511" s="13" customFormat="1" x14ac:dyDescent="0.3"/>
    <row r="512" s="13" customFormat="1" x14ac:dyDescent="0.3"/>
    <row r="513" s="13" customFormat="1" x14ac:dyDescent="0.3"/>
    <row r="514" s="13" customFormat="1" x14ac:dyDescent="0.3"/>
    <row r="515" s="13" customFormat="1" x14ac:dyDescent="0.3"/>
    <row r="516" s="13" customFormat="1" x14ac:dyDescent="0.3"/>
    <row r="517" s="13" customFormat="1" x14ac:dyDescent="0.3"/>
    <row r="518" s="13" customFormat="1" x14ac:dyDescent="0.3"/>
    <row r="519" s="13" customFormat="1" x14ac:dyDescent="0.3"/>
    <row r="520" s="13" customFormat="1" x14ac:dyDescent="0.3"/>
    <row r="521" s="13" customFormat="1" x14ac:dyDescent="0.3"/>
    <row r="522" s="13" customFormat="1" x14ac:dyDescent="0.3"/>
    <row r="523" s="13" customFormat="1" x14ac:dyDescent="0.3"/>
    <row r="524" s="13" customFormat="1" x14ac:dyDescent="0.3"/>
    <row r="525" s="13" customFormat="1" x14ac:dyDescent="0.3"/>
    <row r="526" s="13" customFormat="1" x14ac:dyDescent="0.3"/>
    <row r="527" s="13" customFormat="1" x14ac:dyDescent="0.3"/>
    <row r="528" s="13" customFormat="1" x14ac:dyDescent="0.3"/>
    <row r="529" s="13" customFormat="1" x14ac:dyDescent="0.3"/>
    <row r="530" s="13" customFormat="1" x14ac:dyDescent="0.3"/>
    <row r="531" s="13" customFormat="1" x14ac:dyDescent="0.3"/>
    <row r="532" s="13" customFormat="1" x14ac:dyDescent="0.3"/>
    <row r="533" s="13" customFormat="1" x14ac:dyDescent="0.3"/>
    <row r="534" s="13" customFormat="1" x14ac:dyDescent="0.3"/>
    <row r="535" s="13" customFormat="1" x14ac:dyDescent="0.3"/>
    <row r="536" s="13" customFormat="1" x14ac:dyDescent="0.3"/>
    <row r="537" s="13" customFormat="1" x14ac:dyDescent="0.3"/>
    <row r="538" s="13" customFormat="1" x14ac:dyDescent="0.3"/>
    <row r="539" s="13" customFormat="1" x14ac:dyDescent="0.3"/>
    <row r="540" s="13" customFormat="1" x14ac:dyDescent="0.3"/>
    <row r="541" s="13" customFormat="1" x14ac:dyDescent="0.3"/>
    <row r="542" s="13" customFormat="1" x14ac:dyDescent="0.3"/>
    <row r="543" s="13" customFormat="1" x14ac:dyDescent="0.3"/>
    <row r="544" s="13" customFormat="1" x14ac:dyDescent="0.3"/>
    <row r="545" s="13" customFormat="1" x14ac:dyDescent="0.3"/>
    <row r="546" s="13" customFormat="1" x14ac:dyDescent="0.3"/>
    <row r="547" s="13" customFormat="1" x14ac:dyDescent="0.3"/>
    <row r="548" s="13" customFormat="1" x14ac:dyDescent="0.3"/>
    <row r="549" s="13" customFormat="1" x14ac:dyDescent="0.3"/>
    <row r="550" s="13" customFormat="1" x14ac:dyDescent="0.3"/>
    <row r="551" s="13" customFormat="1" x14ac:dyDescent="0.3"/>
    <row r="552" s="13" customFormat="1" x14ac:dyDescent="0.3"/>
    <row r="553" s="13" customFormat="1" x14ac:dyDescent="0.3"/>
    <row r="554" s="13" customFormat="1" x14ac:dyDescent="0.3"/>
    <row r="555" s="13" customFormat="1" x14ac:dyDescent="0.3"/>
    <row r="556" s="13" customFormat="1" x14ac:dyDescent="0.3"/>
    <row r="557" s="13" customFormat="1" x14ac:dyDescent="0.3"/>
    <row r="558" s="13" customFormat="1" x14ac:dyDescent="0.3"/>
    <row r="559" s="13" customFormat="1" x14ac:dyDescent="0.3"/>
    <row r="560" s="13" customFormat="1" x14ac:dyDescent="0.3"/>
    <row r="561" s="13" customFormat="1" x14ac:dyDescent="0.3"/>
    <row r="562" s="13" customFormat="1" x14ac:dyDescent="0.3"/>
    <row r="563" s="13" customFormat="1" x14ac:dyDescent="0.3"/>
    <row r="564" s="13" customFormat="1" x14ac:dyDescent="0.3"/>
    <row r="565" s="13" customFormat="1" x14ac:dyDescent="0.3"/>
    <row r="566" s="13" customFormat="1" x14ac:dyDescent="0.3"/>
    <row r="567" s="13" customFormat="1" x14ac:dyDescent="0.3"/>
    <row r="568" s="13" customFormat="1" x14ac:dyDescent="0.3"/>
    <row r="569" s="13" customFormat="1" x14ac:dyDescent="0.3"/>
    <row r="570" s="13" customFormat="1" x14ac:dyDescent="0.3"/>
    <row r="571" s="13" customFormat="1" x14ac:dyDescent="0.3"/>
    <row r="572" s="13" customFormat="1" x14ac:dyDescent="0.3"/>
    <row r="573" s="13" customFormat="1" x14ac:dyDescent="0.3"/>
    <row r="574" s="13" customFormat="1" x14ac:dyDescent="0.3"/>
    <row r="575" s="13" customFormat="1" x14ac:dyDescent="0.3"/>
    <row r="576" s="13" customFormat="1" x14ac:dyDescent="0.3"/>
    <row r="577" s="13" customFormat="1" x14ac:dyDescent="0.3"/>
    <row r="578" s="13" customFormat="1" x14ac:dyDescent="0.3"/>
    <row r="579" s="13" customFormat="1" x14ac:dyDescent="0.3"/>
    <row r="580" s="13" customFormat="1" x14ac:dyDescent="0.3"/>
    <row r="581" s="13" customFormat="1" x14ac:dyDescent="0.3"/>
    <row r="582" s="13" customFormat="1" x14ac:dyDescent="0.3"/>
    <row r="583" s="13" customFormat="1" x14ac:dyDescent="0.3"/>
    <row r="584" s="13" customFormat="1" x14ac:dyDescent="0.3"/>
    <row r="585" s="13" customFormat="1" x14ac:dyDescent="0.3"/>
    <row r="586" s="13" customFormat="1" x14ac:dyDescent="0.3"/>
    <row r="587" s="13" customFormat="1" x14ac:dyDescent="0.3"/>
    <row r="588" s="13" customFormat="1" x14ac:dyDescent="0.3"/>
    <row r="589" s="13" customFormat="1" x14ac:dyDescent="0.3"/>
    <row r="590" s="13" customFormat="1" x14ac:dyDescent="0.3"/>
    <row r="591" s="13" customFormat="1" x14ac:dyDescent="0.3"/>
    <row r="592" s="13" customFormat="1" x14ac:dyDescent="0.3"/>
    <row r="593" s="13" customFormat="1" x14ac:dyDescent="0.3"/>
    <row r="594" s="13" customFormat="1" x14ac:dyDescent="0.3"/>
    <row r="595" s="13" customFormat="1" x14ac:dyDescent="0.3"/>
    <row r="596" s="13" customFormat="1" x14ac:dyDescent="0.3"/>
    <row r="597" s="13" customFormat="1" x14ac:dyDescent="0.3"/>
    <row r="598" s="13" customFormat="1" x14ac:dyDescent="0.3"/>
    <row r="599" s="13" customFormat="1" x14ac:dyDescent="0.3"/>
    <row r="600" s="13" customFormat="1" x14ac:dyDescent="0.3"/>
    <row r="601" s="13" customFormat="1" x14ac:dyDescent="0.3"/>
    <row r="602" s="13" customFormat="1" x14ac:dyDescent="0.3"/>
    <row r="603" s="13" customFormat="1" x14ac:dyDescent="0.3"/>
    <row r="604" s="13" customFormat="1" x14ac:dyDescent="0.3"/>
    <row r="605" s="13" customFormat="1" x14ac:dyDescent="0.3"/>
    <row r="606" s="13" customFormat="1" x14ac:dyDescent="0.3"/>
    <row r="607" s="13" customFormat="1" x14ac:dyDescent="0.3"/>
    <row r="608" s="13" customFormat="1" x14ac:dyDescent="0.3"/>
    <row r="609" s="13" customFormat="1" x14ac:dyDescent="0.3"/>
    <row r="610" s="13" customFormat="1" x14ac:dyDescent="0.3"/>
    <row r="611" s="13" customFormat="1" x14ac:dyDescent="0.3"/>
    <row r="612" s="13" customFormat="1" x14ac:dyDescent="0.3"/>
    <row r="613" s="13" customFormat="1" x14ac:dyDescent="0.3"/>
    <row r="614" s="13" customFormat="1" x14ac:dyDescent="0.3"/>
    <row r="615" s="13" customFormat="1" x14ac:dyDescent="0.3"/>
    <row r="616" s="13" customFormat="1" x14ac:dyDescent="0.3"/>
    <row r="617" s="13" customFormat="1" x14ac:dyDescent="0.3"/>
    <row r="618" s="13" customFormat="1" x14ac:dyDescent="0.3"/>
    <row r="619" s="13" customFormat="1" x14ac:dyDescent="0.3"/>
    <row r="620" s="13" customFormat="1" x14ac:dyDescent="0.3"/>
    <row r="621" s="13" customFormat="1" x14ac:dyDescent="0.3"/>
    <row r="622" s="13" customFormat="1" x14ac:dyDescent="0.3"/>
    <row r="623" s="13" customFormat="1" x14ac:dyDescent="0.3"/>
    <row r="624" s="13" customFormat="1" x14ac:dyDescent="0.3"/>
    <row r="625" s="13" customFormat="1" x14ac:dyDescent="0.3"/>
    <row r="626" s="13" customFormat="1" x14ac:dyDescent="0.3"/>
    <row r="627" s="13" customFormat="1" x14ac:dyDescent="0.3"/>
    <row r="628" s="13" customFormat="1" x14ac:dyDescent="0.3"/>
    <row r="629" s="13" customFormat="1" x14ac:dyDescent="0.3"/>
    <row r="630" s="13" customFormat="1" x14ac:dyDescent="0.3"/>
    <row r="631" s="13" customFormat="1" x14ac:dyDescent="0.3"/>
    <row r="632" s="13" customFormat="1" x14ac:dyDescent="0.3"/>
    <row r="633" s="13" customFormat="1" x14ac:dyDescent="0.3"/>
    <row r="634" s="13" customFormat="1" x14ac:dyDescent="0.3"/>
    <row r="635" s="13" customFormat="1" x14ac:dyDescent="0.3"/>
    <row r="636" s="13" customFormat="1" x14ac:dyDescent="0.3"/>
    <row r="637" s="13" customFormat="1" x14ac:dyDescent="0.3"/>
    <row r="638" s="13" customFormat="1" x14ac:dyDescent="0.3"/>
    <row r="639" s="13" customFormat="1" x14ac:dyDescent="0.3"/>
    <row r="640" s="13" customFormat="1" x14ac:dyDescent="0.3"/>
    <row r="641" s="13" customFormat="1" x14ac:dyDescent="0.3"/>
    <row r="642" s="13" customFormat="1" x14ac:dyDescent="0.3"/>
    <row r="643" s="13" customFormat="1" x14ac:dyDescent="0.3"/>
    <row r="644" s="13" customFormat="1" x14ac:dyDescent="0.3"/>
    <row r="645" s="13" customFormat="1" x14ac:dyDescent="0.3"/>
    <row r="646" s="13" customFormat="1" x14ac:dyDescent="0.3"/>
    <row r="647" s="13" customFormat="1" x14ac:dyDescent="0.3"/>
    <row r="648" s="13" customFormat="1" x14ac:dyDescent="0.3"/>
    <row r="649" s="13" customFormat="1" x14ac:dyDescent="0.3"/>
    <row r="650" s="13" customFormat="1" x14ac:dyDescent="0.3"/>
    <row r="651" s="13" customFormat="1" x14ac:dyDescent="0.3"/>
    <row r="652" s="13" customFormat="1" x14ac:dyDescent="0.3"/>
    <row r="653" s="13" customFormat="1" x14ac:dyDescent="0.3"/>
    <row r="654" s="13" customFormat="1" x14ac:dyDescent="0.3"/>
    <row r="655" s="13" customFormat="1" x14ac:dyDescent="0.3"/>
    <row r="656" s="13" customFormat="1" x14ac:dyDescent="0.3"/>
    <row r="657" s="13" customFormat="1" x14ac:dyDescent="0.3"/>
    <row r="658" s="13" customFormat="1" x14ac:dyDescent="0.3"/>
    <row r="659" s="13" customFormat="1" x14ac:dyDescent="0.3"/>
    <row r="660" s="13" customFormat="1" x14ac:dyDescent="0.3"/>
    <row r="661" s="13" customFormat="1" x14ac:dyDescent="0.3"/>
    <row r="662" s="13" customFormat="1" x14ac:dyDescent="0.3"/>
    <row r="663" s="13" customFormat="1" x14ac:dyDescent="0.3"/>
    <row r="664" s="13" customFormat="1" x14ac:dyDescent="0.3"/>
    <row r="665" s="13" customFormat="1" x14ac:dyDescent="0.3"/>
    <row r="666" s="13" customFormat="1" x14ac:dyDescent="0.3"/>
    <row r="667" s="13" customFormat="1" x14ac:dyDescent="0.3"/>
    <row r="668" s="13" customFormat="1" x14ac:dyDescent="0.3"/>
    <row r="669" s="13" customFormat="1" x14ac:dyDescent="0.3"/>
    <row r="670" s="13" customFormat="1" x14ac:dyDescent="0.3"/>
    <row r="671" s="13" customFormat="1" x14ac:dyDescent="0.3"/>
    <row r="672" s="13" customFormat="1" x14ac:dyDescent="0.3"/>
    <row r="673" s="13" customFormat="1" x14ac:dyDescent="0.3"/>
    <row r="674" s="13" customFormat="1" x14ac:dyDescent="0.3"/>
    <row r="675" s="13" customFormat="1" x14ac:dyDescent="0.3"/>
    <row r="676" s="13" customFormat="1" x14ac:dyDescent="0.3"/>
    <row r="677" s="13" customFormat="1" x14ac:dyDescent="0.3"/>
    <row r="678" s="13" customFormat="1" x14ac:dyDescent="0.3"/>
    <row r="679" s="13" customFormat="1" x14ac:dyDescent="0.3"/>
    <row r="680" s="13" customFormat="1" x14ac:dyDescent="0.3"/>
    <row r="681" s="13" customFormat="1" x14ac:dyDescent="0.3"/>
    <row r="682" s="13" customFormat="1" x14ac:dyDescent="0.3"/>
    <row r="683" s="13" customFormat="1" x14ac:dyDescent="0.3"/>
    <row r="684" s="13" customFormat="1" x14ac:dyDescent="0.3"/>
    <row r="685" s="13" customFormat="1" x14ac:dyDescent="0.3"/>
    <row r="686" s="13" customFormat="1" x14ac:dyDescent="0.3"/>
    <row r="687" s="13" customFormat="1" x14ac:dyDescent="0.3"/>
    <row r="688" s="13" customFormat="1" x14ac:dyDescent="0.3"/>
    <row r="689" s="13" customFormat="1" x14ac:dyDescent="0.3"/>
    <row r="690" s="13" customFormat="1" x14ac:dyDescent="0.3"/>
    <row r="691" s="13" customFormat="1" x14ac:dyDescent="0.3"/>
    <row r="692" s="13" customFormat="1" x14ac:dyDescent="0.3"/>
    <row r="693" s="13" customFormat="1" x14ac:dyDescent="0.3"/>
    <row r="694" s="13" customFormat="1" x14ac:dyDescent="0.3"/>
    <row r="695" s="13" customFormat="1" x14ac:dyDescent="0.3"/>
    <row r="696" s="13" customFormat="1" x14ac:dyDescent="0.3"/>
    <row r="697" s="13" customFormat="1" x14ac:dyDescent="0.3"/>
    <row r="698" s="13" customFormat="1" x14ac:dyDescent="0.3"/>
    <row r="699" s="13" customFormat="1" x14ac:dyDescent="0.3"/>
    <row r="700" s="13" customFormat="1" x14ac:dyDescent="0.3"/>
    <row r="701" s="13" customFormat="1" x14ac:dyDescent="0.3"/>
    <row r="702" s="13" customFormat="1" x14ac:dyDescent="0.3"/>
    <row r="703" s="13" customFormat="1" x14ac:dyDescent="0.3"/>
    <row r="704" s="13" customFormat="1" x14ac:dyDescent="0.3"/>
    <row r="705" s="13" customFormat="1" x14ac:dyDescent="0.3"/>
  </sheetData>
  <sheetProtection formatCells="0" formatRows="0" insertRows="0" deleteRows="0"/>
  <mergeCells count="472">
    <mergeCell ref="K93:L93"/>
    <mergeCell ref="M93:N93"/>
    <mergeCell ref="O93:P93"/>
    <mergeCell ref="Q93:R93"/>
    <mergeCell ref="K94:L94"/>
    <mergeCell ref="M94:N94"/>
    <mergeCell ref="O94:P94"/>
    <mergeCell ref="Q94:R94"/>
    <mergeCell ref="K90:L90"/>
    <mergeCell ref="M90:N90"/>
    <mergeCell ref="O90:P90"/>
    <mergeCell ref="Q90:R90"/>
    <mergeCell ref="K91:L91"/>
    <mergeCell ref="M91:N91"/>
    <mergeCell ref="O91:P91"/>
    <mergeCell ref="Q91:R91"/>
    <mergeCell ref="K92:L92"/>
    <mergeCell ref="M92:N92"/>
    <mergeCell ref="O92:P92"/>
    <mergeCell ref="Q92:R92"/>
    <mergeCell ref="B94:D94"/>
    <mergeCell ref="G90:H90"/>
    <mergeCell ref="G91:H91"/>
    <mergeCell ref="G92:H92"/>
    <mergeCell ref="G93:H93"/>
    <mergeCell ref="G94:H94"/>
    <mergeCell ref="I90:J90"/>
    <mergeCell ref="I91:J91"/>
    <mergeCell ref="I92:J92"/>
    <mergeCell ref="I93:J93"/>
    <mergeCell ref="I94:J94"/>
    <mergeCell ref="B201:E201"/>
    <mergeCell ref="F201:K201"/>
    <mergeCell ref="L201:S201"/>
    <mergeCell ref="B199:E199"/>
    <mergeCell ref="F199:K199"/>
    <mergeCell ref="L199:S199"/>
    <mergeCell ref="B200:E200"/>
    <mergeCell ref="F200:K200"/>
    <mergeCell ref="L200:S200"/>
    <mergeCell ref="B197:E197"/>
    <mergeCell ref="F197:K197"/>
    <mergeCell ref="L197:S197"/>
    <mergeCell ref="B198:E198"/>
    <mergeCell ref="F198:K198"/>
    <mergeCell ref="L198:S198"/>
    <mergeCell ref="B195:E195"/>
    <mergeCell ref="F195:K195"/>
    <mergeCell ref="L195:S195"/>
    <mergeCell ref="B196:E196"/>
    <mergeCell ref="F196:K196"/>
    <mergeCell ref="L196:S196"/>
    <mergeCell ref="B193:E193"/>
    <mergeCell ref="F193:K193"/>
    <mergeCell ref="L193:S193"/>
    <mergeCell ref="B194:E194"/>
    <mergeCell ref="F194:K194"/>
    <mergeCell ref="L194:S194"/>
    <mergeCell ref="B191:E191"/>
    <mergeCell ref="F191:K191"/>
    <mergeCell ref="L191:S191"/>
    <mergeCell ref="B192:E192"/>
    <mergeCell ref="F192:K192"/>
    <mergeCell ref="L192:S192"/>
    <mergeCell ref="B189:E189"/>
    <mergeCell ref="F189:K189"/>
    <mergeCell ref="L189:S189"/>
    <mergeCell ref="B190:E190"/>
    <mergeCell ref="F190:K190"/>
    <mergeCell ref="L190:S190"/>
    <mergeCell ref="G183:K183"/>
    <mergeCell ref="L183:M183"/>
    <mergeCell ref="N183:R183"/>
    <mergeCell ref="B186:S187"/>
    <mergeCell ref="B188:E188"/>
    <mergeCell ref="F188:K188"/>
    <mergeCell ref="L188:S188"/>
    <mergeCell ref="B185:S185"/>
    <mergeCell ref="B175:D175"/>
    <mergeCell ref="G175:I175"/>
    <mergeCell ref="M175:Q175"/>
    <mergeCell ref="B177:S177"/>
    <mergeCell ref="G181:K181"/>
    <mergeCell ref="L181:M181"/>
    <mergeCell ref="N181:R181"/>
    <mergeCell ref="G182:K182"/>
    <mergeCell ref="L182:M182"/>
    <mergeCell ref="N182:R182"/>
    <mergeCell ref="G180:K180"/>
    <mergeCell ref="L180:M180"/>
    <mergeCell ref="N180:R180"/>
    <mergeCell ref="B173:D173"/>
    <mergeCell ref="G173:I173"/>
    <mergeCell ref="M173:Q173"/>
    <mergeCell ref="B174:D174"/>
    <mergeCell ref="G174:I174"/>
    <mergeCell ref="M174:Q174"/>
    <mergeCell ref="B171:D171"/>
    <mergeCell ref="G171:I171"/>
    <mergeCell ref="M171:Q171"/>
    <mergeCell ref="B172:D172"/>
    <mergeCell ref="G172:I172"/>
    <mergeCell ref="M172:Q172"/>
    <mergeCell ref="B169:D169"/>
    <mergeCell ref="G169:I169"/>
    <mergeCell ref="M169:Q169"/>
    <mergeCell ref="B170:D170"/>
    <mergeCell ref="G170:I170"/>
    <mergeCell ref="M170:Q170"/>
    <mergeCell ref="B167:D167"/>
    <mergeCell ref="G167:I167"/>
    <mergeCell ref="M167:Q167"/>
    <mergeCell ref="B168:D168"/>
    <mergeCell ref="G168:I168"/>
    <mergeCell ref="M168:Q168"/>
    <mergeCell ref="B165:D165"/>
    <mergeCell ref="G165:I165"/>
    <mergeCell ref="M165:Q165"/>
    <mergeCell ref="B166:D166"/>
    <mergeCell ref="G166:I166"/>
    <mergeCell ref="M166:Q166"/>
    <mergeCell ref="B163:D163"/>
    <mergeCell ref="G163:I163"/>
    <mergeCell ref="M163:Q163"/>
    <mergeCell ref="B164:D164"/>
    <mergeCell ref="G164:I164"/>
    <mergeCell ref="M164:Q164"/>
    <mergeCell ref="B161:D161"/>
    <mergeCell ref="G161:I161"/>
    <mergeCell ref="M161:Q161"/>
    <mergeCell ref="B162:D162"/>
    <mergeCell ref="G162:I162"/>
    <mergeCell ref="M162:Q162"/>
    <mergeCell ref="B159:D159"/>
    <mergeCell ref="G159:I159"/>
    <mergeCell ref="M159:Q159"/>
    <mergeCell ref="B160:D160"/>
    <mergeCell ref="G160:I160"/>
    <mergeCell ref="M160:Q160"/>
    <mergeCell ref="B157:D157"/>
    <mergeCell ref="G157:I157"/>
    <mergeCell ref="M157:Q157"/>
    <mergeCell ref="B158:D158"/>
    <mergeCell ref="G158:I158"/>
    <mergeCell ref="M158:Q158"/>
    <mergeCell ref="B155:D155"/>
    <mergeCell ref="G155:I155"/>
    <mergeCell ref="M155:Q155"/>
    <mergeCell ref="B156:D156"/>
    <mergeCell ref="G156:I156"/>
    <mergeCell ref="M156:Q156"/>
    <mergeCell ref="B153:D153"/>
    <mergeCell ref="G153:I153"/>
    <mergeCell ref="M153:Q153"/>
    <mergeCell ref="B154:D154"/>
    <mergeCell ref="G154:I154"/>
    <mergeCell ref="M154:Q154"/>
    <mergeCell ref="B151:D151"/>
    <mergeCell ref="G151:I151"/>
    <mergeCell ref="M151:Q151"/>
    <mergeCell ref="B152:D152"/>
    <mergeCell ref="G152:I152"/>
    <mergeCell ref="M152:Q152"/>
    <mergeCell ref="B149:D149"/>
    <mergeCell ref="G149:I149"/>
    <mergeCell ref="M149:Q149"/>
    <mergeCell ref="B150:D150"/>
    <mergeCell ref="G150:I150"/>
    <mergeCell ref="M150:Q150"/>
    <mergeCell ref="B147:D147"/>
    <mergeCell ref="G147:I147"/>
    <mergeCell ref="M147:Q147"/>
    <mergeCell ref="B148:D148"/>
    <mergeCell ref="G148:I148"/>
    <mergeCell ref="M148:Q148"/>
    <mergeCell ref="B145:D145"/>
    <mergeCell ref="G145:I145"/>
    <mergeCell ref="M145:Q145"/>
    <mergeCell ref="B146:D146"/>
    <mergeCell ref="G146:I146"/>
    <mergeCell ref="M146:Q146"/>
    <mergeCell ref="B143:D143"/>
    <mergeCell ref="G143:I143"/>
    <mergeCell ref="M143:Q143"/>
    <mergeCell ref="B144:D144"/>
    <mergeCell ref="G144:I144"/>
    <mergeCell ref="M144:Q144"/>
    <mergeCell ref="B141:D141"/>
    <mergeCell ref="G141:I141"/>
    <mergeCell ref="M141:Q141"/>
    <mergeCell ref="B142:D142"/>
    <mergeCell ref="G142:I142"/>
    <mergeCell ref="M142:Q142"/>
    <mergeCell ref="B139:D139"/>
    <mergeCell ref="G139:I139"/>
    <mergeCell ref="M139:Q139"/>
    <mergeCell ref="B140:D140"/>
    <mergeCell ref="G140:I140"/>
    <mergeCell ref="M140:Q140"/>
    <mergeCell ref="B137:D137"/>
    <mergeCell ref="G137:I137"/>
    <mergeCell ref="M137:Q137"/>
    <mergeCell ref="B138:D138"/>
    <mergeCell ref="G138:I138"/>
    <mergeCell ref="M138:Q138"/>
    <mergeCell ref="B135:D135"/>
    <mergeCell ref="G135:I135"/>
    <mergeCell ref="M135:Q135"/>
    <mergeCell ref="B136:D136"/>
    <mergeCell ref="G136:I136"/>
    <mergeCell ref="M136:Q136"/>
    <mergeCell ref="B133:D133"/>
    <mergeCell ref="G133:I133"/>
    <mergeCell ref="M133:Q133"/>
    <mergeCell ref="B134:D134"/>
    <mergeCell ref="G134:I134"/>
    <mergeCell ref="M134:Q134"/>
    <mergeCell ref="B131:D131"/>
    <mergeCell ref="G131:I131"/>
    <mergeCell ref="M131:Q131"/>
    <mergeCell ref="B132:D132"/>
    <mergeCell ref="G132:I132"/>
    <mergeCell ref="M132:Q132"/>
    <mergeCell ref="B129:D129"/>
    <mergeCell ref="G129:I129"/>
    <mergeCell ref="M129:Q129"/>
    <mergeCell ref="B130:D130"/>
    <mergeCell ref="G130:I130"/>
    <mergeCell ref="M130:Q130"/>
    <mergeCell ref="B127:D127"/>
    <mergeCell ref="G127:I127"/>
    <mergeCell ref="M127:Q127"/>
    <mergeCell ref="B128:D128"/>
    <mergeCell ref="G128:I128"/>
    <mergeCell ref="M128:Q128"/>
    <mergeCell ref="B125:D125"/>
    <mergeCell ref="G125:I125"/>
    <mergeCell ref="M125:Q125"/>
    <mergeCell ref="B126:D126"/>
    <mergeCell ref="G126:I126"/>
    <mergeCell ref="M126:Q126"/>
    <mergeCell ref="B123:D123"/>
    <mergeCell ref="G123:I123"/>
    <mergeCell ref="M123:Q123"/>
    <mergeCell ref="B124:D124"/>
    <mergeCell ref="G124:I124"/>
    <mergeCell ref="M124:Q124"/>
    <mergeCell ref="B121:D121"/>
    <mergeCell ref="G121:I121"/>
    <mergeCell ref="M121:Q121"/>
    <mergeCell ref="B122:D122"/>
    <mergeCell ref="G122:I122"/>
    <mergeCell ref="M122:Q122"/>
    <mergeCell ref="B119:D119"/>
    <mergeCell ref="G119:I119"/>
    <mergeCell ref="M119:Q119"/>
    <mergeCell ref="B120:D120"/>
    <mergeCell ref="G120:I120"/>
    <mergeCell ref="M120:Q120"/>
    <mergeCell ref="B109:S109"/>
    <mergeCell ref="B116:S116"/>
    <mergeCell ref="B117:D117"/>
    <mergeCell ref="G117:I117"/>
    <mergeCell ref="M117:Q117"/>
    <mergeCell ref="B118:D118"/>
    <mergeCell ref="G118:I118"/>
    <mergeCell ref="M118:Q118"/>
    <mergeCell ref="B103:S103"/>
    <mergeCell ref="B104:S104"/>
    <mergeCell ref="B105:S105"/>
    <mergeCell ref="B106:S106"/>
    <mergeCell ref="B107:S107"/>
    <mergeCell ref="B108:S108"/>
    <mergeCell ref="B97:S97"/>
    <mergeCell ref="B98:S98"/>
    <mergeCell ref="B99:S99"/>
    <mergeCell ref="B100:S100"/>
    <mergeCell ref="B101:S101"/>
    <mergeCell ref="B102:S102"/>
    <mergeCell ref="Q89:R89"/>
    <mergeCell ref="B95:D95"/>
    <mergeCell ref="G95:H95"/>
    <mergeCell ref="I95:J95"/>
    <mergeCell ref="K95:L95"/>
    <mergeCell ref="M95:N95"/>
    <mergeCell ref="O95:P95"/>
    <mergeCell ref="Q95:R95"/>
    <mergeCell ref="B89:D89"/>
    <mergeCell ref="G89:H89"/>
    <mergeCell ref="I89:J89"/>
    <mergeCell ref="K89:L89"/>
    <mergeCell ref="M89:N89"/>
    <mergeCell ref="O89:P89"/>
    <mergeCell ref="B90:D90"/>
    <mergeCell ref="B91:D91"/>
    <mergeCell ref="B92:D92"/>
    <mergeCell ref="B93:D93"/>
    <mergeCell ref="Q87:R87"/>
    <mergeCell ref="B88:D88"/>
    <mergeCell ref="G88:H88"/>
    <mergeCell ref="I88:J88"/>
    <mergeCell ref="K88:L88"/>
    <mergeCell ref="M88:N88"/>
    <mergeCell ref="O88:P88"/>
    <mergeCell ref="Q88:R88"/>
    <mergeCell ref="B87:D87"/>
    <mergeCell ref="G87:H87"/>
    <mergeCell ref="I87:J87"/>
    <mergeCell ref="K87:L87"/>
    <mergeCell ref="M87:N87"/>
    <mergeCell ref="O87:P87"/>
    <mergeCell ref="Q85:R85"/>
    <mergeCell ref="B86:D86"/>
    <mergeCell ref="G86:H86"/>
    <mergeCell ref="I86:J86"/>
    <mergeCell ref="K86:L86"/>
    <mergeCell ref="M86:N86"/>
    <mergeCell ref="O86:P86"/>
    <mergeCell ref="Q86:R86"/>
    <mergeCell ref="B85:D85"/>
    <mergeCell ref="G85:H85"/>
    <mergeCell ref="I85:J85"/>
    <mergeCell ref="K85:L85"/>
    <mergeCell ref="M85:N85"/>
    <mergeCell ref="O85:P85"/>
    <mergeCell ref="Q83:R83"/>
    <mergeCell ref="B84:D84"/>
    <mergeCell ref="G84:H84"/>
    <mergeCell ref="I84:J84"/>
    <mergeCell ref="K84:L84"/>
    <mergeCell ref="M84:N84"/>
    <mergeCell ref="O84:P84"/>
    <mergeCell ref="Q84:R84"/>
    <mergeCell ref="B83:D83"/>
    <mergeCell ref="G83:H83"/>
    <mergeCell ref="I83:J83"/>
    <mergeCell ref="K83:L83"/>
    <mergeCell ref="M83:N83"/>
    <mergeCell ref="O83:P83"/>
    <mergeCell ref="Q81:R81"/>
    <mergeCell ref="B82:D82"/>
    <mergeCell ref="G82:H82"/>
    <mergeCell ref="I82:J82"/>
    <mergeCell ref="K82:L82"/>
    <mergeCell ref="M82:N82"/>
    <mergeCell ref="O82:P82"/>
    <mergeCell ref="Q82:R82"/>
    <mergeCell ref="B81:D81"/>
    <mergeCell ref="G81:H81"/>
    <mergeCell ref="I81:J81"/>
    <mergeCell ref="K81:L81"/>
    <mergeCell ref="M81:N81"/>
    <mergeCell ref="O81:P81"/>
    <mergeCell ref="Q79:R79"/>
    <mergeCell ref="B80:D80"/>
    <mergeCell ref="G80:H80"/>
    <mergeCell ref="I80:J80"/>
    <mergeCell ref="K80:L80"/>
    <mergeCell ref="M80:N80"/>
    <mergeCell ref="O80:P80"/>
    <mergeCell ref="Q80:R80"/>
    <mergeCell ref="B79:D79"/>
    <mergeCell ref="G79:H79"/>
    <mergeCell ref="I79:J79"/>
    <mergeCell ref="K79:L79"/>
    <mergeCell ref="M79:N79"/>
    <mergeCell ref="O79:P79"/>
    <mergeCell ref="Q77:R77"/>
    <mergeCell ref="B78:D78"/>
    <mergeCell ref="G78:H78"/>
    <mergeCell ref="I78:J78"/>
    <mergeCell ref="K78:L78"/>
    <mergeCell ref="M78:N78"/>
    <mergeCell ref="O78:P78"/>
    <mergeCell ref="Q78:R78"/>
    <mergeCell ref="B77:D77"/>
    <mergeCell ref="G77:H77"/>
    <mergeCell ref="I77:J77"/>
    <mergeCell ref="K77:L77"/>
    <mergeCell ref="M77:N77"/>
    <mergeCell ref="O77:P77"/>
    <mergeCell ref="B51:S51"/>
    <mergeCell ref="B52:S60"/>
    <mergeCell ref="B64:S64"/>
    <mergeCell ref="B75:S75"/>
    <mergeCell ref="B47:N47"/>
    <mergeCell ref="O47:S47"/>
    <mergeCell ref="B48:N48"/>
    <mergeCell ref="O48:S48"/>
    <mergeCell ref="B49:N49"/>
    <mergeCell ref="O49:S49"/>
    <mergeCell ref="B65:S73"/>
    <mergeCell ref="B44:N44"/>
    <mergeCell ref="O44:S44"/>
    <mergeCell ref="B45:N45"/>
    <mergeCell ref="O45:S45"/>
    <mergeCell ref="B46:N46"/>
    <mergeCell ref="O46:S46"/>
    <mergeCell ref="B41:N41"/>
    <mergeCell ref="O41:S41"/>
    <mergeCell ref="B42:N42"/>
    <mergeCell ref="O42:S42"/>
    <mergeCell ref="B43:N43"/>
    <mergeCell ref="O43:S43"/>
    <mergeCell ref="B36:N36"/>
    <mergeCell ref="O36:S36"/>
    <mergeCell ref="B38:S38"/>
    <mergeCell ref="B39:N39"/>
    <mergeCell ref="O39:S39"/>
    <mergeCell ref="B40:N40"/>
    <mergeCell ref="O40:S40"/>
    <mergeCell ref="B33:N33"/>
    <mergeCell ref="O33:S33"/>
    <mergeCell ref="B34:N34"/>
    <mergeCell ref="O34:S34"/>
    <mergeCell ref="B35:N35"/>
    <mergeCell ref="O35:S35"/>
    <mergeCell ref="O31:S31"/>
    <mergeCell ref="B32:N32"/>
    <mergeCell ref="O32:S32"/>
    <mergeCell ref="B27:N27"/>
    <mergeCell ref="O27:S27"/>
    <mergeCell ref="B28:N28"/>
    <mergeCell ref="O28:S28"/>
    <mergeCell ref="B29:N29"/>
    <mergeCell ref="O29:S29"/>
    <mergeCell ref="G23:K23"/>
    <mergeCell ref="O23:S23"/>
    <mergeCell ref="M10:O10"/>
    <mergeCell ref="M11:O11"/>
    <mergeCell ref="M12:O12"/>
    <mergeCell ref="P12:S12"/>
    <mergeCell ref="P11:S11"/>
    <mergeCell ref="P10:S10"/>
    <mergeCell ref="E12:L12"/>
    <mergeCell ref="E11:L11"/>
    <mergeCell ref="E10:L10"/>
    <mergeCell ref="B25:S25"/>
    <mergeCell ref="B26:N26"/>
    <mergeCell ref="O26:S26"/>
    <mergeCell ref="B19:D19"/>
    <mergeCell ref="G179:K179"/>
    <mergeCell ref="L179:M179"/>
    <mergeCell ref="N179:R179"/>
    <mergeCell ref="B62:S62"/>
    <mergeCell ref="Q4:R4"/>
    <mergeCell ref="G19:K19"/>
    <mergeCell ref="O19:S19"/>
    <mergeCell ref="B21:D21"/>
    <mergeCell ref="G21:K21"/>
    <mergeCell ref="O21:S21"/>
    <mergeCell ref="B30:N30"/>
    <mergeCell ref="O30:S30"/>
    <mergeCell ref="B31:N31"/>
    <mergeCell ref="B13:D13"/>
    <mergeCell ref="E13:S13"/>
    <mergeCell ref="B15:S15"/>
    <mergeCell ref="B17:D17"/>
    <mergeCell ref="G17:K17"/>
    <mergeCell ref="O17:S17"/>
    <mergeCell ref="B23:D23"/>
    <mergeCell ref="Q3:R3"/>
    <mergeCell ref="Q2:R2"/>
    <mergeCell ref="D3:E3"/>
    <mergeCell ref="D2:E2"/>
    <mergeCell ref="F3:G3"/>
    <mergeCell ref="F2:G2"/>
    <mergeCell ref="B10:D10"/>
    <mergeCell ref="B11:D11"/>
    <mergeCell ref="B12:D12"/>
    <mergeCell ref="B7:S7"/>
    <mergeCell ref="B9:S9"/>
  </mergeCells>
  <conditionalFormatting sqref="L118">
    <cfRule type="cellIs" dxfId="185" priority="178" operator="equal">
      <formula>"???"</formula>
    </cfRule>
    <cfRule type="cellIs" dxfId="184" priority="179" operator="equal">
      <formula>"""TBD"""</formula>
    </cfRule>
  </conditionalFormatting>
  <conditionalFormatting sqref="L118">
    <cfRule type="expression" dxfId="183" priority="186">
      <formula>AND(OR(#REF!="Non commencé",#REF!="En cours",#REF!="En attente",#REF!=""),$L118&lt;TODAY())</formula>
    </cfRule>
  </conditionalFormatting>
  <conditionalFormatting sqref="L119">
    <cfRule type="cellIs" dxfId="182" priority="175" operator="equal">
      <formula>"???"</formula>
    </cfRule>
    <cfRule type="cellIs" dxfId="181" priority="176" operator="equal">
      <formula>"""TBD"""</formula>
    </cfRule>
  </conditionalFormatting>
  <conditionalFormatting sqref="L119">
    <cfRule type="expression" dxfId="180" priority="177">
      <formula>AND(OR(#REF!="Non commencé",#REF!="En cours",#REF!="En attente",#REF!=""),$L119&lt;TODAY())</formula>
    </cfRule>
  </conditionalFormatting>
  <conditionalFormatting sqref="L120">
    <cfRule type="cellIs" dxfId="179" priority="172" operator="equal">
      <formula>"???"</formula>
    </cfRule>
    <cfRule type="cellIs" dxfId="178" priority="173" operator="equal">
      <formula>"""TBD"""</formula>
    </cfRule>
  </conditionalFormatting>
  <conditionalFormatting sqref="L120">
    <cfRule type="expression" dxfId="177" priority="174">
      <formula>AND(OR(#REF!="Non commencé",#REF!="En cours",#REF!="En attente",#REF!=""),$L120&lt;TODAY())</formula>
    </cfRule>
  </conditionalFormatting>
  <conditionalFormatting sqref="L121">
    <cfRule type="cellIs" dxfId="176" priority="169" operator="equal">
      <formula>"???"</formula>
    </cfRule>
    <cfRule type="cellIs" dxfId="175" priority="170" operator="equal">
      <formula>"""TBD"""</formula>
    </cfRule>
  </conditionalFormatting>
  <conditionalFormatting sqref="L121">
    <cfRule type="expression" dxfId="174" priority="171">
      <formula>AND(OR(#REF!="Non commencé",#REF!="En cours",#REF!="En attente",#REF!=""),$L121&lt;TODAY())</formula>
    </cfRule>
  </conditionalFormatting>
  <conditionalFormatting sqref="L122">
    <cfRule type="cellIs" dxfId="173" priority="166" operator="equal">
      <formula>"???"</formula>
    </cfRule>
    <cfRule type="cellIs" dxfId="172" priority="167" operator="equal">
      <formula>"""TBD"""</formula>
    </cfRule>
  </conditionalFormatting>
  <conditionalFormatting sqref="L122">
    <cfRule type="expression" dxfId="171" priority="168">
      <formula>AND(OR(#REF!="Non commencé",#REF!="En cours",#REF!="En attente",#REF!=""),$L122&lt;TODAY())</formula>
    </cfRule>
  </conditionalFormatting>
  <conditionalFormatting sqref="L123">
    <cfRule type="cellIs" dxfId="170" priority="163" operator="equal">
      <formula>"???"</formula>
    </cfRule>
    <cfRule type="cellIs" dxfId="169" priority="164" operator="equal">
      <formula>"""TBD"""</formula>
    </cfRule>
  </conditionalFormatting>
  <conditionalFormatting sqref="L123">
    <cfRule type="expression" dxfId="168" priority="165">
      <formula>AND(OR(#REF!="Non commencé",#REF!="En cours",#REF!="En attente",#REF!=""),$L123&lt;TODAY())</formula>
    </cfRule>
  </conditionalFormatting>
  <conditionalFormatting sqref="L124">
    <cfRule type="cellIs" dxfId="167" priority="160" operator="equal">
      <formula>"???"</formula>
    </cfRule>
    <cfRule type="cellIs" dxfId="166" priority="161" operator="equal">
      <formula>"""TBD"""</formula>
    </cfRule>
  </conditionalFormatting>
  <conditionalFormatting sqref="L124">
    <cfRule type="expression" dxfId="165" priority="162">
      <formula>AND(OR(#REF!="Non commencé",#REF!="En cours",#REF!="En attente",#REF!=""),$L124&lt;TODAY())</formula>
    </cfRule>
  </conditionalFormatting>
  <conditionalFormatting sqref="L125">
    <cfRule type="cellIs" dxfId="164" priority="157" operator="equal">
      <formula>"???"</formula>
    </cfRule>
    <cfRule type="cellIs" dxfId="163" priority="158" operator="equal">
      <formula>"""TBD"""</formula>
    </cfRule>
  </conditionalFormatting>
  <conditionalFormatting sqref="L125">
    <cfRule type="expression" dxfId="162" priority="159">
      <formula>AND(OR(#REF!="Non commencé",#REF!="En cours",#REF!="En attente",#REF!=""),$L125&lt;TODAY())</formula>
    </cfRule>
  </conditionalFormatting>
  <conditionalFormatting sqref="L126">
    <cfRule type="cellIs" dxfId="161" priority="154" operator="equal">
      <formula>"???"</formula>
    </cfRule>
    <cfRule type="cellIs" dxfId="160" priority="155" operator="equal">
      <formula>"""TBD"""</formula>
    </cfRule>
  </conditionalFormatting>
  <conditionalFormatting sqref="L126">
    <cfRule type="expression" dxfId="159" priority="156">
      <formula>AND(OR(#REF!="Non commencé",#REF!="En cours",#REF!="En attente",#REF!=""),$L126&lt;TODAY())</formula>
    </cfRule>
  </conditionalFormatting>
  <conditionalFormatting sqref="L127">
    <cfRule type="cellIs" dxfId="158" priority="151" operator="equal">
      <formula>"???"</formula>
    </cfRule>
    <cfRule type="cellIs" dxfId="157" priority="152" operator="equal">
      <formula>"""TBD"""</formula>
    </cfRule>
  </conditionalFormatting>
  <conditionalFormatting sqref="L127">
    <cfRule type="expression" dxfId="156" priority="153">
      <formula>AND(OR(#REF!="Non commencé",#REF!="En cours",#REF!="En attente",#REF!=""),$L127&lt;TODAY())</formula>
    </cfRule>
  </conditionalFormatting>
  <conditionalFormatting sqref="L128">
    <cfRule type="cellIs" dxfId="155" priority="148" operator="equal">
      <formula>"???"</formula>
    </cfRule>
    <cfRule type="cellIs" dxfId="154" priority="149" operator="equal">
      <formula>"""TBD"""</formula>
    </cfRule>
  </conditionalFormatting>
  <conditionalFormatting sqref="L128">
    <cfRule type="expression" dxfId="153" priority="150">
      <formula>AND(OR(#REF!="Non commencé",#REF!="En cours",#REF!="En attente",#REF!=""),$L128&lt;TODAY())</formula>
    </cfRule>
  </conditionalFormatting>
  <conditionalFormatting sqref="L129">
    <cfRule type="cellIs" dxfId="152" priority="145" operator="equal">
      <formula>"???"</formula>
    </cfRule>
    <cfRule type="cellIs" dxfId="151" priority="146" operator="equal">
      <formula>"""TBD"""</formula>
    </cfRule>
  </conditionalFormatting>
  <conditionalFormatting sqref="L129">
    <cfRule type="expression" dxfId="150" priority="147">
      <formula>AND(OR(#REF!="Non commencé",#REF!="En cours",#REF!="En attente",#REF!=""),$L129&lt;TODAY())</formula>
    </cfRule>
  </conditionalFormatting>
  <conditionalFormatting sqref="L130">
    <cfRule type="cellIs" dxfId="149" priority="142" operator="equal">
      <formula>"???"</formula>
    </cfRule>
    <cfRule type="cellIs" dxfId="148" priority="143" operator="equal">
      <formula>"""TBD"""</formula>
    </cfRule>
  </conditionalFormatting>
  <conditionalFormatting sqref="L130">
    <cfRule type="expression" dxfId="147" priority="144">
      <formula>AND(OR(#REF!="Non commencé",#REF!="En cours",#REF!="En attente",#REF!=""),$L130&lt;TODAY())</formula>
    </cfRule>
  </conditionalFormatting>
  <conditionalFormatting sqref="L131">
    <cfRule type="cellIs" dxfId="146" priority="139" operator="equal">
      <formula>"???"</formula>
    </cfRule>
    <cfRule type="cellIs" dxfId="145" priority="140" operator="equal">
      <formula>"""TBD"""</formula>
    </cfRule>
  </conditionalFormatting>
  <conditionalFormatting sqref="L131">
    <cfRule type="expression" dxfId="144" priority="141">
      <formula>AND(OR(#REF!="Non commencé",#REF!="En cours",#REF!="En attente",#REF!=""),$L131&lt;TODAY())</formula>
    </cfRule>
  </conditionalFormatting>
  <conditionalFormatting sqref="L132">
    <cfRule type="cellIs" dxfId="143" priority="136" operator="equal">
      <formula>"???"</formula>
    </cfRule>
    <cfRule type="cellIs" dxfId="142" priority="137" operator="equal">
      <formula>"""TBD"""</formula>
    </cfRule>
  </conditionalFormatting>
  <conditionalFormatting sqref="L132">
    <cfRule type="expression" dxfId="141" priority="138">
      <formula>AND(OR(#REF!="Non commencé",#REF!="En cours",#REF!="En attente",#REF!=""),$L132&lt;TODAY())</formula>
    </cfRule>
  </conditionalFormatting>
  <conditionalFormatting sqref="L133">
    <cfRule type="cellIs" dxfId="140" priority="133" operator="equal">
      <formula>"???"</formula>
    </cfRule>
    <cfRule type="cellIs" dxfId="139" priority="134" operator="equal">
      <formula>"""TBD"""</formula>
    </cfRule>
  </conditionalFormatting>
  <conditionalFormatting sqref="L133">
    <cfRule type="expression" dxfId="138" priority="135">
      <formula>AND(OR(#REF!="Non commencé",#REF!="En cours",#REF!="En attente",#REF!=""),$L133&lt;TODAY())</formula>
    </cfRule>
  </conditionalFormatting>
  <conditionalFormatting sqref="L134">
    <cfRule type="cellIs" dxfId="137" priority="130" operator="equal">
      <formula>"???"</formula>
    </cfRule>
    <cfRule type="cellIs" dxfId="136" priority="131" operator="equal">
      <formula>"""TBD"""</formula>
    </cfRule>
  </conditionalFormatting>
  <conditionalFormatting sqref="L134">
    <cfRule type="expression" dxfId="135" priority="132">
      <formula>AND(OR(#REF!="Non commencé",#REF!="En cours",#REF!="En attente",#REF!=""),$L134&lt;TODAY())</formula>
    </cfRule>
  </conditionalFormatting>
  <conditionalFormatting sqref="L135">
    <cfRule type="cellIs" dxfId="134" priority="127" operator="equal">
      <formula>"???"</formula>
    </cfRule>
    <cfRule type="cellIs" dxfId="133" priority="128" operator="equal">
      <formula>"""TBD"""</formula>
    </cfRule>
  </conditionalFormatting>
  <conditionalFormatting sqref="L135">
    <cfRule type="expression" dxfId="132" priority="129">
      <formula>AND(OR(#REF!="Non commencé",#REF!="En cours",#REF!="En attente",#REF!=""),$L135&lt;TODAY())</formula>
    </cfRule>
  </conditionalFormatting>
  <conditionalFormatting sqref="L136">
    <cfRule type="cellIs" dxfId="131" priority="124" operator="equal">
      <formula>"???"</formula>
    </cfRule>
    <cfRule type="cellIs" dxfId="130" priority="125" operator="equal">
      <formula>"""TBD"""</formula>
    </cfRule>
  </conditionalFormatting>
  <conditionalFormatting sqref="L136">
    <cfRule type="expression" dxfId="129" priority="126">
      <formula>AND(OR(#REF!="Non commencé",#REF!="En cours",#REF!="En attente",#REF!=""),$L136&lt;TODAY())</formula>
    </cfRule>
  </conditionalFormatting>
  <conditionalFormatting sqref="L137">
    <cfRule type="cellIs" dxfId="128" priority="121" operator="equal">
      <formula>"???"</formula>
    </cfRule>
    <cfRule type="cellIs" dxfId="127" priority="122" operator="equal">
      <formula>"""TBD"""</formula>
    </cfRule>
  </conditionalFormatting>
  <conditionalFormatting sqref="L137">
    <cfRule type="expression" dxfId="126" priority="123">
      <formula>AND(OR(#REF!="Non commencé",#REF!="En cours",#REF!="En attente",#REF!=""),$L137&lt;TODAY())</formula>
    </cfRule>
  </conditionalFormatting>
  <conditionalFormatting sqref="L138">
    <cfRule type="cellIs" dxfId="125" priority="118" operator="equal">
      <formula>"???"</formula>
    </cfRule>
    <cfRule type="cellIs" dxfId="124" priority="119" operator="equal">
      <formula>"""TBD"""</formula>
    </cfRule>
  </conditionalFormatting>
  <conditionalFormatting sqref="L138">
    <cfRule type="expression" dxfId="123" priority="120">
      <formula>AND(OR(#REF!="Non commencé",#REF!="En cours",#REF!="En attente",#REF!=""),$L138&lt;TODAY())</formula>
    </cfRule>
  </conditionalFormatting>
  <conditionalFormatting sqref="L139">
    <cfRule type="cellIs" dxfId="122" priority="115" operator="equal">
      <formula>"???"</formula>
    </cfRule>
    <cfRule type="cellIs" dxfId="121" priority="116" operator="equal">
      <formula>"""TBD"""</formula>
    </cfRule>
  </conditionalFormatting>
  <conditionalFormatting sqref="L139">
    <cfRule type="expression" dxfId="120" priority="117">
      <formula>AND(OR(#REF!="Non commencé",#REF!="En cours",#REF!="En attente",#REF!=""),$L139&lt;TODAY())</formula>
    </cfRule>
  </conditionalFormatting>
  <conditionalFormatting sqref="L140">
    <cfRule type="cellIs" dxfId="119" priority="112" operator="equal">
      <formula>"???"</formula>
    </cfRule>
    <cfRule type="cellIs" dxfId="118" priority="113" operator="equal">
      <formula>"""TBD"""</formula>
    </cfRule>
  </conditionalFormatting>
  <conditionalFormatting sqref="L140">
    <cfRule type="expression" dxfId="117" priority="114">
      <formula>AND(OR(#REF!="Non commencé",#REF!="En cours",#REF!="En attente",#REF!=""),$L140&lt;TODAY())</formula>
    </cfRule>
  </conditionalFormatting>
  <conditionalFormatting sqref="L141">
    <cfRule type="cellIs" dxfId="116" priority="109" operator="equal">
      <formula>"???"</formula>
    </cfRule>
    <cfRule type="cellIs" dxfId="115" priority="110" operator="equal">
      <formula>"""TBD"""</formula>
    </cfRule>
  </conditionalFormatting>
  <conditionalFormatting sqref="L141">
    <cfRule type="expression" dxfId="114" priority="111">
      <formula>AND(OR(#REF!="Non commencé",#REF!="En cours",#REF!="En attente",#REF!=""),$L141&lt;TODAY())</formula>
    </cfRule>
  </conditionalFormatting>
  <conditionalFormatting sqref="L142">
    <cfRule type="cellIs" dxfId="113" priority="106" operator="equal">
      <formula>"???"</formula>
    </cfRule>
    <cfRule type="cellIs" dxfId="112" priority="107" operator="equal">
      <formula>"""TBD"""</formula>
    </cfRule>
  </conditionalFormatting>
  <conditionalFormatting sqref="L142">
    <cfRule type="expression" dxfId="111" priority="108">
      <formula>AND(OR(#REF!="Non commencé",#REF!="En cours",#REF!="En attente",#REF!=""),$L142&lt;TODAY())</formula>
    </cfRule>
  </conditionalFormatting>
  <conditionalFormatting sqref="L143">
    <cfRule type="cellIs" dxfId="110" priority="103" operator="equal">
      <formula>"???"</formula>
    </cfRule>
    <cfRule type="cellIs" dxfId="109" priority="104" operator="equal">
      <formula>"""TBD"""</formula>
    </cfRule>
  </conditionalFormatting>
  <conditionalFormatting sqref="L143">
    <cfRule type="expression" dxfId="108" priority="105">
      <formula>AND(OR(#REF!="Non commencé",#REF!="En cours",#REF!="En attente",#REF!=""),$L143&lt;TODAY())</formula>
    </cfRule>
  </conditionalFormatting>
  <conditionalFormatting sqref="L144">
    <cfRule type="cellIs" dxfId="107" priority="100" operator="equal">
      <formula>"???"</formula>
    </cfRule>
    <cfRule type="cellIs" dxfId="106" priority="101" operator="equal">
      <formula>"""TBD"""</formula>
    </cfRule>
  </conditionalFormatting>
  <conditionalFormatting sqref="L144">
    <cfRule type="expression" dxfId="105" priority="102">
      <formula>AND(OR(#REF!="Non commencé",#REF!="En cours",#REF!="En attente",#REF!=""),$L144&lt;TODAY())</formula>
    </cfRule>
  </conditionalFormatting>
  <conditionalFormatting sqref="L145">
    <cfRule type="cellIs" dxfId="104" priority="97" operator="equal">
      <formula>"???"</formula>
    </cfRule>
    <cfRule type="cellIs" dxfId="103" priority="98" operator="equal">
      <formula>"""TBD"""</formula>
    </cfRule>
  </conditionalFormatting>
  <conditionalFormatting sqref="L145">
    <cfRule type="expression" dxfId="102" priority="99">
      <formula>AND(OR(#REF!="Non commencé",#REF!="En cours",#REF!="En attente",#REF!=""),$L145&lt;TODAY())</formula>
    </cfRule>
  </conditionalFormatting>
  <conditionalFormatting sqref="L146">
    <cfRule type="cellIs" dxfId="101" priority="94" operator="equal">
      <formula>"???"</formula>
    </cfRule>
    <cfRule type="cellIs" dxfId="100" priority="95" operator="equal">
      <formula>"""TBD"""</formula>
    </cfRule>
  </conditionalFormatting>
  <conditionalFormatting sqref="L146">
    <cfRule type="expression" dxfId="99" priority="96">
      <formula>AND(OR(#REF!="Non commencé",#REF!="En cours",#REF!="En attente",#REF!=""),$L146&lt;TODAY())</formula>
    </cfRule>
  </conditionalFormatting>
  <conditionalFormatting sqref="L147">
    <cfRule type="cellIs" dxfId="98" priority="91" operator="equal">
      <formula>"???"</formula>
    </cfRule>
    <cfRule type="cellIs" dxfId="97" priority="92" operator="equal">
      <formula>"""TBD"""</formula>
    </cfRule>
  </conditionalFormatting>
  <conditionalFormatting sqref="L147">
    <cfRule type="expression" dxfId="96" priority="93">
      <formula>AND(OR(#REF!="Non commencé",#REF!="En cours",#REF!="En attente",#REF!=""),$L147&lt;TODAY())</formula>
    </cfRule>
  </conditionalFormatting>
  <conditionalFormatting sqref="L148">
    <cfRule type="cellIs" dxfId="95" priority="88" operator="equal">
      <formula>"???"</formula>
    </cfRule>
    <cfRule type="cellIs" dxfId="94" priority="89" operator="equal">
      <formula>"""TBD"""</formula>
    </cfRule>
  </conditionalFormatting>
  <conditionalFormatting sqref="L148">
    <cfRule type="expression" dxfId="93" priority="90">
      <formula>AND(OR(#REF!="Non commencé",#REF!="En cours",#REF!="En attente",#REF!=""),$L148&lt;TODAY())</formula>
    </cfRule>
  </conditionalFormatting>
  <conditionalFormatting sqref="L149">
    <cfRule type="cellIs" dxfId="92" priority="85" operator="equal">
      <formula>"???"</formula>
    </cfRule>
    <cfRule type="cellIs" dxfId="91" priority="86" operator="equal">
      <formula>"""TBD"""</formula>
    </cfRule>
  </conditionalFormatting>
  <conditionalFormatting sqref="L149">
    <cfRule type="expression" dxfId="90" priority="87">
      <formula>AND(OR(#REF!="Non commencé",#REF!="En cours",#REF!="En attente",#REF!=""),$L149&lt;TODAY())</formula>
    </cfRule>
  </conditionalFormatting>
  <conditionalFormatting sqref="L150">
    <cfRule type="cellIs" dxfId="89" priority="82" operator="equal">
      <formula>"???"</formula>
    </cfRule>
    <cfRule type="cellIs" dxfId="88" priority="83" operator="equal">
      <formula>"""TBD"""</formula>
    </cfRule>
  </conditionalFormatting>
  <conditionalFormatting sqref="L150">
    <cfRule type="expression" dxfId="87" priority="84">
      <formula>AND(OR(#REF!="Non commencé",#REF!="En cours",#REF!="En attente",#REF!=""),$L150&lt;TODAY())</formula>
    </cfRule>
  </conditionalFormatting>
  <conditionalFormatting sqref="L151">
    <cfRule type="cellIs" dxfId="86" priority="79" operator="equal">
      <formula>"???"</formula>
    </cfRule>
    <cfRule type="cellIs" dxfId="85" priority="80" operator="equal">
      <formula>"""TBD"""</formula>
    </cfRule>
  </conditionalFormatting>
  <conditionalFormatting sqref="L151">
    <cfRule type="expression" dxfId="84" priority="81">
      <formula>AND(OR(#REF!="Non commencé",#REF!="En cours",#REF!="En attente",#REF!=""),$L151&lt;TODAY())</formula>
    </cfRule>
  </conditionalFormatting>
  <conditionalFormatting sqref="L152">
    <cfRule type="cellIs" dxfId="83" priority="76" operator="equal">
      <formula>"???"</formula>
    </cfRule>
    <cfRule type="cellIs" dxfId="82" priority="77" operator="equal">
      <formula>"""TBD"""</formula>
    </cfRule>
  </conditionalFormatting>
  <conditionalFormatting sqref="L152">
    <cfRule type="expression" dxfId="81" priority="78">
      <formula>AND(OR(#REF!="Non commencé",#REF!="En cours",#REF!="En attente",#REF!=""),$L152&lt;TODAY())</formula>
    </cfRule>
  </conditionalFormatting>
  <conditionalFormatting sqref="L153">
    <cfRule type="cellIs" dxfId="80" priority="73" operator="equal">
      <formula>"???"</formula>
    </cfRule>
    <cfRule type="cellIs" dxfId="79" priority="74" operator="equal">
      <formula>"""TBD"""</formula>
    </cfRule>
  </conditionalFormatting>
  <conditionalFormatting sqref="L153">
    <cfRule type="expression" dxfId="78" priority="75">
      <formula>AND(OR(#REF!="Non commencé",#REF!="En cours",#REF!="En attente",#REF!=""),$L153&lt;TODAY())</formula>
    </cfRule>
  </conditionalFormatting>
  <conditionalFormatting sqref="L154">
    <cfRule type="cellIs" dxfId="77" priority="70" operator="equal">
      <formula>"???"</formula>
    </cfRule>
    <cfRule type="cellIs" dxfId="76" priority="71" operator="equal">
      <formula>"""TBD"""</formula>
    </cfRule>
  </conditionalFormatting>
  <conditionalFormatting sqref="L154">
    <cfRule type="expression" dxfId="75" priority="72">
      <formula>AND(OR(#REF!="Non commencé",#REF!="En cours",#REF!="En attente",#REF!=""),$L154&lt;TODAY())</formula>
    </cfRule>
  </conditionalFormatting>
  <conditionalFormatting sqref="L155">
    <cfRule type="cellIs" dxfId="74" priority="67" operator="equal">
      <formula>"???"</formula>
    </cfRule>
    <cfRule type="cellIs" dxfId="73" priority="68" operator="equal">
      <formula>"""TBD"""</formula>
    </cfRule>
  </conditionalFormatting>
  <conditionalFormatting sqref="L155">
    <cfRule type="expression" dxfId="72" priority="69">
      <formula>AND(OR(#REF!="Non commencé",#REF!="En cours",#REF!="En attente",#REF!=""),$L155&lt;TODAY())</formula>
    </cfRule>
  </conditionalFormatting>
  <conditionalFormatting sqref="L156">
    <cfRule type="cellIs" dxfId="71" priority="64" operator="equal">
      <formula>"???"</formula>
    </cfRule>
    <cfRule type="cellIs" dxfId="70" priority="65" operator="equal">
      <formula>"""TBD"""</formula>
    </cfRule>
  </conditionalFormatting>
  <conditionalFormatting sqref="L156">
    <cfRule type="expression" dxfId="69" priority="66">
      <formula>AND(OR(#REF!="Non commencé",#REF!="En cours",#REF!="En attente",#REF!=""),$L156&lt;TODAY())</formula>
    </cfRule>
  </conditionalFormatting>
  <conditionalFormatting sqref="L157">
    <cfRule type="cellIs" dxfId="68" priority="61" operator="equal">
      <formula>"???"</formula>
    </cfRule>
    <cfRule type="cellIs" dxfId="67" priority="62" operator="equal">
      <formula>"""TBD"""</formula>
    </cfRule>
  </conditionalFormatting>
  <conditionalFormatting sqref="L157">
    <cfRule type="expression" dxfId="66" priority="63">
      <formula>AND(OR(#REF!="Non commencé",#REF!="En cours",#REF!="En attente",#REF!=""),$L157&lt;TODAY())</formula>
    </cfRule>
  </conditionalFormatting>
  <conditionalFormatting sqref="L158">
    <cfRule type="cellIs" dxfId="65" priority="58" operator="equal">
      <formula>"???"</formula>
    </cfRule>
    <cfRule type="cellIs" dxfId="64" priority="59" operator="equal">
      <formula>"""TBD"""</formula>
    </cfRule>
  </conditionalFormatting>
  <conditionalFormatting sqref="L158">
    <cfRule type="expression" dxfId="63" priority="60">
      <formula>AND(OR(#REF!="Non commencé",#REF!="En cours",#REF!="En attente",#REF!=""),$L158&lt;TODAY())</formula>
    </cfRule>
  </conditionalFormatting>
  <conditionalFormatting sqref="L159">
    <cfRule type="cellIs" dxfId="62" priority="55" operator="equal">
      <formula>"???"</formula>
    </cfRule>
    <cfRule type="cellIs" dxfId="61" priority="56" operator="equal">
      <formula>"""TBD"""</formula>
    </cfRule>
  </conditionalFormatting>
  <conditionalFormatting sqref="L159">
    <cfRule type="expression" dxfId="60" priority="57">
      <formula>AND(OR(#REF!="Non commencé",#REF!="En cours",#REF!="En attente",#REF!=""),$L159&lt;TODAY())</formula>
    </cfRule>
  </conditionalFormatting>
  <conditionalFormatting sqref="L160">
    <cfRule type="cellIs" dxfId="59" priority="52" operator="equal">
      <formula>"???"</formula>
    </cfRule>
    <cfRule type="cellIs" dxfId="58" priority="53" operator="equal">
      <formula>"""TBD"""</formula>
    </cfRule>
  </conditionalFormatting>
  <conditionalFormatting sqref="L160">
    <cfRule type="expression" dxfId="57" priority="54">
      <formula>AND(OR(#REF!="Non commencé",#REF!="En cours",#REF!="En attente",#REF!=""),$L160&lt;TODAY())</formula>
    </cfRule>
  </conditionalFormatting>
  <conditionalFormatting sqref="L161">
    <cfRule type="cellIs" dxfId="56" priority="49" operator="equal">
      <formula>"???"</formula>
    </cfRule>
    <cfRule type="cellIs" dxfId="55" priority="50" operator="equal">
      <formula>"""TBD"""</formula>
    </cfRule>
  </conditionalFormatting>
  <conditionalFormatting sqref="L161">
    <cfRule type="expression" dxfId="54" priority="51">
      <formula>AND(OR(#REF!="Non commencé",#REF!="En cours",#REF!="En attente",#REF!=""),$L161&lt;TODAY())</formula>
    </cfRule>
  </conditionalFormatting>
  <conditionalFormatting sqref="L162">
    <cfRule type="cellIs" dxfId="53" priority="46" operator="equal">
      <formula>"???"</formula>
    </cfRule>
    <cfRule type="cellIs" dxfId="52" priority="47" operator="equal">
      <formula>"""TBD"""</formula>
    </cfRule>
  </conditionalFormatting>
  <conditionalFormatting sqref="L162">
    <cfRule type="expression" dxfId="51" priority="48">
      <formula>AND(OR(#REF!="Non commencé",#REF!="En cours",#REF!="En attente",#REF!=""),$L162&lt;TODAY())</formula>
    </cfRule>
  </conditionalFormatting>
  <conditionalFormatting sqref="L163">
    <cfRule type="cellIs" dxfId="50" priority="43" operator="equal">
      <formula>"???"</formula>
    </cfRule>
    <cfRule type="cellIs" dxfId="49" priority="44" operator="equal">
      <formula>"""TBD"""</formula>
    </cfRule>
  </conditionalFormatting>
  <conditionalFormatting sqref="L163">
    <cfRule type="expression" dxfId="48" priority="45">
      <formula>AND(OR(#REF!="Non commencé",#REF!="En cours",#REF!="En attente",#REF!=""),$L163&lt;TODAY())</formula>
    </cfRule>
  </conditionalFormatting>
  <conditionalFormatting sqref="L164">
    <cfRule type="cellIs" dxfId="47" priority="40" operator="equal">
      <formula>"???"</formula>
    </cfRule>
    <cfRule type="cellIs" dxfId="46" priority="41" operator="equal">
      <formula>"""TBD"""</formula>
    </cfRule>
  </conditionalFormatting>
  <conditionalFormatting sqref="L164">
    <cfRule type="expression" dxfId="45" priority="42">
      <formula>AND(OR(#REF!="Non commencé",#REF!="En cours",#REF!="En attente",#REF!=""),$L164&lt;TODAY())</formula>
    </cfRule>
  </conditionalFormatting>
  <conditionalFormatting sqref="L165">
    <cfRule type="cellIs" dxfId="44" priority="37" operator="equal">
      <formula>"???"</formula>
    </cfRule>
    <cfRule type="cellIs" dxfId="43" priority="38" operator="equal">
      <formula>"""TBD"""</formula>
    </cfRule>
  </conditionalFormatting>
  <conditionalFormatting sqref="L165">
    <cfRule type="expression" dxfId="42" priority="39">
      <formula>AND(OR(#REF!="Non commencé",#REF!="En cours",#REF!="En attente",#REF!=""),$L165&lt;TODAY())</formula>
    </cfRule>
  </conditionalFormatting>
  <conditionalFormatting sqref="L166">
    <cfRule type="cellIs" dxfId="41" priority="34" operator="equal">
      <formula>"???"</formula>
    </cfRule>
    <cfRule type="cellIs" dxfId="40" priority="35" operator="equal">
      <formula>"""TBD"""</formula>
    </cfRule>
  </conditionalFormatting>
  <conditionalFormatting sqref="L166">
    <cfRule type="expression" dxfId="39" priority="36">
      <formula>AND(OR(#REF!="Non commencé",#REF!="En cours",#REF!="En attente",#REF!=""),$L166&lt;TODAY())</formula>
    </cfRule>
  </conditionalFormatting>
  <conditionalFormatting sqref="L167">
    <cfRule type="cellIs" dxfId="38" priority="31" operator="equal">
      <formula>"???"</formula>
    </cfRule>
    <cfRule type="cellIs" dxfId="37" priority="32" operator="equal">
      <formula>"""TBD"""</formula>
    </cfRule>
  </conditionalFormatting>
  <conditionalFormatting sqref="L167">
    <cfRule type="expression" dxfId="36" priority="33">
      <formula>AND(OR(#REF!="Non commencé",#REF!="En cours",#REF!="En attente",#REF!=""),$L167&lt;TODAY())</formula>
    </cfRule>
  </conditionalFormatting>
  <conditionalFormatting sqref="L168">
    <cfRule type="cellIs" dxfId="35" priority="28" operator="equal">
      <formula>"???"</formula>
    </cfRule>
    <cfRule type="cellIs" dxfId="34" priority="29" operator="equal">
      <formula>"""TBD"""</formula>
    </cfRule>
  </conditionalFormatting>
  <conditionalFormatting sqref="L168">
    <cfRule type="expression" dxfId="33" priority="30">
      <formula>AND(OR(#REF!="Non commencé",#REF!="En cours",#REF!="En attente",#REF!=""),$L168&lt;TODAY())</formula>
    </cfRule>
  </conditionalFormatting>
  <conditionalFormatting sqref="L169">
    <cfRule type="cellIs" dxfId="32" priority="25" operator="equal">
      <formula>"???"</formula>
    </cfRule>
    <cfRule type="cellIs" dxfId="31" priority="26" operator="equal">
      <formula>"""TBD"""</formula>
    </cfRule>
  </conditionalFormatting>
  <conditionalFormatting sqref="L169">
    <cfRule type="expression" dxfId="30" priority="27">
      <formula>AND(OR(#REF!="Non commencé",#REF!="En cours",#REF!="En attente",#REF!=""),$L169&lt;TODAY())</formula>
    </cfRule>
  </conditionalFormatting>
  <conditionalFormatting sqref="L170">
    <cfRule type="cellIs" dxfId="29" priority="22" operator="equal">
      <formula>"???"</formula>
    </cfRule>
    <cfRule type="cellIs" dxfId="28" priority="23" operator="equal">
      <formula>"""TBD"""</formula>
    </cfRule>
  </conditionalFormatting>
  <conditionalFormatting sqref="L170">
    <cfRule type="expression" dxfId="27" priority="24">
      <formula>AND(OR(#REF!="Non commencé",#REF!="En cours",#REF!="En attente",#REF!=""),$L170&lt;TODAY())</formula>
    </cfRule>
  </conditionalFormatting>
  <conditionalFormatting sqref="L171">
    <cfRule type="cellIs" dxfId="26" priority="19" operator="equal">
      <formula>"???"</formula>
    </cfRule>
    <cfRule type="cellIs" dxfId="25" priority="20" operator="equal">
      <formula>"""TBD"""</formula>
    </cfRule>
  </conditionalFormatting>
  <conditionalFormatting sqref="L171">
    <cfRule type="expression" dxfId="24" priority="21">
      <formula>AND(OR(#REF!="Non commencé",#REF!="En cours",#REF!="En attente",#REF!=""),$L171&lt;TODAY())</formula>
    </cfRule>
  </conditionalFormatting>
  <conditionalFormatting sqref="L172">
    <cfRule type="cellIs" dxfId="23" priority="16" operator="equal">
      <formula>"???"</formula>
    </cfRule>
    <cfRule type="cellIs" dxfId="22" priority="17" operator="equal">
      <formula>"""TBD"""</formula>
    </cfRule>
  </conditionalFormatting>
  <conditionalFormatting sqref="L172">
    <cfRule type="expression" dxfId="21" priority="18">
      <formula>AND(OR(#REF!="Non commencé",#REF!="En cours",#REF!="En attente",#REF!=""),$L172&lt;TODAY())</formula>
    </cfRule>
  </conditionalFormatting>
  <conditionalFormatting sqref="L173">
    <cfRule type="cellIs" dxfId="20" priority="13" operator="equal">
      <formula>"???"</formula>
    </cfRule>
    <cfRule type="cellIs" dxfId="19" priority="14" operator="equal">
      <formula>"""TBD"""</formula>
    </cfRule>
  </conditionalFormatting>
  <conditionalFormatting sqref="L173">
    <cfRule type="expression" dxfId="18" priority="15">
      <formula>AND(OR(#REF!="Non commencé",#REF!="En cours",#REF!="En attente",#REF!=""),$L173&lt;TODAY())</formula>
    </cfRule>
  </conditionalFormatting>
  <conditionalFormatting sqref="L174">
    <cfRule type="cellIs" dxfId="17" priority="10" operator="equal">
      <formula>"???"</formula>
    </cfRule>
    <cfRule type="cellIs" dxfId="16" priority="11" operator="equal">
      <formula>"""TBD"""</formula>
    </cfRule>
  </conditionalFormatting>
  <conditionalFormatting sqref="L174">
    <cfRule type="expression" dxfId="15" priority="12">
      <formula>AND(OR(#REF!="Non commencé",#REF!="En cours",#REF!="En attente",#REF!=""),$L174&lt;TODAY())</formula>
    </cfRule>
  </conditionalFormatting>
  <conditionalFormatting sqref="L175">
    <cfRule type="cellIs" dxfId="14" priority="7" operator="equal">
      <formula>"???"</formula>
    </cfRule>
    <cfRule type="cellIs" dxfId="13" priority="8" operator="equal">
      <formula>"""TBD"""</formula>
    </cfRule>
  </conditionalFormatting>
  <conditionalFormatting sqref="L175">
    <cfRule type="expression" dxfId="12" priority="9">
      <formula>AND(OR(#REF!="Non commencé",#REF!="En cours",#REF!="En attente",#REF!=""),$L175&lt;TODAY())</formula>
    </cfRule>
  </conditionalFormatting>
  <conditionalFormatting sqref="E17 E21 E23 L23 L21 L17 L19">
    <cfRule type="cellIs" dxfId="11" priority="183" stopIfTrue="1" operator="equal">
      <formula>"V"</formula>
    </cfRule>
    <cfRule type="cellIs" dxfId="10" priority="184" stopIfTrue="1" operator="equal">
      <formula>"J"</formula>
    </cfRule>
    <cfRule type="cellIs" dxfId="9" priority="185" stopIfTrue="1" operator="equal">
      <formula>"R"</formula>
    </cfRule>
  </conditionalFormatting>
  <conditionalFormatting sqref="E19">
    <cfRule type="cellIs" dxfId="8" priority="1" stopIfTrue="1" operator="equal">
      <formula>"V"</formula>
    </cfRule>
    <cfRule type="cellIs" dxfId="7" priority="2" stopIfTrue="1" operator="equal">
      <formula>"J"</formula>
    </cfRule>
    <cfRule type="cellIs" dxfId="6" priority="3" stopIfTrue="1" operator="equal">
      <formula>"R"</formula>
    </cfRule>
  </conditionalFormatting>
  <dataValidations count="5">
    <dataValidation type="list" allowBlank="1" showInputMessage="1" showErrorMessage="1" sqref="J117" xr:uid="{7CF60203-1841-411E-843C-7CD47C8979F8}">
      <formula1>"Modéré"</formula1>
    </dataValidation>
    <dataValidation type="list" allowBlank="1" showInputMessage="1" showErrorMessage="1" sqref="L180:M183 GC180:GD183 PY180:PZ183 ZU180:ZV183 AJQ180:AJR183 ATM180:ATN183 BDI180:BDJ183 BNE180:BNF183 BXA180:BXB183 CGW180:CGX183 CQS180:CQT183 DAO180:DAP183 DKK180:DKL183 DUG180:DUH183 EEC180:EED183 ENY180:ENZ183 EXU180:EXV183 FHQ180:FHR183 FRM180:FRN183 GBI180:GBJ183 GLE180:GLF183 GVA180:GVB183 HEW180:HEX183 HOS180:HOT183 HYO180:HYP183 IIK180:IIL183 ISG180:ISH183 JCC180:JCD183 JLY180:JLZ183 JVU180:JVV183 KFQ180:KFR183 KPM180:KPN183 KZI180:KZJ183 LJE180:LJF183 LTA180:LTB183 MCW180:MCX183 MMS180:MMT183 MWO180:MWP183 NGK180:NGL183 NQG180:NQH183 OAC180:OAD183 OJY180:OJZ183 OTU180:OTV183 PDQ180:PDR183 PNM180:PNN183 PXI180:PXJ183 QHE180:QHF183 QRA180:QRB183 RAW180:RAX183 RKS180:RKT183 RUO180:RUP183 SEK180:SEL183 SOG180:SOH183 SYC180:SYD183 THY180:THZ183 TRU180:TRV183 UBQ180:UBR183 ULM180:ULN183 UVI180:UVJ183 VFE180:VFF183 VPA180:VPB183 VYW180:VYX183 WIS180:WIT183 WSO180:WSP183 L65696:M65699 GC65696:GD65699 PY65696:PZ65699 ZU65696:ZV65699 AJQ65696:AJR65699 ATM65696:ATN65699 BDI65696:BDJ65699 BNE65696:BNF65699 BXA65696:BXB65699 CGW65696:CGX65699 CQS65696:CQT65699 DAO65696:DAP65699 DKK65696:DKL65699 DUG65696:DUH65699 EEC65696:EED65699 ENY65696:ENZ65699 EXU65696:EXV65699 FHQ65696:FHR65699 FRM65696:FRN65699 GBI65696:GBJ65699 GLE65696:GLF65699 GVA65696:GVB65699 HEW65696:HEX65699 HOS65696:HOT65699 HYO65696:HYP65699 IIK65696:IIL65699 ISG65696:ISH65699 JCC65696:JCD65699 JLY65696:JLZ65699 JVU65696:JVV65699 KFQ65696:KFR65699 KPM65696:KPN65699 KZI65696:KZJ65699 LJE65696:LJF65699 LTA65696:LTB65699 MCW65696:MCX65699 MMS65696:MMT65699 MWO65696:MWP65699 NGK65696:NGL65699 NQG65696:NQH65699 OAC65696:OAD65699 OJY65696:OJZ65699 OTU65696:OTV65699 PDQ65696:PDR65699 PNM65696:PNN65699 PXI65696:PXJ65699 QHE65696:QHF65699 QRA65696:QRB65699 RAW65696:RAX65699 RKS65696:RKT65699 RUO65696:RUP65699 SEK65696:SEL65699 SOG65696:SOH65699 SYC65696:SYD65699 THY65696:THZ65699 TRU65696:TRV65699 UBQ65696:UBR65699 ULM65696:ULN65699 UVI65696:UVJ65699 VFE65696:VFF65699 VPA65696:VPB65699 VYW65696:VYX65699 WIS65696:WIT65699 WSO65696:WSP65699 L131232:M131235 GC131232:GD131235 PY131232:PZ131235 ZU131232:ZV131235 AJQ131232:AJR131235 ATM131232:ATN131235 BDI131232:BDJ131235 BNE131232:BNF131235 BXA131232:BXB131235 CGW131232:CGX131235 CQS131232:CQT131235 DAO131232:DAP131235 DKK131232:DKL131235 DUG131232:DUH131235 EEC131232:EED131235 ENY131232:ENZ131235 EXU131232:EXV131235 FHQ131232:FHR131235 FRM131232:FRN131235 GBI131232:GBJ131235 GLE131232:GLF131235 GVA131232:GVB131235 HEW131232:HEX131235 HOS131232:HOT131235 HYO131232:HYP131235 IIK131232:IIL131235 ISG131232:ISH131235 JCC131232:JCD131235 JLY131232:JLZ131235 JVU131232:JVV131235 KFQ131232:KFR131235 KPM131232:KPN131235 KZI131232:KZJ131235 LJE131232:LJF131235 LTA131232:LTB131235 MCW131232:MCX131235 MMS131232:MMT131235 MWO131232:MWP131235 NGK131232:NGL131235 NQG131232:NQH131235 OAC131232:OAD131235 OJY131232:OJZ131235 OTU131232:OTV131235 PDQ131232:PDR131235 PNM131232:PNN131235 PXI131232:PXJ131235 QHE131232:QHF131235 QRA131232:QRB131235 RAW131232:RAX131235 RKS131232:RKT131235 RUO131232:RUP131235 SEK131232:SEL131235 SOG131232:SOH131235 SYC131232:SYD131235 THY131232:THZ131235 TRU131232:TRV131235 UBQ131232:UBR131235 ULM131232:ULN131235 UVI131232:UVJ131235 VFE131232:VFF131235 VPA131232:VPB131235 VYW131232:VYX131235 WIS131232:WIT131235 WSO131232:WSP131235 L196768:M196771 GC196768:GD196771 PY196768:PZ196771 ZU196768:ZV196771 AJQ196768:AJR196771 ATM196768:ATN196771 BDI196768:BDJ196771 BNE196768:BNF196771 BXA196768:BXB196771 CGW196768:CGX196771 CQS196768:CQT196771 DAO196768:DAP196771 DKK196768:DKL196771 DUG196768:DUH196771 EEC196768:EED196771 ENY196768:ENZ196771 EXU196768:EXV196771 FHQ196768:FHR196771 FRM196768:FRN196771 GBI196768:GBJ196771 GLE196768:GLF196771 GVA196768:GVB196771 HEW196768:HEX196771 HOS196768:HOT196771 HYO196768:HYP196771 IIK196768:IIL196771 ISG196768:ISH196771 JCC196768:JCD196771 JLY196768:JLZ196771 JVU196768:JVV196771 KFQ196768:KFR196771 KPM196768:KPN196771 KZI196768:KZJ196771 LJE196768:LJF196771 LTA196768:LTB196771 MCW196768:MCX196771 MMS196768:MMT196771 MWO196768:MWP196771 NGK196768:NGL196771 NQG196768:NQH196771 OAC196768:OAD196771 OJY196768:OJZ196771 OTU196768:OTV196771 PDQ196768:PDR196771 PNM196768:PNN196771 PXI196768:PXJ196771 QHE196768:QHF196771 QRA196768:QRB196771 RAW196768:RAX196771 RKS196768:RKT196771 RUO196768:RUP196771 SEK196768:SEL196771 SOG196768:SOH196771 SYC196768:SYD196771 THY196768:THZ196771 TRU196768:TRV196771 UBQ196768:UBR196771 ULM196768:ULN196771 UVI196768:UVJ196771 VFE196768:VFF196771 VPA196768:VPB196771 VYW196768:VYX196771 WIS196768:WIT196771 WSO196768:WSP196771 L262304:M262307 GC262304:GD262307 PY262304:PZ262307 ZU262304:ZV262307 AJQ262304:AJR262307 ATM262304:ATN262307 BDI262304:BDJ262307 BNE262304:BNF262307 BXA262304:BXB262307 CGW262304:CGX262307 CQS262304:CQT262307 DAO262304:DAP262307 DKK262304:DKL262307 DUG262304:DUH262307 EEC262304:EED262307 ENY262304:ENZ262307 EXU262304:EXV262307 FHQ262304:FHR262307 FRM262304:FRN262307 GBI262304:GBJ262307 GLE262304:GLF262307 GVA262304:GVB262307 HEW262304:HEX262307 HOS262304:HOT262307 HYO262304:HYP262307 IIK262304:IIL262307 ISG262304:ISH262307 JCC262304:JCD262307 JLY262304:JLZ262307 JVU262304:JVV262307 KFQ262304:KFR262307 KPM262304:KPN262307 KZI262304:KZJ262307 LJE262304:LJF262307 LTA262304:LTB262307 MCW262304:MCX262307 MMS262304:MMT262307 MWO262304:MWP262307 NGK262304:NGL262307 NQG262304:NQH262307 OAC262304:OAD262307 OJY262304:OJZ262307 OTU262304:OTV262307 PDQ262304:PDR262307 PNM262304:PNN262307 PXI262304:PXJ262307 QHE262304:QHF262307 QRA262304:QRB262307 RAW262304:RAX262307 RKS262304:RKT262307 RUO262304:RUP262307 SEK262304:SEL262307 SOG262304:SOH262307 SYC262304:SYD262307 THY262304:THZ262307 TRU262304:TRV262307 UBQ262304:UBR262307 ULM262304:ULN262307 UVI262304:UVJ262307 VFE262304:VFF262307 VPA262304:VPB262307 VYW262304:VYX262307 WIS262304:WIT262307 WSO262304:WSP262307 L327840:M327843 GC327840:GD327843 PY327840:PZ327843 ZU327840:ZV327843 AJQ327840:AJR327843 ATM327840:ATN327843 BDI327840:BDJ327843 BNE327840:BNF327843 BXA327840:BXB327843 CGW327840:CGX327843 CQS327840:CQT327843 DAO327840:DAP327843 DKK327840:DKL327843 DUG327840:DUH327843 EEC327840:EED327843 ENY327840:ENZ327843 EXU327840:EXV327843 FHQ327840:FHR327843 FRM327840:FRN327843 GBI327840:GBJ327843 GLE327840:GLF327843 GVA327840:GVB327843 HEW327840:HEX327843 HOS327840:HOT327843 HYO327840:HYP327843 IIK327840:IIL327843 ISG327840:ISH327843 JCC327840:JCD327843 JLY327840:JLZ327843 JVU327840:JVV327843 KFQ327840:KFR327843 KPM327840:KPN327843 KZI327840:KZJ327843 LJE327840:LJF327843 LTA327840:LTB327843 MCW327840:MCX327843 MMS327840:MMT327843 MWO327840:MWP327843 NGK327840:NGL327843 NQG327840:NQH327843 OAC327840:OAD327843 OJY327840:OJZ327843 OTU327840:OTV327843 PDQ327840:PDR327843 PNM327840:PNN327843 PXI327840:PXJ327843 QHE327840:QHF327843 QRA327840:QRB327843 RAW327840:RAX327843 RKS327840:RKT327843 RUO327840:RUP327843 SEK327840:SEL327843 SOG327840:SOH327843 SYC327840:SYD327843 THY327840:THZ327843 TRU327840:TRV327843 UBQ327840:UBR327843 ULM327840:ULN327843 UVI327840:UVJ327843 VFE327840:VFF327843 VPA327840:VPB327843 VYW327840:VYX327843 WIS327840:WIT327843 WSO327840:WSP327843 L393376:M393379 GC393376:GD393379 PY393376:PZ393379 ZU393376:ZV393379 AJQ393376:AJR393379 ATM393376:ATN393379 BDI393376:BDJ393379 BNE393376:BNF393379 BXA393376:BXB393379 CGW393376:CGX393379 CQS393376:CQT393379 DAO393376:DAP393379 DKK393376:DKL393379 DUG393376:DUH393379 EEC393376:EED393379 ENY393376:ENZ393379 EXU393376:EXV393379 FHQ393376:FHR393379 FRM393376:FRN393379 GBI393376:GBJ393379 GLE393376:GLF393379 GVA393376:GVB393379 HEW393376:HEX393379 HOS393376:HOT393379 HYO393376:HYP393379 IIK393376:IIL393379 ISG393376:ISH393379 JCC393376:JCD393379 JLY393376:JLZ393379 JVU393376:JVV393379 KFQ393376:KFR393379 KPM393376:KPN393379 KZI393376:KZJ393379 LJE393376:LJF393379 LTA393376:LTB393379 MCW393376:MCX393379 MMS393376:MMT393379 MWO393376:MWP393379 NGK393376:NGL393379 NQG393376:NQH393379 OAC393376:OAD393379 OJY393376:OJZ393379 OTU393376:OTV393379 PDQ393376:PDR393379 PNM393376:PNN393379 PXI393376:PXJ393379 QHE393376:QHF393379 QRA393376:QRB393379 RAW393376:RAX393379 RKS393376:RKT393379 RUO393376:RUP393379 SEK393376:SEL393379 SOG393376:SOH393379 SYC393376:SYD393379 THY393376:THZ393379 TRU393376:TRV393379 UBQ393376:UBR393379 ULM393376:ULN393379 UVI393376:UVJ393379 VFE393376:VFF393379 VPA393376:VPB393379 VYW393376:VYX393379 WIS393376:WIT393379 WSO393376:WSP393379 L458912:M458915 GC458912:GD458915 PY458912:PZ458915 ZU458912:ZV458915 AJQ458912:AJR458915 ATM458912:ATN458915 BDI458912:BDJ458915 BNE458912:BNF458915 BXA458912:BXB458915 CGW458912:CGX458915 CQS458912:CQT458915 DAO458912:DAP458915 DKK458912:DKL458915 DUG458912:DUH458915 EEC458912:EED458915 ENY458912:ENZ458915 EXU458912:EXV458915 FHQ458912:FHR458915 FRM458912:FRN458915 GBI458912:GBJ458915 GLE458912:GLF458915 GVA458912:GVB458915 HEW458912:HEX458915 HOS458912:HOT458915 HYO458912:HYP458915 IIK458912:IIL458915 ISG458912:ISH458915 JCC458912:JCD458915 JLY458912:JLZ458915 JVU458912:JVV458915 KFQ458912:KFR458915 KPM458912:KPN458915 KZI458912:KZJ458915 LJE458912:LJF458915 LTA458912:LTB458915 MCW458912:MCX458915 MMS458912:MMT458915 MWO458912:MWP458915 NGK458912:NGL458915 NQG458912:NQH458915 OAC458912:OAD458915 OJY458912:OJZ458915 OTU458912:OTV458915 PDQ458912:PDR458915 PNM458912:PNN458915 PXI458912:PXJ458915 QHE458912:QHF458915 QRA458912:QRB458915 RAW458912:RAX458915 RKS458912:RKT458915 RUO458912:RUP458915 SEK458912:SEL458915 SOG458912:SOH458915 SYC458912:SYD458915 THY458912:THZ458915 TRU458912:TRV458915 UBQ458912:UBR458915 ULM458912:ULN458915 UVI458912:UVJ458915 VFE458912:VFF458915 VPA458912:VPB458915 VYW458912:VYX458915 WIS458912:WIT458915 WSO458912:WSP458915 L524448:M524451 GC524448:GD524451 PY524448:PZ524451 ZU524448:ZV524451 AJQ524448:AJR524451 ATM524448:ATN524451 BDI524448:BDJ524451 BNE524448:BNF524451 BXA524448:BXB524451 CGW524448:CGX524451 CQS524448:CQT524451 DAO524448:DAP524451 DKK524448:DKL524451 DUG524448:DUH524451 EEC524448:EED524451 ENY524448:ENZ524451 EXU524448:EXV524451 FHQ524448:FHR524451 FRM524448:FRN524451 GBI524448:GBJ524451 GLE524448:GLF524451 GVA524448:GVB524451 HEW524448:HEX524451 HOS524448:HOT524451 HYO524448:HYP524451 IIK524448:IIL524451 ISG524448:ISH524451 JCC524448:JCD524451 JLY524448:JLZ524451 JVU524448:JVV524451 KFQ524448:KFR524451 KPM524448:KPN524451 KZI524448:KZJ524451 LJE524448:LJF524451 LTA524448:LTB524451 MCW524448:MCX524451 MMS524448:MMT524451 MWO524448:MWP524451 NGK524448:NGL524451 NQG524448:NQH524451 OAC524448:OAD524451 OJY524448:OJZ524451 OTU524448:OTV524451 PDQ524448:PDR524451 PNM524448:PNN524451 PXI524448:PXJ524451 QHE524448:QHF524451 QRA524448:QRB524451 RAW524448:RAX524451 RKS524448:RKT524451 RUO524448:RUP524451 SEK524448:SEL524451 SOG524448:SOH524451 SYC524448:SYD524451 THY524448:THZ524451 TRU524448:TRV524451 UBQ524448:UBR524451 ULM524448:ULN524451 UVI524448:UVJ524451 VFE524448:VFF524451 VPA524448:VPB524451 VYW524448:VYX524451 WIS524448:WIT524451 WSO524448:WSP524451 L589984:M589987 GC589984:GD589987 PY589984:PZ589987 ZU589984:ZV589987 AJQ589984:AJR589987 ATM589984:ATN589987 BDI589984:BDJ589987 BNE589984:BNF589987 BXA589984:BXB589987 CGW589984:CGX589987 CQS589984:CQT589987 DAO589984:DAP589987 DKK589984:DKL589987 DUG589984:DUH589987 EEC589984:EED589987 ENY589984:ENZ589987 EXU589984:EXV589987 FHQ589984:FHR589987 FRM589984:FRN589987 GBI589984:GBJ589987 GLE589984:GLF589987 GVA589984:GVB589987 HEW589984:HEX589987 HOS589984:HOT589987 HYO589984:HYP589987 IIK589984:IIL589987 ISG589984:ISH589987 JCC589984:JCD589987 JLY589984:JLZ589987 JVU589984:JVV589987 KFQ589984:KFR589987 KPM589984:KPN589987 KZI589984:KZJ589987 LJE589984:LJF589987 LTA589984:LTB589987 MCW589984:MCX589987 MMS589984:MMT589987 MWO589984:MWP589987 NGK589984:NGL589987 NQG589984:NQH589987 OAC589984:OAD589987 OJY589984:OJZ589987 OTU589984:OTV589987 PDQ589984:PDR589987 PNM589984:PNN589987 PXI589984:PXJ589987 QHE589984:QHF589987 QRA589984:QRB589987 RAW589984:RAX589987 RKS589984:RKT589987 RUO589984:RUP589987 SEK589984:SEL589987 SOG589984:SOH589987 SYC589984:SYD589987 THY589984:THZ589987 TRU589984:TRV589987 UBQ589984:UBR589987 ULM589984:ULN589987 UVI589984:UVJ589987 VFE589984:VFF589987 VPA589984:VPB589987 VYW589984:VYX589987 WIS589984:WIT589987 WSO589984:WSP589987 L655520:M655523 GC655520:GD655523 PY655520:PZ655523 ZU655520:ZV655523 AJQ655520:AJR655523 ATM655520:ATN655523 BDI655520:BDJ655523 BNE655520:BNF655523 BXA655520:BXB655523 CGW655520:CGX655523 CQS655520:CQT655523 DAO655520:DAP655523 DKK655520:DKL655523 DUG655520:DUH655523 EEC655520:EED655523 ENY655520:ENZ655523 EXU655520:EXV655523 FHQ655520:FHR655523 FRM655520:FRN655523 GBI655520:GBJ655523 GLE655520:GLF655523 GVA655520:GVB655523 HEW655520:HEX655523 HOS655520:HOT655523 HYO655520:HYP655523 IIK655520:IIL655523 ISG655520:ISH655523 JCC655520:JCD655523 JLY655520:JLZ655523 JVU655520:JVV655523 KFQ655520:KFR655523 KPM655520:KPN655523 KZI655520:KZJ655523 LJE655520:LJF655523 LTA655520:LTB655523 MCW655520:MCX655523 MMS655520:MMT655523 MWO655520:MWP655523 NGK655520:NGL655523 NQG655520:NQH655523 OAC655520:OAD655523 OJY655520:OJZ655523 OTU655520:OTV655523 PDQ655520:PDR655523 PNM655520:PNN655523 PXI655520:PXJ655523 QHE655520:QHF655523 QRA655520:QRB655523 RAW655520:RAX655523 RKS655520:RKT655523 RUO655520:RUP655523 SEK655520:SEL655523 SOG655520:SOH655523 SYC655520:SYD655523 THY655520:THZ655523 TRU655520:TRV655523 UBQ655520:UBR655523 ULM655520:ULN655523 UVI655520:UVJ655523 VFE655520:VFF655523 VPA655520:VPB655523 VYW655520:VYX655523 WIS655520:WIT655523 WSO655520:WSP655523 L721056:M721059 GC721056:GD721059 PY721056:PZ721059 ZU721056:ZV721059 AJQ721056:AJR721059 ATM721056:ATN721059 BDI721056:BDJ721059 BNE721056:BNF721059 BXA721056:BXB721059 CGW721056:CGX721059 CQS721056:CQT721059 DAO721056:DAP721059 DKK721056:DKL721059 DUG721056:DUH721059 EEC721056:EED721059 ENY721056:ENZ721059 EXU721056:EXV721059 FHQ721056:FHR721059 FRM721056:FRN721059 GBI721056:GBJ721059 GLE721056:GLF721059 GVA721056:GVB721059 HEW721056:HEX721059 HOS721056:HOT721059 HYO721056:HYP721059 IIK721056:IIL721059 ISG721056:ISH721059 JCC721056:JCD721059 JLY721056:JLZ721059 JVU721056:JVV721059 KFQ721056:KFR721059 KPM721056:KPN721059 KZI721056:KZJ721059 LJE721056:LJF721059 LTA721056:LTB721059 MCW721056:MCX721059 MMS721056:MMT721059 MWO721056:MWP721059 NGK721056:NGL721059 NQG721056:NQH721059 OAC721056:OAD721059 OJY721056:OJZ721059 OTU721056:OTV721059 PDQ721056:PDR721059 PNM721056:PNN721059 PXI721056:PXJ721059 QHE721056:QHF721059 QRA721056:QRB721059 RAW721056:RAX721059 RKS721056:RKT721059 RUO721056:RUP721059 SEK721056:SEL721059 SOG721056:SOH721059 SYC721056:SYD721059 THY721056:THZ721059 TRU721056:TRV721059 UBQ721056:UBR721059 ULM721056:ULN721059 UVI721056:UVJ721059 VFE721056:VFF721059 VPA721056:VPB721059 VYW721056:VYX721059 WIS721056:WIT721059 WSO721056:WSP721059 L786592:M786595 GC786592:GD786595 PY786592:PZ786595 ZU786592:ZV786595 AJQ786592:AJR786595 ATM786592:ATN786595 BDI786592:BDJ786595 BNE786592:BNF786595 BXA786592:BXB786595 CGW786592:CGX786595 CQS786592:CQT786595 DAO786592:DAP786595 DKK786592:DKL786595 DUG786592:DUH786595 EEC786592:EED786595 ENY786592:ENZ786595 EXU786592:EXV786595 FHQ786592:FHR786595 FRM786592:FRN786595 GBI786592:GBJ786595 GLE786592:GLF786595 GVA786592:GVB786595 HEW786592:HEX786595 HOS786592:HOT786595 HYO786592:HYP786595 IIK786592:IIL786595 ISG786592:ISH786595 JCC786592:JCD786595 JLY786592:JLZ786595 JVU786592:JVV786595 KFQ786592:KFR786595 KPM786592:KPN786595 KZI786592:KZJ786595 LJE786592:LJF786595 LTA786592:LTB786595 MCW786592:MCX786595 MMS786592:MMT786595 MWO786592:MWP786595 NGK786592:NGL786595 NQG786592:NQH786595 OAC786592:OAD786595 OJY786592:OJZ786595 OTU786592:OTV786595 PDQ786592:PDR786595 PNM786592:PNN786595 PXI786592:PXJ786595 QHE786592:QHF786595 QRA786592:QRB786595 RAW786592:RAX786595 RKS786592:RKT786595 RUO786592:RUP786595 SEK786592:SEL786595 SOG786592:SOH786595 SYC786592:SYD786595 THY786592:THZ786595 TRU786592:TRV786595 UBQ786592:UBR786595 ULM786592:ULN786595 UVI786592:UVJ786595 VFE786592:VFF786595 VPA786592:VPB786595 VYW786592:VYX786595 WIS786592:WIT786595 WSO786592:WSP786595 L852128:M852131 GC852128:GD852131 PY852128:PZ852131 ZU852128:ZV852131 AJQ852128:AJR852131 ATM852128:ATN852131 BDI852128:BDJ852131 BNE852128:BNF852131 BXA852128:BXB852131 CGW852128:CGX852131 CQS852128:CQT852131 DAO852128:DAP852131 DKK852128:DKL852131 DUG852128:DUH852131 EEC852128:EED852131 ENY852128:ENZ852131 EXU852128:EXV852131 FHQ852128:FHR852131 FRM852128:FRN852131 GBI852128:GBJ852131 GLE852128:GLF852131 GVA852128:GVB852131 HEW852128:HEX852131 HOS852128:HOT852131 HYO852128:HYP852131 IIK852128:IIL852131 ISG852128:ISH852131 JCC852128:JCD852131 JLY852128:JLZ852131 JVU852128:JVV852131 KFQ852128:KFR852131 KPM852128:KPN852131 KZI852128:KZJ852131 LJE852128:LJF852131 LTA852128:LTB852131 MCW852128:MCX852131 MMS852128:MMT852131 MWO852128:MWP852131 NGK852128:NGL852131 NQG852128:NQH852131 OAC852128:OAD852131 OJY852128:OJZ852131 OTU852128:OTV852131 PDQ852128:PDR852131 PNM852128:PNN852131 PXI852128:PXJ852131 QHE852128:QHF852131 QRA852128:QRB852131 RAW852128:RAX852131 RKS852128:RKT852131 RUO852128:RUP852131 SEK852128:SEL852131 SOG852128:SOH852131 SYC852128:SYD852131 THY852128:THZ852131 TRU852128:TRV852131 UBQ852128:UBR852131 ULM852128:ULN852131 UVI852128:UVJ852131 VFE852128:VFF852131 VPA852128:VPB852131 VYW852128:VYX852131 WIS852128:WIT852131 WSO852128:WSP852131 L917664:M917667 GC917664:GD917667 PY917664:PZ917667 ZU917664:ZV917667 AJQ917664:AJR917667 ATM917664:ATN917667 BDI917664:BDJ917667 BNE917664:BNF917667 BXA917664:BXB917667 CGW917664:CGX917667 CQS917664:CQT917667 DAO917664:DAP917667 DKK917664:DKL917667 DUG917664:DUH917667 EEC917664:EED917667 ENY917664:ENZ917667 EXU917664:EXV917667 FHQ917664:FHR917667 FRM917664:FRN917667 GBI917664:GBJ917667 GLE917664:GLF917667 GVA917664:GVB917667 HEW917664:HEX917667 HOS917664:HOT917667 HYO917664:HYP917667 IIK917664:IIL917667 ISG917664:ISH917667 JCC917664:JCD917667 JLY917664:JLZ917667 JVU917664:JVV917667 KFQ917664:KFR917667 KPM917664:KPN917667 KZI917664:KZJ917667 LJE917664:LJF917667 LTA917664:LTB917667 MCW917664:MCX917667 MMS917664:MMT917667 MWO917664:MWP917667 NGK917664:NGL917667 NQG917664:NQH917667 OAC917664:OAD917667 OJY917664:OJZ917667 OTU917664:OTV917667 PDQ917664:PDR917667 PNM917664:PNN917667 PXI917664:PXJ917667 QHE917664:QHF917667 QRA917664:QRB917667 RAW917664:RAX917667 RKS917664:RKT917667 RUO917664:RUP917667 SEK917664:SEL917667 SOG917664:SOH917667 SYC917664:SYD917667 THY917664:THZ917667 TRU917664:TRV917667 UBQ917664:UBR917667 ULM917664:ULN917667 UVI917664:UVJ917667 VFE917664:VFF917667 VPA917664:VPB917667 VYW917664:VYX917667 WIS917664:WIT917667 WSO917664:WSP917667 L983200:M983203 GC983200:GD983203 PY983200:PZ983203 ZU983200:ZV983203 AJQ983200:AJR983203 ATM983200:ATN983203 BDI983200:BDJ983203 BNE983200:BNF983203 BXA983200:BXB983203 CGW983200:CGX983203 CQS983200:CQT983203 DAO983200:DAP983203 DKK983200:DKL983203 DUG983200:DUH983203 EEC983200:EED983203 ENY983200:ENZ983203 EXU983200:EXV983203 FHQ983200:FHR983203 FRM983200:FRN983203 GBI983200:GBJ983203 GLE983200:GLF983203 GVA983200:GVB983203 HEW983200:HEX983203 HOS983200:HOT983203 HYO983200:HYP983203 IIK983200:IIL983203 ISG983200:ISH983203 JCC983200:JCD983203 JLY983200:JLZ983203 JVU983200:JVV983203 KFQ983200:KFR983203 KPM983200:KPN983203 KZI983200:KZJ983203 LJE983200:LJF983203 LTA983200:LTB983203 MCW983200:MCX983203 MMS983200:MMT983203 MWO983200:MWP983203 NGK983200:NGL983203 NQG983200:NQH983203 OAC983200:OAD983203 OJY983200:OJZ983203 OTU983200:OTV983203 PDQ983200:PDR983203 PNM983200:PNN983203 PXI983200:PXJ983203 QHE983200:QHF983203 QRA983200:QRB983203 RAW983200:RAX983203 RKS983200:RKT983203 RUO983200:RUP983203 SEK983200:SEL983203 SOG983200:SOH983203 SYC983200:SYD983203 THY983200:THZ983203 TRU983200:TRV983203 UBQ983200:UBR983203 ULM983200:ULN983203 UVI983200:UVJ983203 VFE983200:VFF983203 VPA983200:VPB983203 VYW983200:VYX983203 WIS983200:WIT983203 WSO983200:WSP983203" xr:uid="{24FF37F6-202F-4D80-8F0C-98DE6ED8453A}">
      <formula1>"Stable,Augmente,Diminue "</formula1>
    </dataValidation>
    <dataValidation type="list" allowBlank="1" showInputMessage="1" showErrorMessage="1" sqref="N180:N183 GE180:GE183 QA180:QA183 ZW180:ZW183 AJS180:AJS183 ATO180:ATO183 BDK180:BDK183 BNG180:BNG183 BXC180:BXC183 CGY180:CGY183 CQU180:CQU183 DAQ180:DAQ183 DKM180:DKM183 DUI180:DUI183 EEE180:EEE183 EOA180:EOA183 EXW180:EXW183 FHS180:FHS183 FRO180:FRO183 GBK180:GBK183 GLG180:GLG183 GVC180:GVC183 HEY180:HEY183 HOU180:HOU183 HYQ180:HYQ183 IIM180:IIM183 ISI180:ISI183 JCE180:JCE183 JMA180:JMA183 JVW180:JVW183 KFS180:KFS183 KPO180:KPO183 KZK180:KZK183 LJG180:LJG183 LTC180:LTC183 MCY180:MCY183 MMU180:MMU183 MWQ180:MWQ183 NGM180:NGM183 NQI180:NQI183 OAE180:OAE183 OKA180:OKA183 OTW180:OTW183 PDS180:PDS183 PNO180:PNO183 PXK180:PXK183 QHG180:QHG183 QRC180:QRC183 RAY180:RAY183 RKU180:RKU183 RUQ180:RUQ183 SEM180:SEM183 SOI180:SOI183 SYE180:SYE183 TIA180:TIA183 TRW180:TRW183 UBS180:UBS183 ULO180:ULO183 UVK180:UVK183 VFG180:VFG183 VPC180:VPC183 VYY180:VYY183 WIU180:WIU183 WSQ180:WSQ183 N65696:N65699 GE65696:GE65699 QA65696:QA65699 ZW65696:ZW65699 AJS65696:AJS65699 ATO65696:ATO65699 BDK65696:BDK65699 BNG65696:BNG65699 BXC65696:BXC65699 CGY65696:CGY65699 CQU65696:CQU65699 DAQ65696:DAQ65699 DKM65696:DKM65699 DUI65696:DUI65699 EEE65696:EEE65699 EOA65696:EOA65699 EXW65696:EXW65699 FHS65696:FHS65699 FRO65696:FRO65699 GBK65696:GBK65699 GLG65696:GLG65699 GVC65696:GVC65699 HEY65696:HEY65699 HOU65696:HOU65699 HYQ65696:HYQ65699 IIM65696:IIM65699 ISI65696:ISI65699 JCE65696:JCE65699 JMA65696:JMA65699 JVW65696:JVW65699 KFS65696:KFS65699 KPO65696:KPO65699 KZK65696:KZK65699 LJG65696:LJG65699 LTC65696:LTC65699 MCY65696:MCY65699 MMU65696:MMU65699 MWQ65696:MWQ65699 NGM65696:NGM65699 NQI65696:NQI65699 OAE65696:OAE65699 OKA65696:OKA65699 OTW65696:OTW65699 PDS65696:PDS65699 PNO65696:PNO65699 PXK65696:PXK65699 QHG65696:QHG65699 QRC65696:QRC65699 RAY65696:RAY65699 RKU65696:RKU65699 RUQ65696:RUQ65699 SEM65696:SEM65699 SOI65696:SOI65699 SYE65696:SYE65699 TIA65696:TIA65699 TRW65696:TRW65699 UBS65696:UBS65699 ULO65696:ULO65699 UVK65696:UVK65699 VFG65696:VFG65699 VPC65696:VPC65699 VYY65696:VYY65699 WIU65696:WIU65699 WSQ65696:WSQ65699 N131232:N131235 GE131232:GE131235 QA131232:QA131235 ZW131232:ZW131235 AJS131232:AJS131235 ATO131232:ATO131235 BDK131232:BDK131235 BNG131232:BNG131235 BXC131232:BXC131235 CGY131232:CGY131235 CQU131232:CQU131235 DAQ131232:DAQ131235 DKM131232:DKM131235 DUI131232:DUI131235 EEE131232:EEE131235 EOA131232:EOA131235 EXW131232:EXW131235 FHS131232:FHS131235 FRO131232:FRO131235 GBK131232:GBK131235 GLG131232:GLG131235 GVC131232:GVC131235 HEY131232:HEY131235 HOU131232:HOU131235 HYQ131232:HYQ131235 IIM131232:IIM131235 ISI131232:ISI131235 JCE131232:JCE131235 JMA131232:JMA131235 JVW131232:JVW131235 KFS131232:KFS131235 KPO131232:KPO131235 KZK131232:KZK131235 LJG131232:LJG131235 LTC131232:LTC131235 MCY131232:MCY131235 MMU131232:MMU131235 MWQ131232:MWQ131235 NGM131232:NGM131235 NQI131232:NQI131235 OAE131232:OAE131235 OKA131232:OKA131235 OTW131232:OTW131235 PDS131232:PDS131235 PNO131232:PNO131235 PXK131232:PXK131235 QHG131232:QHG131235 QRC131232:QRC131235 RAY131232:RAY131235 RKU131232:RKU131235 RUQ131232:RUQ131235 SEM131232:SEM131235 SOI131232:SOI131235 SYE131232:SYE131235 TIA131232:TIA131235 TRW131232:TRW131235 UBS131232:UBS131235 ULO131232:ULO131235 UVK131232:UVK131235 VFG131232:VFG131235 VPC131232:VPC131235 VYY131232:VYY131235 WIU131232:WIU131235 WSQ131232:WSQ131235 N196768:N196771 GE196768:GE196771 QA196768:QA196771 ZW196768:ZW196771 AJS196768:AJS196771 ATO196768:ATO196771 BDK196768:BDK196771 BNG196768:BNG196771 BXC196768:BXC196771 CGY196768:CGY196771 CQU196768:CQU196771 DAQ196768:DAQ196771 DKM196768:DKM196771 DUI196768:DUI196771 EEE196768:EEE196771 EOA196768:EOA196771 EXW196768:EXW196771 FHS196768:FHS196771 FRO196768:FRO196771 GBK196768:GBK196771 GLG196768:GLG196771 GVC196768:GVC196771 HEY196768:HEY196771 HOU196768:HOU196771 HYQ196768:HYQ196771 IIM196768:IIM196771 ISI196768:ISI196771 JCE196768:JCE196771 JMA196768:JMA196771 JVW196768:JVW196771 KFS196768:KFS196771 KPO196768:KPO196771 KZK196768:KZK196771 LJG196768:LJG196771 LTC196768:LTC196771 MCY196768:MCY196771 MMU196768:MMU196771 MWQ196768:MWQ196771 NGM196768:NGM196771 NQI196768:NQI196771 OAE196768:OAE196771 OKA196768:OKA196771 OTW196768:OTW196771 PDS196768:PDS196771 PNO196768:PNO196771 PXK196768:PXK196771 QHG196768:QHG196771 QRC196768:QRC196771 RAY196768:RAY196771 RKU196768:RKU196771 RUQ196768:RUQ196771 SEM196768:SEM196771 SOI196768:SOI196771 SYE196768:SYE196771 TIA196768:TIA196771 TRW196768:TRW196771 UBS196768:UBS196771 ULO196768:ULO196771 UVK196768:UVK196771 VFG196768:VFG196771 VPC196768:VPC196771 VYY196768:VYY196771 WIU196768:WIU196771 WSQ196768:WSQ196771 N262304:N262307 GE262304:GE262307 QA262304:QA262307 ZW262304:ZW262307 AJS262304:AJS262307 ATO262304:ATO262307 BDK262304:BDK262307 BNG262304:BNG262307 BXC262304:BXC262307 CGY262304:CGY262307 CQU262304:CQU262307 DAQ262304:DAQ262307 DKM262304:DKM262307 DUI262304:DUI262307 EEE262304:EEE262307 EOA262304:EOA262307 EXW262304:EXW262307 FHS262304:FHS262307 FRO262304:FRO262307 GBK262304:GBK262307 GLG262304:GLG262307 GVC262304:GVC262307 HEY262304:HEY262307 HOU262304:HOU262307 HYQ262304:HYQ262307 IIM262304:IIM262307 ISI262304:ISI262307 JCE262304:JCE262307 JMA262304:JMA262307 JVW262304:JVW262307 KFS262304:KFS262307 KPO262304:KPO262307 KZK262304:KZK262307 LJG262304:LJG262307 LTC262304:LTC262307 MCY262304:MCY262307 MMU262304:MMU262307 MWQ262304:MWQ262307 NGM262304:NGM262307 NQI262304:NQI262307 OAE262304:OAE262307 OKA262304:OKA262307 OTW262304:OTW262307 PDS262304:PDS262307 PNO262304:PNO262307 PXK262304:PXK262307 QHG262304:QHG262307 QRC262304:QRC262307 RAY262304:RAY262307 RKU262304:RKU262307 RUQ262304:RUQ262307 SEM262304:SEM262307 SOI262304:SOI262307 SYE262304:SYE262307 TIA262304:TIA262307 TRW262304:TRW262307 UBS262304:UBS262307 ULO262304:ULO262307 UVK262304:UVK262307 VFG262304:VFG262307 VPC262304:VPC262307 VYY262304:VYY262307 WIU262304:WIU262307 WSQ262304:WSQ262307 N327840:N327843 GE327840:GE327843 QA327840:QA327843 ZW327840:ZW327843 AJS327840:AJS327843 ATO327840:ATO327843 BDK327840:BDK327843 BNG327840:BNG327843 BXC327840:BXC327843 CGY327840:CGY327843 CQU327840:CQU327843 DAQ327840:DAQ327843 DKM327840:DKM327843 DUI327840:DUI327843 EEE327840:EEE327843 EOA327840:EOA327843 EXW327840:EXW327843 FHS327840:FHS327843 FRO327840:FRO327843 GBK327840:GBK327843 GLG327840:GLG327843 GVC327840:GVC327843 HEY327840:HEY327843 HOU327840:HOU327843 HYQ327840:HYQ327843 IIM327840:IIM327843 ISI327840:ISI327843 JCE327840:JCE327843 JMA327840:JMA327843 JVW327840:JVW327843 KFS327840:KFS327843 KPO327840:KPO327843 KZK327840:KZK327843 LJG327840:LJG327843 LTC327840:LTC327843 MCY327840:MCY327843 MMU327840:MMU327843 MWQ327840:MWQ327843 NGM327840:NGM327843 NQI327840:NQI327843 OAE327840:OAE327843 OKA327840:OKA327843 OTW327840:OTW327843 PDS327840:PDS327843 PNO327840:PNO327843 PXK327840:PXK327843 QHG327840:QHG327843 QRC327840:QRC327843 RAY327840:RAY327843 RKU327840:RKU327843 RUQ327840:RUQ327843 SEM327840:SEM327843 SOI327840:SOI327843 SYE327840:SYE327843 TIA327840:TIA327843 TRW327840:TRW327843 UBS327840:UBS327843 ULO327840:ULO327843 UVK327840:UVK327843 VFG327840:VFG327843 VPC327840:VPC327843 VYY327840:VYY327843 WIU327840:WIU327843 WSQ327840:WSQ327843 N393376:N393379 GE393376:GE393379 QA393376:QA393379 ZW393376:ZW393379 AJS393376:AJS393379 ATO393376:ATO393379 BDK393376:BDK393379 BNG393376:BNG393379 BXC393376:BXC393379 CGY393376:CGY393379 CQU393376:CQU393379 DAQ393376:DAQ393379 DKM393376:DKM393379 DUI393376:DUI393379 EEE393376:EEE393379 EOA393376:EOA393379 EXW393376:EXW393379 FHS393376:FHS393379 FRO393376:FRO393379 GBK393376:GBK393379 GLG393376:GLG393379 GVC393376:GVC393379 HEY393376:HEY393379 HOU393376:HOU393379 HYQ393376:HYQ393379 IIM393376:IIM393379 ISI393376:ISI393379 JCE393376:JCE393379 JMA393376:JMA393379 JVW393376:JVW393379 KFS393376:KFS393379 KPO393376:KPO393379 KZK393376:KZK393379 LJG393376:LJG393379 LTC393376:LTC393379 MCY393376:MCY393379 MMU393376:MMU393379 MWQ393376:MWQ393379 NGM393376:NGM393379 NQI393376:NQI393379 OAE393376:OAE393379 OKA393376:OKA393379 OTW393376:OTW393379 PDS393376:PDS393379 PNO393376:PNO393379 PXK393376:PXK393379 QHG393376:QHG393379 QRC393376:QRC393379 RAY393376:RAY393379 RKU393376:RKU393379 RUQ393376:RUQ393379 SEM393376:SEM393379 SOI393376:SOI393379 SYE393376:SYE393379 TIA393376:TIA393379 TRW393376:TRW393379 UBS393376:UBS393379 ULO393376:ULO393379 UVK393376:UVK393379 VFG393376:VFG393379 VPC393376:VPC393379 VYY393376:VYY393379 WIU393376:WIU393379 WSQ393376:WSQ393379 N458912:N458915 GE458912:GE458915 QA458912:QA458915 ZW458912:ZW458915 AJS458912:AJS458915 ATO458912:ATO458915 BDK458912:BDK458915 BNG458912:BNG458915 BXC458912:BXC458915 CGY458912:CGY458915 CQU458912:CQU458915 DAQ458912:DAQ458915 DKM458912:DKM458915 DUI458912:DUI458915 EEE458912:EEE458915 EOA458912:EOA458915 EXW458912:EXW458915 FHS458912:FHS458915 FRO458912:FRO458915 GBK458912:GBK458915 GLG458912:GLG458915 GVC458912:GVC458915 HEY458912:HEY458915 HOU458912:HOU458915 HYQ458912:HYQ458915 IIM458912:IIM458915 ISI458912:ISI458915 JCE458912:JCE458915 JMA458912:JMA458915 JVW458912:JVW458915 KFS458912:KFS458915 KPO458912:KPO458915 KZK458912:KZK458915 LJG458912:LJG458915 LTC458912:LTC458915 MCY458912:MCY458915 MMU458912:MMU458915 MWQ458912:MWQ458915 NGM458912:NGM458915 NQI458912:NQI458915 OAE458912:OAE458915 OKA458912:OKA458915 OTW458912:OTW458915 PDS458912:PDS458915 PNO458912:PNO458915 PXK458912:PXK458915 QHG458912:QHG458915 QRC458912:QRC458915 RAY458912:RAY458915 RKU458912:RKU458915 RUQ458912:RUQ458915 SEM458912:SEM458915 SOI458912:SOI458915 SYE458912:SYE458915 TIA458912:TIA458915 TRW458912:TRW458915 UBS458912:UBS458915 ULO458912:ULO458915 UVK458912:UVK458915 VFG458912:VFG458915 VPC458912:VPC458915 VYY458912:VYY458915 WIU458912:WIU458915 WSQ458912:WSQ458915 N524448:N524451 GE524448:GE524451 QA524448:QA524451 ZW524448:ZW524451 AJS524448:AJS524451 ATO524448:ATO524451 BDK524448:BDK524451 BNG524448:BNG524451 BXC524448:BXC524451 CGY524448:CGY524451 CQU524448:CQU524451 DAQ524448:DAQ524451 DKM524448:DKM524451 DUI524448:DUI524451 EEE524448:EEE524451 EOA524448:EOA524451 EXW524448:EXW524451 FHS524448:FHS524451 FRO524448:FRO524451 GBK524448:GBK524451 GLG524448:GLG524451 GVC524448:GVC524451 HEY524448:HEY524451 HOU524448:HOU524451 HYQ524448:HYQ524451 IIM524448:IIM524451 ISI524448:ISI524451 JCE524448:JCE524451 JMA524448:JMA524451 JVW524448:JVW524451 KFS524448:KFS524451 KPO524448:KPO524451 KZK524448:KZK524451 LJG524448:LJG524451 LTC524448:LTC524451 MCY524448:MCY524451 MMU524448:MMU524451 MWQ524448:MWQ524451 NGM524448:NGM524451 NQI524448:NQI524451 OAE524448:OAE524451 OKA524448:OKA524451 OTW524448:OTW524451 PDS524448:PDS524451 PNO524448:PNO524451 PXK524448:PXK524451 QHG524448:QHG524451 QRC524448:QRC524451 RAY524448:RAY524451 RKU524448:RKU524451 RUQ524448:RUQ524451 SEM524448:SEM524451 SOI524448:SOI524451 SYE524448:SYE524451 TIA524448:TIA524451 TRW524448:TRW524451 UBS524448:UBS524451 ULO524448:ULO524451 UVK524448:UVK524451 VFG524448:VFG524451 VPC524448:VPC524451 VYY524448:VYY524451 WIU524448:WIU524451 WSQ524448:WSQ524451 N589984:N589987 GE589984:GE589987 QA589984:QA589987 ZW589984:ZW589987 AJS589984:AJS589987 ATO589984:ATO589987 BDK589984:BDK589987 BNG589984:BNG589987 BXC589984:BXC589987 CGY589984:CGY589987 CQU589984:CQU589987 DAQ589984:DAQ589987 DKM589984:DKM589987 DUI589984:DUI589987 EEE589984:EEE589987 EOA589984:EOA589987 EXW589984:EXW589987 FHS589984:FHS589987 FRO589984:FRO589987 GBK589984:GBK589987 GLG589984:GLG589987 GVC589984:GVC589987 HEY589984:HEY589987 HOU589984:HOU589987 HYQ589984:HYQ589987 IIM589984:IIM589987 ISI589984:ISI589987 JCE589984:JCE589987 JMA589984:JMA589987 JVW589984:JVW589987 KFS589984:KFS589987 KPO589984:KPO589987 KZK589984:KZK589987 LJG589984:LJG589987 LTC589984:LTC589987 MCY589984:MCY589987 MMU589984:MMU589987 MWQ589984:MWQ589987 NGM589984:NGM589987 NQI589984:NQI589987 OAE589984:OAE589987 OKA589984:OKA589987 OTW589984:OTW589987 PDS589984:PDS589987 PNO589984:PNO589987 PXK589984:PXK589987 QHG589984:QHG589987 QRC589984:QRC589987 RAY589984:RAY589987 RKU589984:RKU589987 RUQ589984:RUQ589987 SEM589984:SEM589987 SOI589984:SOI589987 SYE589984:SYE589987 TIA589984:TIA589987 TRW589984:TRW589987 UBS589984:UBS589987 ULO589984:ULO589987 UVK589984:UVK589987 VFG589984:VFG589987 VPC589984:VPC589987 VYY589984:VYY589987 WIU589984:WIU589987 WSQ589984:WSQ589987 N655520:N655523 GE655520:GE655523 QA655520:QA655523 ZW655520:ZW655523 AJS655520:AJS655523 ATO655520:ATO655523 BDK655520:BDK655523 BNG655520:BNG655523 BXC655520:BXC655523 CGY655520:CGY655523 CQU655520:CQU655523 DAQ655520:DAQ655523 DKM655520:DKM655523 DUI655520:DUI655523 EEE655520:EEE655523 EOA655520:EOA655523 EXW655520:EXW655523 FHS655520:FHS655523 FRO655520:FRO655523 GBK655520:GBK655523 GLG655520:GLG655523 GVC655520:GVC655523 HEY655520:HEY655523 HOU655520:HOU655523 HYQ655520:HYQ655523 IIM655520:IIM655523 ISI655520:ISI655523 JCE655520:JCE655523 JMA655520:JMA655523 JVW655520:JVW655523 KFS655520:KFS655523 KPO655520:KPO655523 KZK655520:KZK655523 LJG655520:LJG655523 LTC655520:LTC655523 MCY655520:MCY655523 MMU655520:MMU655523 MWQ655520:MWQ655523 NGM655520:NGM655523 NQI655520:NQI655523 OAE655520:OAE655523 OKA655520:OKA655523 OTW655520:OTW655523 PDS655520:PDS655523 PNO655520:PNO655523 PXK655520:PXK655523 QHG655520:QHG655523 QRC655520:QRC655523 RAY655520:RAY655523 RKU655520:RKU655523 RUQ655520:RUQ655523 SEM655520:SEM655523 SOI655520:SOI655523 SYE655520:SYE655523 TIA655520:TIA655523 TRW655520:TRW655523 UBS655520:UBS655523 ULO655520:ULO655523 UVK655520:UVK655523 VFG655520:VFG655523 VPC655520:VPC655523 VYY655520:VYY655523 WIU655520:WIU655523 WSQ655520:WSQ655523 N721056:N721059 GE721056:GE721059 QA721056:QA721059 ZW721056:ZW721059 AJS721056:AJS721059 ATO721056:ATO721059 BDK721056:BDK721059 BNG721056:BNG721059 BXC721056:BXC721059 CGY721056:CGY721059 CQU721056:CQU721059 DAQ721056:DAQ721059 DKM721056:DKM721059 DUI721056:DUI721059 EEE721056:EEE721059 EOA721056:EOA721059 EXW721056:EXW721059 FHS721056:FHS721059 FRO721056:FRO721059 GBK721056:GBK721059 GLG721056:GLG721059 GVC721056:GVC721059 HEY721056:HEY721059 HOU721056:HOU721059 HYQ721056:HYQ721059 IIM721056:IIM721059 ISI721056:ISI721059 JCE721056:JCE721059 JMA721056:JMA721059 JVW721056:JVW721059 KFS721056:KFS721059 KPO721056:KPO721059 KZK721056:KZK721059 LJG721056:LJG721059 LTC721056:LTC721059 MCY721056:MCY721059 MMU721056:MMU721059 MWQ721056:MWQ721059 NGM721056:NGM721059 NQI721056:NQI721059 OAE721056:OAE721059 OKA721056:OKA721059 OTW721056:OTW721059 PDS721056:PDS721059 PNO721056:PNO721059 PXK721056:PXK721059 QHG721056:QHG721059 QRC721056:QRC721059 RAY721056:RAY721059 RKU721056:RKU721059 RUQ721056:RUQ721059 SEM721056:SEM721059 SOI721056:SOI721059 SYE721056:SYE721059 TIA721056:TIA721059 TRW721056:TRW721059 UBS721056:UBS721059 ULO721056:ULO721059 UVK721056:UVK721059 VFG721056:VFG721059 VPC721056:VPC721059 VYY721056:VYY721059 WIU721056:WIU721059 WSQ721056:WSQ721059 N786592:N786595 GE786592:GE786595 QA786592:QA786595 ZW786592:ZW786595 AJS786592:AJS786595 ATO786592:ATO786595 BDK786592:BDK786595 BNG786592:BNG786595 BXC786592:BXC786595 CGY786592:CGY786595 CQU786592:CQU786595 DAQ786592:DAQ786595 DKM786592:DKM786595 DUI786592:DUI786595 EEE786592:EEE786595 EOA786592:EOA786595 EXW786592:EXW786595 FHS786592:FHS786595 FRO786592:FRO786595 GBK786592:GBK786595 GLG786592:GLG786595 GVC786592:GVC786595 HEY786592:HEY786595 HOU786592:HOU786595 HYQ786592:HYQ786595 IIM786592:IIM786595 ISI786592:ISI786595 JCE786592:JCE786595 JMA786592:JMA786595 JVW786592:JVW786595 KFS786592:KFS786595 KPO786592:KPO786595 KZK786592:KZK786595 LJG786592:LJG786595 LTC786592:LTC786595 MCY786592:MCY786595 MMU786592:MMU786595 MWQ786592:MWQ786595 NGM786592:NGM786595 NQI786592:NQI786595 OAE786592:OAE786595 OKA786592:OKA786595 OTW786592:OTW786595 PDS786592:PDS786595 PNO786592:PNO786595 PXK786592:PXK786595 QHG786592:QHG786595 QRC786592:QRC786595 RAY786592:RAY786595 RKU786592:RKU786595 RUQ786592:RUQ786595 SEM786592:SEM786595 SOI786592:SOI786595 SYE786592:SYE786595 TIA786592:TIA786595 TRW786592:TRW786595 UBS786592:UBS786595 ULO786592:ULO786595 UVK786592:UVK786595 VFG786592:VFG786595 VPC786592:VPC786595 VYY786592:VYY786595 WIU786592:WIU786595 WSQ786592:WSQ786595 N852128:N852131 GE852128:GE852131 QA852128:QA852131 ZW852128:ZW852131 AJS852128:AJS852131 ATO852128:ATO852131 BDK852128:BDK852131 BNG852128:BNG852131 BXC852128:BXC852131 CGY852128:CGY852131 CQU852128:CQU852131 DAQ852128:DAQ852131 DKM852128:DKM852131 DUI852128:DUI852131 EEE852128:EEE852131 EOA852128:EOA852131 EXW852128:EXW852131 FHS852128:FHS852131 FRO852128:FRO852131 GBK852128:GBK852131 GLG852128:GLG852131 GVC852128:GVC852131 HEY852128:HEY852131 HOU852128:HOU852131 HYQ852128:HYQ852131 IIM852128:IIM852131 ISI852128:ISI852131 JCE852128:JCE852131 JMA852128:JMA852131 JVW852128:JVW852131 KFS852128:KFS852131 KPO852128:KPO852131 KZK852128:KZK852131 LJG852128:LJG852131 LTC852128:LTC852131 MCY852128:MCY852131 MMU852128:MMU852131 MWQ852128:MWQ852131 NGM852128:NGM852131 NQI852128:NQI852131 OAE852128:OAE852131 OKA852128:OKA852131 OTW852128:OTW852131 PDS852128:PDS852131 PNO852128:PNO852131 PXK852128:PXK852131 QHG852128:QHG852131 QRC852128:QRC852131 RAY852128:RAY852131 RKU852128:RKU852131 RUQ852128:RUQ852131 SEM852128:SEM852131 SOI852128:SOI852131 SYE852128:SYE852131 TIA852128:TIA852131 TRW852128:TRW852131 UBS852128:UBS852131 ULO852128:ULO852131 UVK852128:UVK852131 VFG852128:VFG852131 VPC852128:VPC852131 VYY852128:VYY852131 WIU852128:WIU852131 WSQ852128:WSQ852131 N917664:N917667 GE917664:GE917667 QA917664:QA917667 ZW917664:ZW917667 AJS917664:AJS917667 ATO917664:ATO917667 BDK917664:BDK917667 BNG917664:BNG917667 BXC917664:BXC917667 CGY917664:CGY917667 CQU917664:CQU917667 DAQ917664:DAQ917667 DKM917664:DKM917667 DUI917664:DUI917667 EEE917664:EEE917667 EOA917664:EOA917667 EXW917664:EXW917667 FHS917664:FHS917667 FRO917664:FRO917667 GBK917664:GBK917667 GLG917664:GLG917667 GVC917664:GVC917667 HEY917664:HEY917667 HOU917664:HOU917667 HYQ917664:HYQ917667 IIM917664:IIM917667 ISI917664:ISI917667 JCE917664:JCE917667 JMA917664:JMA917667 JVW917664:JVW917667 KFS917664:KFS917667 KPO917664:KPO917667 KZK917664:KZK917667 LJG917664:LJG917667 LTC917664:LTC917667 MCY917664:MCY917667 MMU917664:MMU917667 MWQ917664:MWQ917667 NGM917664:NGM917667 NQI917664:NQI917667 OAE917664:OAE917667 OKA917664:OKA917667 OTW917664:OTW917667 PDS917664:PDS917667 PNO917664:PNO917667 PXK917664:PXK917667 QHG917664:QHG917667 QRC917664:QRC917667 RAY917664:RAY917667 RKU917664:RKU917667 RUQ917664:RUQ917667 SEM917664:SEM917667 SOI917664:SOI917667 SYE917664:SYE917667 TIA917664:TIA917667 TRW917664:TRW917667 UBS917664:UBS917667 ULO917664:ULO917667 UVK917664:UVK917667 VFG917664:VFG917667 VPC917664:VPC917667 VYY917664:VYY917667 WIU917664:WIU917667 WSQ917664:WSQ917667 N983200:N983203 GE983200:GE983203 QA983200:QA983203 ZW983200:ZW983203 AJS983200:AJS983203 ATO983200:ATO983203 BDK983200:BDK983203 BNG983200:BNG983203 BXC983200:BXC983203 CGY983200:CGY983203 CQU983200:CQU983203 DAQ983200:DAQ983203 DKM983200:DKM983203 DUI983200:DUI983203 EEE983200:EEE983203 EOA983200:EOA983203 EXW983200:EXW983203 FHS983200:FHS983203 FRO983200:FRO983203 GBK983200:GBK983203 GLG983200:GLG983203 GVC983200:GVC983203 HEY983200:HEY983203 HOU983200:HOU983203 HYQ983200:HYQ983203 IIM983200:IIM983203 ISI983200:ISI983203 JCE983200:JCE983203 JMA983200:JMA983203 JVW983200:JVW983203 KFS983200:KFS983203 KPO983200:KPO983203 KZK983200:KZK983203 LJG983200:LJG983203 LTC983200:LTC983203 MCY983200:MCY983203 MMU983200:MMU983203 MWQ983200:MWQ983203 NGM983200:NGM983203 NQI983200:NQI983203 OAE983200:OAE983203 OKA983200:OKA983203 OTW983200:OTW983203 PDS983200:PDS983203 PNO983200:PNO983203 PXK983200:PXK983203 QHG983200:QHG983203 QRC983200:QRC983203 RAY983200:RAY983203 RKU983200:RKU983203 RUQ983200:RUQ983203 SEM983200:SEM983203 SOI983200:SOI983203 SYE983200:SYE983203 TIA983200:TIA983203 TRW983200:TRW983203 UBS983200:UBS983203 ULO983200:ULO983203 UVK983200:UVK983203 VFG983200:VFG983203 VPC983200:VPC983203 VYY983200:VYY983203 WIU983200:WIU983203 WSQ983200:WSQ983203" xr:uid="{EEF6DDA7-D789-4E9A-AD89-0182EA5CDABE}">
      <formula1>"Risque ouvert,  Risque clos"</formula1>
    </dataValidation>
    <dataValidation type="list" allowBlank="1" showInputMessage="1" showErrorMessage="1" sqref="E17 FV17 PR17 ZN17 AJJ17 ATF17 BDB17 BMX17 BWT17 CGP17 CQL17 DAH17 DKD17 DTZ17 EDV17 ENR17 EXN17 FHJ17 FRF17 GBB17 GKX17 GUT17 HEP17 HOL17 HYH17 IID17 IRZ17 JBV17 JLR17 JVN17 KFJ17 KPF17 KZB17 LIX17 LST17 MCP17 MML17 MWH17 NGD17 NPZ17 NZV17 OJR17 OTN17 PDJ17 PNF17 PXB17 QGX17 QQT17 RAP17 RKL17 RUH17 SED17 SNZ17 SXV17 THR17 TRN17 UBJ17 ULF17 UVB17 VEX17 VOT17 VYP17 WIL17 WSH17 E65588 FV65588 PR65588 ZN65588 AJJ65588 ATF65588 BDB65588 BMX65588 BWT65588 CGP65588 CQL65588 DAH65588 DKD65588 DTZ65588 EDV65588 ENR65588 EXN65588 FHJ65588 FRF65588 GBB65588 GKX65588 GUT65588 HEP65588 HOL65588 HYH65588 IID65588 IRZ65588 JBV65588 JLR65588 JVN65588 KFJ65588 KPF65588 KZB65588 LIX65588 LST65588 MCP65588 MML65588 MWH65588 NGD65588 NPZ65588 NZV65588 OJR65588 OTN65588 PDJ65588 PNF65588 PXB65588 QGX65588 QQT65588 RAP65588 RKL65588 RUH65588 SED65588 SNZ65588 SXV65588 THR65588 TRN65588 UBJ65588 ULF65588 UVB65588 VEX65588 VOT65588 VYP65588 WIL65588 WSH65588 E131124 FV131124 PR131124 ZN131124 AJJ131124 ATF131124 BDB131124 BMX131124 BWT131124 CGP131124 CQL131124 DAH131124 DKD131124 DTZ131124 EDV131124 ENR131124 EXN131124 FHJ131124 FRF131124 GBB131124 GKX131124 GUT131124 HEP131124 HOL131124 HYH131124 IID131124 IRZ131124 JBV131124 JLR131124 JVN131124 KFJ131124 KPF131124 KZB131124 LIX131124 LST131124 MCP131124 MML131124 MWH131124 NGD131124 NPZ131124 NZV131124 OJR131124 OTN131124 PDJ131124 PNF131124 PXB131124 QGX131124 QQT131124 RAP131124 RKL131124 RUH131124 SED131124 SNZ131124 SXV131124 THR131124 TRN131124 UBJ131124 ULF131124 UVB131124 VEX131124 VOT131124 VYP131124 WIL131124 WSH131124 E196660 FV196660 PR196660 ZN196660 AJJ196660 ATF196660 BDB196660 BMX196660 BWT196660 CGP196660 CQL196660 DAH196660 DKD196660 DTZ196660 EDV196660 ENR196660 EXN196660 FHJ196660 FRF196660 GBB196660 GKX196660 GUT196660 HEP196660 HOL196660 HYH196660 IID196660 IRZ196660 JBV196660 JLR196660 JVN196660 KFJ196660 KPF196660 KZB196660 LIX196660 LST196660 MCP196660 MML196660 MWH196660 NGD196660 NPZ196660 NZV196660 OJR196660 OTN196660 PDJ196660 PNF196660 PXB196660 QGX196660 QQT196660 RAP196660 RKL196660 RUH196660 SED196660 SNZ196660 SXV196660 THR196660 TRN196660 UBJ196660 ULF196660 UVB196660 VEX196660 VOT196660 VYP196660 WIL196660 WSH196660 E262196 FV262196 PR262196 ZN262196 AJJ262196 ATF262196 BDB262196 BMX262196 BWT262196 CGP262196 CQL262196 DAH262196 DKD262196 DTZ262196 EDV262196 ENR262196 EXN262196 FHJ262196 FRF262196 GBB262196 GKX262196 GUT262196 HEP262196 HOL262196 HYH262196 IID262196 IRZ262196 JBV262196 JLR262196 JVN262196 KFJ262196 KPF262196 KZB262196 LIX262196 LST262196 MCP262196 MML262196 MWH262196 NGD262196 NPZ262196 NZV262196 OJR262196 OTN262196 PDJ262196 PNF262196 PXB262196 QGX262196 QQT262196 RAP262196 RKL262196 RUH262196 SED262196 SNZ262196 SXV262196 THR262196 TRN262196 UBJ262196 ULF262196 UVB262196 VEX262196 VOT262196 VYP262196 WIL262196 WSH262196 E327732 FV327732 PR327732 ZN327732 AJJ327732 ATF327732 BDB327732 BMX327732 BWT327732 CGP327732 CQL327732 DAH327732 DKD327732 DTZ327732 EDV327732 ENR327732 EXN327732 FHJ327732 FRF327732 GBB327732 GKX327732 GUT327732 HEP327732 HOL327732 HYH327732 IID327732 IRZ327732 JBV327732 JLR327732 JVN327732 KFJ327732 KPF327732 KZB327732 LIX327732 LST327732 MCP327732 MML327732 MWH327732 NGD327732 NPZ327732 NZV327732 OJR327732 OTN327732 PDJ327732 PNF327732 PXB327732 QGX327732 QQT327732 RAP327732 RKL327732 RUH327732 SED327732 SNZ327732 SXV327732 THR327732 TRN327732 UBJ327732 ULF327732 UVB327732 VEX327732 VOT327732 VYP327732 WIL327732 WSH327732 E393268 FV393268 PR393268 ZN393268 AJJ393268 ATF393268 BDB393268 BMX393268 BWT393268 CGP393268 CQL393268 DAH393268 DKD393268 DTZ393268 EDV393268 ENR393268 EXN393268 FHJ393268 FRF393268 GBB393268 GKX393268 GUT393268 HEP393268 HOL393268 HYH393268 IID393268 IRZ393268 JBV393268 JLR393268 JVN393268 KFJ393268 KPF393268 KZB393268 LIX393268 LST393268 MCP393268 MML393268 MWH393268 NGD393268 NPZ393268 NZV393268 OJR393268 OTN393268 PDJ393268 PNF393268 PXB393268 QGX393268 QQT393268 RAP393268 RKL393268 RUH393268 SED393268 SNZ393268 SXV393268 THR393268 TRN393268 UBJ393268 ULF393268 UVB393268 VEX393268 VOT393268 VYP393268 WIL393268 WSH393268 E458804 FV458804 PR458804 ZN458804 AJJ458804 ATF458804 BDB458804 BMX458804 BWT458804 CGP458804 CQL458804 DAH458804 DKD458804 DTZ458804 EDV458804 ENR458804 EXN458804 FHJ458804 FRF458804 GBB458804 GKX458804 GUT458804 HEP458804 HOL458804 HYH458804 IID458804 IRZ458804 JBV458804 JLR458804 JVN458804 KFJ458804 KPF458804 KZB458804 LIX458804 LST458804 MCP458804 MML458804 MWH458804 NGD458804 NPZ458804 NZV458804 OJR458804 OTN458804 PDJ458804 PNF458804 PXB458804 QGX458804 QQT458804 RAP458804 RKL458804 RUH458804 SED458804 SNZ458804 SXV458804 THR458804 TRN458804 UBJ458804 ULF458804 UVB458804 VEX458804 VOT458804 VYP458804 WIL458804 WSH458804 E524340 FV524340 PR524340 ZN524340 AJJ524340 ATF524340 BDB524340 BMX524340 BWT524340 CGP524340 CQL524340 DAH524340 DKD524340 DTZ524340 EDV524340 ENR524340 EXN524340 FHJ524340 FRF524340 GBB524340 GKX524340 GUT524340 HEP524340 HOL524340 HYH524340 IID524340 IRZ524340 JBV524340 JLR524340 JVN524340 KFJ524340 KPF524340 KZB524340 LIX524340 LST524340 MCP524340 MML524340 MWH524340 NGD524340 NPZ524340 NZV524340 OJR524340 OTN524340 PDJ524340 PNF524340 PXB524340 QGX524340 QQT524340 RAP524340 RKL524340 RUH524340 SED524340 SNZ524340 SXV524340 THR524340 TRN524340 UBJ524340 ULF524340 UVB524340 VEX524340 VOT524340 VYP524340 WIL524340 WSH524340 E589876 FV589876 PR589876 ZN589876 AJJ589876 ATF589876 BDB589876 BMX589876 BWT589876 CGP589876 CQL589876 DAH589876 DKD589876 DTZ589876 EDV589876 ENR589876 EXN589876 FHJ589876 FRF589876 GBB589876 GKX589876 GUT589876 HEP589876 HOL589876 HYH589876 IID589876 IRZ589876 JBV589876 JLR589876 JVN589876 KFJ589876 KPF589876 KZB589876 LIX589876 LST589876 MCP589876 MML589876 MWH589876 NGD589876 NPZ589876 NZV589876 OJR589876 OTN589876 PDJ589876 PNF589876 PXB589876 QGX589876 QQT589876 RAP589876 RKL589876 RUH589876 SED589876 SNZ589876 SXV589876 THR589876 TRN589876 UBJ589876 ULF589876 UVB589876 VEX589876 VOT589876 VYP589876 WIL589876 WSH589876 E655412 FV655412 PR655412 ZN655412 AJJ655412 ATF655412 BDB655412 BMX655412 BWT655412 CGP655412 CQL655412 DAH655412 DKD655412 DTZ655412 EDV655412 ENR655412 EXN655412 FHJ655412 FRF655412 GBB655412 GKX655412 GUT655412 HEP655412 HOL655412 HYH655412 IID655412 IRZ655412 JBV655412 JLR655412 JVN655412 KFJ655412 KPF655412 KZB655412 LIX655412 LST655412 MCP655412 MML655412 MWH655412 NGD655412 NPZ655412 NZV655412 OJR655412 OTN655412 PDJ655412 PNF655412 PXB655412 QGX655412 QQT655412 RAP655412 RKL655412 RUH655412 SED655412 SNZ655412 SXV655412 THR655412 TRN655412 UBJ655412 ULF655412 UVB655412 VEX655412 VOT655412 VYP655412 WIL655412 WSH655412 E720948 FV720948 PR720948 ZN720948 AJJ720948 ATF720948 BDB720948 BMX720948 BWT720948 CGP720948 CQL720948 DAH720948 DKD720948 DTZ720948 EDV720948 ENR720948 EXN720948 FHJ720948 FRF720948 GBB720948 GKX720948 GUT720948 HEP720948 HOL720948 HYH720948 IID720948 IRZ720948 JBV720948 JLR720948 JVN720948 KFJ720948 KPF720948 KZB720948 LIX720948 LST720948 MCP720948 MML720948 MWH720948 NGD720948 NPZ720948 NZV720948 OJR720948 OTN720948 PDJ720948 PNF720948 PXB720948 QGX720948 QQT720948 RAP720948 RKL720948 RUH720948 SED720948 SNZ720948 SXV720948 THR720948 TRN720948 UBJ720948 ULF720948 UVB720948 VEX720948 VOT720948 VYP720948 WIL720948 WSH720948 E786484 FV786484 PR786484 ZN786484 AJJ786484 ATF786484 BDB786484 BMX786484 BWT786484 CGP786484 CQL786484 DAH786484 DKD786484 DTZ786484 EDV786484 ENR786484 EXN786484 FHJ786484 FRF786484 GBB786484 GKX786484 GUT786484 HEP786484 HOL786484 HYH786484 IID786484 IRZ786484 JBV786484 JLR786484 JVN786484 KFJ786484 KPF786484 KZB786484 LIX786484 LST786484 MCP786484 MML786484 MWH786484 NGD786484 NPZ786484 NZV786484 OJR786484 OTN786484 PDJ786484 PNF786484 PXB786484 QGX786484 QQT786484 RAP786484 RKL786484 RUH786484 SED786484 SNZ786484 SXV786484 THR786484 TRN786484 UBJ786484 ULF786484 UVB786484 VEX786484 VOT786484 VYP786484 WIL786484 WSH786484 E852020 FV852020 PR852020 ZN852020 AJJ852020 ATF852020 BDB852020 BMX852020 BWT852020 CGP852020 CQL852020 DAH852020 DKD852020 DTZ852020 EDV852020 ENR852020 EXN852020 FHJ852020 FRF852020 GBB852020 GKX852020 GUT852020 HEP852020 HOL852020 HYH852020 IID852020 IRZ852020 JBV852020 JLR852020 JVN852020 KFJ852020 KPF852020 KZB852020 LIX852020 LST852020 MCP852020 MML852020 MWH852020 NGD852020 NPZ852020 NZV852020 OJR852020 OTN852020 PDJ852020 PNF852020 PXB852020 QGX852020 QQT852020 RAP852020 RKL852020 RUH852020 SED852020 SNZ852020 SXV852020 THR852020 TRN852020 UBJ852020 ULF852020 UVB852020 VEX852020 VOT852020 VYP852020 WIL852020 WSH852020 E917556 FV917556 PR917556 ZN917556 AJJ917556 ATF917556 BDB917556 BMX917556 BWT917556 CGP917556 CQL917556 DAH917556 DKD917556 DTZ917556 EDV917556 ENR917556 EXN917556 FHJ917556 FRF917556 GBB917556 GKX917556 GUT917556 HEP917556 HOL917556 HYH917556 IID917556 IRZ917556 JBV917556 JLR917556 JVN917556 KFJ917556 KPF917556 KZB917556 LIX917556 LST917556 MCP917556 MML917556 MWH917556 NGD917556 NPZ917556 NZV917556 OJR917556 OTN917556 PDJ917556 PNF917556 PXB917556 QGX917556 QQT917556 RAP917556 RKL917556 RUH917556 SED917556 SNZ917556 SXV917556 THR917556 TRN917556 UBJ917556 ULF917556 UVB917556 VEX917556 VOT917556 VYP917556 WIL917556 WSH917556 E983092 FV983092 PR983092 ZN983092 AJJ983092 ATF983092 BDB983092 BMX983092 BWT983092 CGP983092 CQL983092 DAH983092 DKD983092 DTZ983092 EDV983092 ENR983092 EXN983092 FHJ983092 FRF983092 GBB983092 GKX983092 GUT983092 HEP983092 HOL983092 HYH983092 IID983092 IRZ983092 JBV983092 JLR983092 JVN983092 KFJ983092 KPF983092 KZB983092 LIX983092 LST983092 MCP983092 MML983092 MWH983092 NGD983092 NPZ983092 NZV983092 OJR983092 OTN983092 PDJ983092 PNF983092 PXB983092 QGX983092 QQT983092 RAP983092 RKL983092 RUH983092 SED983092 SNZ983092 SXV983092 THR983092 TRN983092 UBJ983092 ULF983092 UVB983092 VEX983092 VOT983092 VYP983092 WIL983092 WSH983092 E21 FV21 PR21 ZN21 AJJ21 ATF21 BDB21 BMX21 BWT21 CGP21 CQL21 DAH21 DKD21 DTZ21 EDV21 ENR21 EXN21 FHJ21 FRF21 GBB21 GKX21 GUT21 HEP21 HOL21 HYH21 IID21 IRZ21 JBV21 JLR21 JVN21 KFJ21 KPF21 KZB21 LIX21 LST21 MCP21 MML21 MWH21 NGD21 NPZ21 NZV21 OJR21 OTN21 PDJ21 PNF21 PXB21 QGX21 QQT21 RAP21 RKL21 RUH21 SED21 SNZ21 SXV21 THR21 TRN21 UBJ21 ULF21 UVB21 VEX21 VOT21 VYP21 WIL21 WSH21 E65592 FV65592 PR65592 ZN65592 AJJ65592 ATF65592 BDB65592 BMX65592 BWT65592 CGP65592 CQL65592 DAH65592 DKD65592 DTZ65592 EDV65592 ENR65592 EXN65592 FHJ65592 FRF65592 GBB65592 GKX65592 GUT65592 HEP65592 HOL65592 HYH65592 IID65592 IRZ65592 JBV65592 JLR65592 JVN65592 KFJ65592 KPF65592 KZB65592 LIX65592 LST65592 MCP65592 MML65592 MWH65592 NGD65592 NPZ65592 NZV65592 OJR65592 OTN65592 PDJ65592 PNF65592 PXB65592 QGX65592 QQT65592 RAP65592 RKL65592 RUH65592 SED65592 SNZ65592 SXV65592 THR65592 TRN65592 UBJ65592 ULF65592 UVB65592 VEX65592 VOT65592 VYP65592 WIL65592 WSH65592 E131128 FV131128 PR131128 ZN131128 AJJ131128 ATF131128 BDB131128 BMX131128 BWT131128 CGP131128 CQL131128 DAH131128 DKD131128 DTZ131128 EDV131128 ENR131128 EXN131128 FHJ131128 FRF131128 GBB131128 GKX131128 GUT131128 HEP131128 HOL131128 HYH131128 IID131128 IRZ131128 JBV131128 JLR131128 JVN131128 KFJ131128 KPF131128 KZB131128 LIX131128 LST131128 MCP131128 MML131128 MWH131128 NGD131128 NPZ131128 NZV131128 OJR131128 OTN131128 PDJ131128 PNF131128 PXB131128 QGX131128 QQT131128 RAP131128 RKL131128 RUH131128 SED131128 SNZ131128 SXV131128 THR131128 TRN131128 UBJ131128 ULF131128 UVB131128 VEX131128 VOT131128 VYP131128 WIL131128 WSH131128 E196664 FV196664 PR196664 ZN196664 AJJ196664 ATF196664 BDB196664 BMX196664 BWT196664 CGP196664 CQL196664 DAH196664 DKD196664 DTZ196664 EDV196664 ENR196664 EXN196664 FHJ196664 FRF196664 GBB196664 GKX196664 GUT196664 HEP196664 HOL196664 HYH196664 IID196664 IRZ196664 JBV196664 JLR196664 JVN196664 KFJ196664 KPF196664 KZB196664 LIX196664 LST196664 MCP196664 MML196664 MWH196664 NGD196664 NPZ196664 NZV196664 OJR196664 OTN196664 PDJ196664 PNF196664 PXB196664 QGX196664 QQT196664 RAP196664 RKL196664 RUH196664 SED196664 SNZ196664 SXV196664 THR196664 TRN196664 UBJ196664 ULF196664 UVB196664 VEX196664 VOT196664 VYP196664 WIL196664 WSH196664 E262200 FV262200 PR262200 ZN262200 AJJ262200 ATF262200 BDB262200 BMX262200 BWT262200 CGP262200 CQL262200 DAH262200 DKD262200 DTZ262200 EDV262200 ENR262200 EXN262200 FHJ262200 FRF262200 GBB262200 GKX262200 GUT262200 HEP262200 HOL262200 HYH262200 IID262200 IRZ262200 JBV262200 JLR262200 JVN262200 KFJ262200 KPF262200 KZB262200 LIX262200 LST262200 MCP262200 MML262200 MWH262200 NGD262200 NPZ262200 NZV262200 OJR262200 OTN262200 PDJ262200 PNF262200 PXB262200 QGX262200 QQT262200 RAP262200 RKL262200 RUH262200 SED262200 SNZ262200 SXV262200 THR262200 TRN262200 UBJ262200 ULF262200 UVB262200 VEX262200 VOT262200 VYP262200 WIL262200 WSH262200 E327736 FV327736 PR327736 ZN327736 AJJ327736 ATF327736 BDB327736 BMX327736 BWT327736 CGP327736 CQL327736 DAH327736 DKD327736 DTZ327736 EDV327736 ENR327736 EXN327736 FHJ327736 FRF327736 GBB327736 GKX327736 GUT327736 HEP327736 HOL327736 HYH327736 IID327736 IRZ327736 JBV327736 JLR327736 JVN327736 KFJ327736 KPF327736 KZB327736 LIX327736 LST327736 MCP327736 MML327736 MWH327736 NGD327736 NPZ327736 NZV327736 OJR327736 OTN327736 PDJ327736 PNF327736 PXB327736 QGX327736 QQT327736 RAP327736 RKL327736 RUH327736 SED327736 SNZ327736 SXV327736 THR327736 TRN327736 UBJ327736 ULF327736 UVB327736 VEX327736 VOT327736 VYP327736 WIL327736 WSH327736 E393272 FV393272 PR393272 ZN393272 AJJ393272 ATF393272 BDB393272 BMX393272 BWT393272 CGP393272 CQL393272 DAH393272 DKD393272 DTZ393272 EDV393272 ENR393272 EXN393272 FHJ393272 FRF393272 GBB393272 GKX393272 GUT393272 HEP393272 HOL393272 HYH393272 IID393272 IRZ393272 JBV393272 JLR393272 JVN393272 KFJ393272 KPF393272 KZB393272 LIX393272 LST393272 MCP393272 MML393272 MWH393272 NGD393272 NPZ393272 NZV393272 OJR393272 OTN393272 PDJ393272 PNF393272 PXB393272 QGX393272 QQT393272 RAP393272 RKL393272 RUH393272 SED393272 SNZ393272 SXV393272 THR393272 TRN393272 UBJ393272 ULF393272 UVB393272 VEX393272 VOT393272 VYP393272 WIL393272 WSH393272 E458808 FV458808 PR458808 ZN458808 AJJ458808 ATF458808 BDB458808 BMX458808 BWT458808 CGP458808 CQL458808 DAH458808 DKD458808 DTZ458808 EDV458808 ENR458808 EXN458808 FHJ458808 FRF458808 GBB458808 GKX458808 GUT458808 HEP458808 HOL458808 HYH458808 IID458808 IRZ458808 JBV458808 JLR458808 JVN458808 KFJ458808 KPF458808 KZB458808 LIX458808 LST458808 MCP458808 MML458808 MWH458808 NGD458808 NPZ458808 NZV458808 OJR458808 OTN458808 PDJ458808 PNF458808 PXB458808 QGX458808 QQT458808 RAP458808 RKL458808 RUH458808 SED458808 SNZ458808 SXV458808 THR458808 TRN458808 UBJ458808 ULF458808 UVB458808 VEX458808 VOT458808 VYP458808 WIL458808 WSH458808 E524344 FV524344 PR524344 ZN524344 AJJ524344 ATF524344 BDB524344 BMX524344 BWT524344 CGP524344 CQL524344 DAH524344 DKD524344 DTZ524344 EDV524344 ENR524344 EXN524344 FHJ524344 FRF524344 GBB524344 GKX524344 GUT524344 HEP524344 HOL524344 HYH524344 IID524344 IRZ524344 JBV524344 JLR524344 JVN524344 KFJ524344 KPF524344 KZB524344 LIX524344 LST524344 MCP524344 MML524344 MWH524344 NGD524344 NPZ524344 NZV524344 OJR524344 OTN524344 PDJ524344 PNF524344 PXB524344 QGX524344 QQT524344 RAP524344 RKL524344 RUH524344 SED524344 SNZ524344 SXV524344 THR524344 TRN524344 UBJ524344 ULF524344 UVB524344 VEX524344 VOT524344 VYP524344 WIL524344 WSH524344 E589880 FV589880 PR589880 ZN589880 AJJ589880 ATF589880 BDB589880 BMX589880 BWT589880 CGP589880 CQL589880 DAH589880 DKD589880 DTZ589880 EDV589880 ENR589880 EXN589880 FHJ589880 FRF589880 GBB589880 GKX589880 GUT589880 HEP589880 HOL589880 HYH589880 IID589880 IRZ589880 JBV589880 JLR589880 JVN589880 KFJ589880 KPF589880 KZB589880 LIX589880 LST589880 MCP589880 MML589880 MWH589880 NGD589880 NPZ589880 NZV589880 OJR589880 OTN589880 PDJ589880 PNF589880 PXB589880 QGX589880 QQT589880 RAP589880 RKL589880 RUH589880 SED589880 SNZ589880 SXV589880 THR589880 TRN589880 UBJ589880 ULF589880 UVB589880 VEX589880 VOT589880 VYP589880 WIL589880 WSH589880 E655416 FV655416 PR655416 ZN655416 AJJ655416 ATF655416 BDB655416 BMX655416 BWT655416 CGP655416 CQL655416 DAH655416 DKD655416 DTZ655416 EDV655416 ENR655416 EXN655416 FHJ655416 FRF655416 GBB655416 GKX655416 GUT655416 HEP655416 HOL655416 HYH655416 IID655416 IRZ655416 JBV655416 JLR655416 JVN655416 KFJ655416 KPF655416 KZB655416 LIX655416 LST655416 MCP655416 MML655416 MWH655416 NGD655416 NPZ655416 NZV655416 OJR655416 OTN655416 PDJ655416 PNF655416 PXB655416 QGX655416 QQT655416 RAP655416 RKL655416 RUH655416 SED655416 SNZ655416 SXV655416 THR655416 TRN655416 UBJ655416 ULF655416 UVB655416 VEX655416 VOT655416 VYP655416 WIL655416 WSH655416 E720952 FV720952 PR720952 ZN720952 AJJ720952 ATF720952 BDB720952 BMX720952 BWT720952 CGP720952 CQL720952 DAH720952 DKD720952 DTZ720952 EDV720952 ENR720952 EXN720952 FHJ720952 FRF720952 GBB720952 GKX720952 GUT720952 HEP720952 HOL720952 HYH720952 IID720952 IRZ720952 JBV720952 JLR720952 JVN720952 KFJ720952 KPF720952 KZB720952 LIX720952 LST720952 MCP720952 MML720952 MWH720952 NGD720952 NPZ720952 NZV720952 OJR720952 OTN720952 PDJ720952 PNF720952 PXB720952 QGX720952 QQT720952 RAP720952 RKL720952 RUH720952 SED720952 SNZ720952 SXV720952 THR720952 TRN720952 UBJ720952 ULF720952 UVB720952 VEX720952 VOT720952 VYP720952 WIL720952 WSH720952 E786488 FV786488 PR786488 ZN786488 AJJ786488 ATF786488 BDB786488 BMX786488 BWT786488 CGP786488 CQL786488 DAH786488 DKD786488 DTZ786488 EDV786488 ENR786488 EXN786488 FHJ786488 FRF786488 GBB786488 GKX786488 GUT786488 HEP786488 HOL786488 HYH786488 IID786488 IRZ786488 JBV786488 JLR786488 JVN786488 KFJ786488 KPF786488 KZB786488 LIX786488 LST786488 MCP786488 MML786488 MWH786488 NGD786488 NPZ786488 NZV786488 OJR786488 OTN786488 PDJ786488 PNF786488 PXB786488 QGX786488 QQT786488 RAP786488 RKL786488 RUH786488 SED786488 SNZ786488 SXV786488 THR786488 TRN786488 UBJ786488 ULF786488 UVB786488 VEX786488 VOT786488 VYP786488 WIL786488 WSH786488 E852024 FV852024 PR852024 ZN852024 AJJ852024 ATF852024 BDB852024 BMX852024 BWT852024 CGP852024 CQL852024 DAH852024 DKD852024 DTZ852024 EDV852024 ENR852024 EXN852024 FHJ852024 FRF852024 GBB852024 GKX852024 GUT852024 HEP852024 HOL852024 HYH852024 IID852024 IRZ852024 JBV852024 JLR852024 JVN852024 KFJ852024 KPF852024 KZB852024 LIX852024 LST852024 MCP852024 MML852024 MWH852024 NGD852024 NPZ852024 NZV852024 OJR852024 OTN852024 PDJ852024 PNF852024 PXB852024 QGX852024 QQT852024 RAP852024 RKL852024 RUH852024 SED852024 SNZ852024 SXV852024 THR852024 TRN852024 UBJ852024 ULF852024 UVB852024 VEX852024 VOT852024 VYP852024 WIL852024 WSH852024 E917560 FV917560 PR917560 ZN917560 AJJ917560 ATF917560 BDB917560 BMX917560 BWT917560 CGP917560 CQL917560 DAH917560 DKD917560 DTZ917560 EDV917560 ENR917560 EXN917560 FHJ917560 FRF917560 GBB917560 GKX917560 GUT917560 HEP917560 HOL917560 HYH917560 IID917560 IRZ917560 JBV917560 JLR917560 JVN917560 KFJ917560 KPF917560 KZB917560 LIX917560 LST917560 MCP917560 MML917560 MWH917560 NGD917560 NPZ917560 NZV917560 OJR917560 OTN917560 PDJ917560 PNF917560 PXB917560 QGX917560 QQT917560 RAP917560 RKL917560 RUH917560 SED917560 SNZ917560 SXV917560 THR917560 TRN917560 UBJ917560 ULF917560 UVB917560 VEX917560 VOT917560 VYP917560 WIL917560 WSH917560 E983096 FV983096 PR983096 ZN983096 AJJ983096 ATF983096 BDB983096 BMX983096 BWT983096 CGP983096 CQL983096 DAH983096 DKD983096 DTZ983096 EDV983096 ENR983096 EXN983096 FHJ983096 FRF983096 GBB983096 GKX983096 GUT983096 HEP983096 HOL983096 HYH983096 IID983096 IRZ983096 JBV983096 JLR983096 JVN983096 KFJ983096 KPF983096 KZB983096 LIX983096 LST983096 MCP983096 MML983096 MWH983096 NGD983096 NPZ983096 NZV983096 OJR983096 OTN983096 PDJ983096 PNF983096 PXB983096 QGX983096 QQT983096 RAP983096 RKL983096 RUH983096 SED983096 SNZ983096 SXV983096 THR983096 TRN983096 UBJ983096 ULF983096 UVB983096 VEX983096 VOT983096 VYP983096 WIL983096 WSH983096 L19 GC19 PY19 ZU19 AJQ19 ATM19 BDI19 BNE19 BXA19 CGW19 CQS19 DAO19 DKK19 DUG19 EEC19 ENY19 EXU19 FHQ19 FRM19 GBI19 GLE19 GVA19 HEW19 HOS19 HYO19 IIK19 ISG19 JCC19 JLY19 JVU19 KFQ19 KPM19 KZI19 LJE19 LTA19 MCW19 MMS19 MWO19 NGK19 NQG19 OAC19 OJY19 OTU19 PDQ19 PNM19 PXI19 QHE19 QRA19 RAW19 RKS19 RUO19 SEK19 SOG19 SYC19 THY19 TRU19 UBQ19 ULM19 UVI19 VFE19 VPA19 VYW19 WIS19 WSO19 L65590 GC65590 PY65590 ZU65590 AJQ65590 ATM65590 BDI65590 BNE65590 BXA65590 CGW65590 CQS65590 DAO65590 DKK65590 DUG65590 EEC65590 ENY65590 EXU65590 FHQ65590 FRM65590 GBI65590 GLE65590 GVA65590 HEW65590 HOS65590 HYO65590 IIK65590 ISG65590 JCC65590 JLY65590 JVU65590 KFQ65590 KPM65590 KZI65590 LJE65590 LTA65590 MCW65590 MMS65590 MWO65590 NGK65590 NQG65590 OAC65590 OJY65590 OTU65590 PDQ65590 PNM65590 PXI65590 QHE65590 QRA65590 RAW65590 RKS65590 RUO65590 SEK65590 SOG65590 SYC65590 THY65590 TRU65590 UBQ65590 ULM65590 UVI65590 VFE65590 VPA65590 VYW65590 WIS65590 WSO65590 L131126 GC131126 PY131126 ZU131126 AJQ131126 ATM131126 BDI131126 BNE131126 BXA131126 CGW131126 CQS131126 DAO131126 DKK131126 DUG131126 EEC131126 ENY131126 EXU131126 FHQ131126 FRM131126 GBI131126 GLE131126 GVA131126 HEW131126 HOS131126 HYO131126 IIK131126 ISG131126 JCC131126 JLY131126 JVU131126 KFQ131126 KPM131126 KZI131126 LJE131126 LTA131126 MCW131126 MMS131126 MWO131126 NGK131126 NQG131126 OAC131126 OJY131126 OTU131126 PDQ131126 PNM131126 PXI131126 QHE131126 QRA131126 RAW131126 RKS131126 RUO131126 SEK131126 SOG131126 SYC131126 THY131126 TRU131126 UBQ131126 ULM131126 UVI131126 VFE131126 VPA131126 VYW131126 WIS131126 WSO131126 L196662 GC196662 PY196662 ZU196662 AJQ196662 ATM196662 BDI196662 BNE196662 BXA196662 CGW196662 CQS196662 DAO196662 DKK196662 DUG196662 EEC196662 ENY196662 EXU196662 FHQ196662 FRM196662 GBI196662 GLE196662 GVA196662 HEW196662 HOS196662 HYO196662 IIK196662 ISG196662 JCC196662 JLY196662 JVU196662 KFQ196662 KPM196662 KZI196662 LJE196662 LTA196662 MCW196662 MMS196662 MWO196662 NGK196662 NQG196662 OAC196662 OJY196662 OTU196662 PDQ196662 PNM196662 PXI196662 QHE196662 QRA196662 RAW196662 RKS196662 RUO196662 SEK196662 SOG196662 SYC196662 THY196662 TRU196662 UBQ196662 ULM196662 UVI196662 VFE196662 VPA196662 VYW196662 WIS196662 WSO196662 L262198 GC262198 PY262198 ZU262198 AJQ262198 ATM262198 BDI262198 BNE262198 BXA262198 CGW262198 CQS262198 DAO262198 DKK262198 DUG262198 EEC262198 ENY262198 EXU262198 FHQ262198 FRM262198 GBI262198 GLE262198 GVA262198 HEW262198 HOS262198 HYO262198 IIK262198 ISG262198 JCC262198 JLY262198 JVU262198 KFQ262198 KPM262198 KZI262198 LJE262198 LTA262198 MCW262198 MMS262198 MWO262198 NGK262198 NQG262198 OAC262198 OJY262198 OTU262198 PDQ262198 PNM262198 PXI262198 QHE262198 QRA262198 RAW262198 RKS262198 RUO262198 SEK262198 SOG262198 SYC262198 THY262198 TRU262198 UBQ262198 ULM262198 UVI262198 VFE262198 VPA262198 VYW262198 WIS262198 WSO262198 L327734 GC327734 PY327734 ZU327734 AJQ327734 ATM327734 BDI327734 BNE327734 BXA327734 CGW327734 CQS327734 DAO327734 DKK327734 DUG327734 EEC327734 ENY327734 EXU327734 FHQ327734 FRM327734 GBI327734 GLE327734 GVA327734 HEW327734 HOS327734 HYO327734 IIK327734 ISG327734 JCC327734 JLY327734 JVU327734 KFQ327734 KPM327734 KZI327734 LJE327734 LTA327734 MCW327734 MMS327734 MWO327734 NGK327734 NQG327734 OAC327734 OJY327734 OTU327734 PDQ327734 PNM327734 PXI327734 QHE327734 QRA327734 RAW327734 RKS327734 RUO327734 SEK327734 SOG327734 SYC327734 THY327734 TRU327734 UBQ327734 ULM327734 UVI327734 VFE327734 VPA327734 VYW327734 WIS327734 WSO327734 L393270 GC393270 PY393270 ZU393270 AJQ393270 ATM393270 BDI393270 BNE393270 BXA393270 CGW393270 CQS393270 DAO393270 DKK393270 DUG393270 EEC393270 ENY393270 EXU393270 FHQ393270 FRM393270 GBI393270 GLE393270 GVA393270 HEW393270 HOS393270 HYO393270 IIK393270 ISG393270 JCC393270 JLY393270 JVU393270 KFQ393270 KPM393270 KZI393270 LJE393270 LTA393270 MCW393270 MMS393270 MWO393270 NGK393270 NQG393270 OAC393270 OJY393270 OTU393270 PDQ393270 PNM393270 PXI393270 QHE393270 QRA393270 RAW393270 RKS393270 RUO393270 SEK393270 SOG393270 SYC393270 THY393270 TRU393270 UBQ393270 ULM393270 UVI393270 VFE393270 VPA393270 VYW393270 WIS393270 WSO393270 L458806 GC458806 PY458806 ZU458806 AJQ458806 ATM458806 BDI458806 BNE458806 BXA458806 CGW458806 CQS458806 DAO458806 DKK458806 DUG458806 EEC458806 ENY458806 EXU458806 FHQ458806 FRM458806 GBI458806 GLE458806 GVA458806 HEW458806 HOS458806 HYO458806 IIK458806 ISG458806 JCC458806 JLY458806 JVU458806 KFQ458806 KPM458806 KZI458806 LJE458806 LTA458806 MCW458806 MMS458806 MWO458806 NGK458806 NQG458806 OAC458806 OJY458806 OTU458806 PDQ458806 PNM458806 PXI458806 QHE458806 QRA458806 RAW458806 RKS458806 RUO458806 SEK458806 SOG458806 SYC458806 THY458806 TRU458806 UBQ458806 ULM458806 UVI458806 VFE458806 VPA458806 VYW458806 WIS458806 WSO458806 L524342 GC524342 PY524342 ZU524342 AJQ524342 ATM524342 BDI524342 BNE524342 BXA524342 CGW524342 CQS524342 DAO524342 DKK524342 DUG524342 EEC524342 ENY524342 EXU524342 FHQ524342 FRM524342 GBI524342 GLE524342 GVA524342 HEW524342 HOS524342 HYO524342 IIK524342 ISG524342 JCC524342 JLY524342 JVU524342 KFQ524342 KPM524342 KZI524342 LJE524342 LTA524342 MCW524342 MMS524342 MWO524342 NGK524342 NQG524342 OAC524342 OJY524342 OTU524342 PDQ524342 PNM524342 PXI524342 QHE524342 QRA524342 RAW524342 RKS524342 RUO524342 SEK524342 SOG524342 SYC524342 THY524342 TRU524342 UBQ524342 ULM524342 UVI524342 VFE524342 VPA524342 VYW524342 WIS524342 WSO524342 L589878 GC589878 PY589878 ZU589878 AJQ589878 ATM589878 BDI589878 BNE589878 BXA589878 CGW589878 CQS589878 DAO589878 DKK589878 DUG589878 EEC589878 ENY589878 EXU589878 FHQ589878 FRM589878 GBI589878 GLE589878 GVA589878 HEW589878 HOS589878 HYO589878 IIK589878 ISG589878 JCC589878 JLY589878 JVU589878 KFQ589878 KPM589878 KZI589878 LJE589878 LTA589878 MCW589878 MMS589878 MWO589878 NGK589878 NQG589878 OAC589878 OJY589878 OTU589878 PDQ589878 PNM589878 PXI589878 QHE589878 QRA589878 RAW589878 RKS589878 RUO589878 SEK589878 SOG589878 SYC589878 THY589878 TRU589878 UBQ589878 ULM589878 UVI589878 VFE589878 VPA589878 VYW589878 WIS589878 WSO589878 L655414 GC655414 PY655414 ZU655414 AJQ655414 ATM655414 BDI655414 BNE655414 BXA655414 CGW655414 CQS655414 DAO655414 DKK655414 DUG655414 EEC655414 ENY655414 EXU655414 FHQ655414 FRM655414 GBI655414 GLE655414 GVA655414 HEW655414 HOS655414 HYO655414 IIK655414 ISG655414 JCC655414 JLY655414 JVU655414 KFQ655414 KPM655414 KZI655414 LJE655414 LTA655414 MCW655414 MMS655414 MWO655414 NGK655414 NQG655414 OAC655414 OJY655414 OTU655414 PDQ655414 PNM655414 PXI655414 QHE655414 QRA655414 RAW655414 RKS655414 RUO655414 SEK655414 SOG655414 SYC655414 THY655414 TRU655414 UBQ655414 ULM655414 UVI655414 VFE655414 VPA655414 VYW655414 WIS655414 WSO655414 L720950 GC720950 PY720950 ZU720950 AJQ720950 ATM720950 BDI720950 BNE720950 BXA720950 CGW720950 CQS720950 DAO720950 DKK720950 DUG720950 EEC720950 ENY720950 EXU720950 FHQ720950 FRM720950 GBI720950 GLE720950 GVA720950 HEW720950 HOS720950 HYO720950 IIK720950 ISG720950 JCC720950 JLY720950 JVU720950 KFQ720950 KPM720950 KZI720950 LJE720950 LTA720950 MCW720950 MMS720950 MWO720950 NGK720950 NQG720950 OAC720950 OJY720950 OTU720950 PDQ720950 PNM720950 PXI720950 QHE720950 QRA720950 RAW720950 RKS720950 RUO720950 SEK720950 SOG720950 SYC720950 THY720950 TRU720950 UBQ720950 ULM720950 UVI720950 VFE720950 VPA720950 VYW720950 WIS720950 WSO720950 L786486 GC786486 PY786486 ZU786486 AJQ786486 ATM786486 BDI786486 BNE786486 BXA786486 CGW786486 CQS786486 DAO786486 DKK786486 DUG786486 EEC786486 ENY786486 EXU786486 FHQ786486 FRM786486 GBI786486 GLE786486 GVA786486 HEW786486 HOS786486 HYO786486 IIK786486 ISG786486 JCC786486 JLY786486 JVU786486 KFQ786486 KPM786486 KZI786486 LJE786486 LTA786486 MCW786486 MMS786486 MWO786486 NGK786486 NQG786486 OAC786486 OJY786486 OTU786486 PDQ786486 PNM786486 PXI786486 QHE786486 QRA786486 RAW786486 RKS786486 RUO786486 SEK786486 SOG786486 SYC786486 THY786486 TRU786486 UBQ786486 ULM786486 UVI786486 VFE786486 VPA786486 VYW786486 WIS786486 WSO786486 L852022 GC852022 PY852022 ZU852022 AJQ852022 ATM852022 BDI852022 BNE852022 BXA852022 CGW852022 CQS852022 DAO852022 DKK852022 DUG852022 EEC852022 ENY852022 EXU852022 FHQ852022 FRM852022 GBI852022 GLE852022 GVA852022 HEW852022 HOS852022 HYO852022 IIK852022 ISG852022 JCC852022 JLY852022 JVU852022 KFQ852022 KPM852022 KZI852022 LJE852022 LTA852022 MCW852022 MMS852022 MWO852022 NGK852022 NQG852022 OAC852022 OJY852022 OTU852022 PDQ852022 PNM852022 PXI852022 QHE852022 QRA852022 RAW852022 RKS852022 RUO852022 SEK852022 SOG852022 SYC852022 THY852022 TRU852022 UBQ852022 ULM852022 UVI852022 VFE852022 VPA852022 VYW852022 WIS852022 WSO852022 L917558 GC917558 PY917558 ZU917558 AJQ917558 ATM917558 BDI917558 BNE917558 BXA917558 CGW917558 CQS917558 DAO917558 DKK917558 DUG917558 EEC917558 ENY917558 EXU917558 FHQ917558 FRM917558 GBI917558 GLE917558 GVA917558 HEW917558 HOS917558 HYO917558 IIK917558 ISG917558 JCC917558 JLY917558 JVU917558 KFQ917558 KPM917558 KZI917558 LJE917558 LTA917558 MCW917558 MMS917558 MWO917558 NGK917558 NQG917558 OAC917558 OJY917558 OTU917558 PDQ917558 PNM917558 PXI917558 QHE917558 QRA917558 RAW917558 RKS917558 RUO917558 SEK917558 SOG917558 SYC917558 THY917558 TRU917558 UBQ917558 ULM917558 UVI917558 VFE917558 VPA917558 VYW917558 WIS917558 WSO917558 L983094 GC983094 PY983094 ZU983094 AJQ983094 ATM983094 BDI983094 BNE983094 BXA983094 CGW983094 CQS983094 DAO983094 DKK983094 DUG983094 EEC983094 ENY983094 EXU983094 FHQ983094 FRM983094 GBI983094 GLE983094 GVA983094 HEW983094 HOS983094 HYO983094 IIK983094 ISG983094 JCC983094 JLY983094 JVU983094 KFQ983094 KPM983094 KZI983094 LJE983094 LTA983094 MCW983094 MMS983094 MWO983094 NGK983094 NQG983094 OAC983094 OJY983094 OTU983094 PDQ983094 PNM983094 PXI983094 QHE983094 QRA983094 RAW983094 RKS983094 RUO983094 SEK983094 SOG983094 SYC983094 THY983094 TRU983094 UBQ983094 ULM983094 UVI983094 VFE983094 VPA983094 VYW983094 WIS983094 WSO983094 L17 GC17 PY17 ZU17 AJQ17 ATM17 BDI17 BNE17 BXA17 CGW17 CQS17 DAO17 DKK17 DUG17 EEC17 ENY17 EXU17 FHQ17 FRM17 GBI17 GLE17 GVA17 HEW17 HOS17 HYO17 IIK17 ISG17 JCC17 JLY17 JVU17 KFQ17 KPM17 KZI17 LJE17 LTA17 MCW17 MMS17 MWO17 NGK17 NQG17 OAC17 OJY17 OTU17 PDQ17 PNM17 PXI17 QHE17 QRA17 RAW17 RKS17 RUO17 SEK17 SOG17 SYC17 THY17 TRU17 UBQ17 ULM17 UVI17 VFE17 VPA17 VYW17 WIS17 WSO17 L65588 GC65588 PY65588 ZU65588 AJQ65588 ATM65588 BDI65588 BNE65588 BXA65588 CGW65588 CQS65588 DAO65588 DKK65588 DUG65588 EEC65588 ENY65588 EXU65588 FHQ65588 FRM65588 GBI65588 GLE65588 GVA65588 HEW65588 HOS65588 HYO65588 IIK65588 ISG65588 JCC65588 JLY65588 JVU65588 KFQ65588 KPM65588 KZI65588 LJE65588 LTA65588 MCW65588 MMS65588 MWO65588 NGK65588 NQG65588 OAC65588 OJY65588 OTU65588 PDQ65588 PNM65588 PXI65588 QHE65588 QRA65588 RAW65588 RKS65588 RUO65588 SEK65588 SOG65588 SYC65588 THY65588 TRU65588 UBQ65588 ULM65588 UVI65588 VFE65588 VPA65588 VYW65588 WIS65588 WSO65588 L131124 GC131124 PY131124 ZU131124 AJQ131124 ATM131124 BDI131124 BNE131124 BXA131124 CGW131124 CQS131124 DAO131124 DKK131124 DUG131124 EEC131124 ENY131124 EXU131124 FHQ131124 FRM131124 GBI131124 GLE131124 GVA131124 HEW131124 HOS131124 HYO131124 IIK131124 ISG131124 JCC131124 JLY131124 JVU131124 KFQ131124 KPM131124 KZI131124 LJE131124 LTA131124 MCW131124 MMS131124 MWO131124 NGK131124 NQG131124 OAC131124 OJY131124 OTU131124 PDQ131124 PNM131124 PXI131124 QHE131124 QRA131124 RAW131124 RKS131124 RUO131124 SEK131124 SOG131124 SYC131124 THY131124 TRU131124 UBQ131124 ULM131124 UVI131124 VFE131124 VPA131124 VYW131124 WIS131124 WSO131124 L196660 GC196660 PY196660 ZU196660 AJQ196660 ATM196660 BDI196660 BNE196660 BXA196660 CGW196660 CQS196660 DAO196660 DKK196660 DUG196660 EEC196660 ENY196660 EXU196660 FHQ196660 FRM196660 GBI196660 GLE196660 GVA196660 HEW196660 HOS196660 HYO196660 IIK196660 ISG196660 JCC196660 JLY196660 JVU196660 KFQ196660 KPM196660 KZI196660 LJE196660 LTA196660 MCW196660 MMS196660 MWO196660 NGK196660 NQG196660 OAC196660 OJY196660 OTU196660 PDQ196660 PNM196660 PXI196660 QHE196660 QRA196660 RAW196660 RKS196660 RUO196660 SEK196660 SOG196660 SYC196660 THY196660 TRU196660 UBQ196660 ULM196660 UVI196660 VFE196660 VPA196660 VYW196660 WIS196660 WSO196660 L262196 GC262196 PY262196 ZU262196 AJQ262196 ATM262196 BDI262196 BNE262196 BXA262196 CGW262196 CQS262196 DAO262196 DKK262196 DUG262196 EEC262196 ENY262196 EXU262196 FHQ262196 FRM262196 GBI262196 GLE262196 GVA262196 HEW262196 HOS262196 HYO262196 IIK262196 ISG262196 JCC262196 JLY262196 JVU262196 KFQ262196 KPM262196 KZI262196 LJE262196 LTA262196 MCW262196 MMS262196 MWO262196 NGK262196 NQG262196 OAC262196 OJY262196 OTU262196 PDQ262196 PNM262196 PXI262196 QHE262196 QRA262196 RAW262196 RKS262196 RUO262196 SEK262196 SOG262196 SYC262196 THY262196 TRU262196 UBQ262196 ULM262196 UVI262196 VFE262196 VPA262196 VYW262196 WIS262196 WSO262196 L327732 GC327732 PY327732 ZU327732 AJQ327732 ATM327732 BDI327732 BNE327732 BXA327732 CGW327732 CQS327732 DAO327732 DKK327732 DUG327732 EEC327732 ENY327732 EXU327732 FHQ327732 FRM327732 GBI327732 GLE327732 GVA327732 HEW327732 HOS327732 HYO327732 IIK327732 ISG327732 JCC327732 JLY327732 JVU327732 KFQ327732 KPM327732 KZI327732 LJE327732 LTA327732 MCW327732 MMS327732 MWO327732 NGK327732 NQG327732 OAC327732 OJY327732 OTU327732 PDQ327732 PNM327732 PXI327732 QHE327732 QRA327732 RAW327732 RKS327732 RUO327732 SEK327732 SOG327732 SYC327732 THY327732 TRU327732 UBQ327732 ULM327732 UVI327732 VFE327732 VPA327732 VYW327732 WIS327732 WSO327732 L393268 GC393268 PY393268 ZU393268 AJQ393268 ATM393268 BDI393268 BNE393268 BXA393268 CGW393268 CQS393268 DAO393268 DKK393268 DUG393268 EEC393268 ENY393268 EXU393268 FHQ393268 FRM393268 GBI393268 GLE393268 GVA393268 HEW393268 HOS393268 HYO393268 IIK393268 ISG393268 JCC393268 JLY393268 JVU393268 KFQ393268 KPM393268 KZI393268 LJE393268 LTA393268 MCW393268 MMS393268 MWO393268 NGK393268 NQG393268 OAC393268 OJY393268 OTU393268 PDQ393268 PNM393268 PXI393268 QHE393268 QRA393268 RAW393268 RKS393268 RUO393268 SEK393268 SOG393268 SYC393268 THY393268 TRU393268 UBQ393268 ULM393268 UVI393268 VFE393268 VPA393268 VYW393268 WIS393268 WSO393268 L458804 GC458804 PY458804 ZU458804 AJQ458804 ATM458804 BDI458804 BNE458804 BXA458804 CGW458804 CQS458804 DAO458804 DKK458804 DUG458804 EEC458804 ENY458804 EXU458804 FHQ458804 FRM458804 GBI458804 GLE458804 GVA458804 HEW458804 HOS458804 HYO458804 IIK458804 ISG458804 JCC458804 JLY458804 JVU458804 KFQ458804 KPM458804 KZI458804 LJE458804 LTA458804 MCW458804 MMS458804 MWO458804 NGK458804 NQG458804 OAC458804 OJY458804 OTU458804 PDQ458804 PNM458804 PXI458804 QHE458804 QRA458804 RAW458804 RKS458804 RUO458804 SEK458804 SOG458804 SYC458804 THY458804 TRU458804 UBQ458804 ULM458804 UVI458804 VFE458804 VPA458804 VYW458804 WIS458804 WSO458804 L524340 GC524340 PY524340 ZU524340 AJQ524340 ATM524340 BDI524340 BNE524340 BXA524340 CGW524340 CQS524340 DAO524340 DKK524340 DUG524340 EEC524340 ENY524340 EXU524340 FHQ524340 FRM524340 GBI524340 GLE524340 GVA524340 HEW524340 HOS524340 HYO524340 IIK524340 ISG524340 JCC524340 JLY524340 JVU524340 KFQ524340 KPM524340 KZI524340 LJE524340 LTA524340 MCW524340 MMS524340 MWO524340 NGK524340 NQG524340 OAC524340 OJY524340 OTU524340 PDQ524340 PNM524340 PXI524340 QHE524340 QRA524340 RAW524340 RKS524340 RUO524340 SEK524340 SOG524340 SYC524340 THY524340 TRU524340 UBQ524340 ULM524340 UVI524340 VFE524340 VPA524340 VYW524340 WIS524340 WSO524340 L589876 GC589876 PY589876 ZU589876 AJQ589876 ATM589876 BDI589876 BNE589876 BXA589876 CGW589876 CQS589876 DAO589876 DKK589876 DUG589876 EEC589876 ENY589876 EXU589876 FHQ589876 FRM589876 GBI589876 GLE589876 GVA589876 HEW589876 HOS589876 HYO589876 IIK589876 ISG589876 JCC589876 JLY589876 JVU589876 KFQ589876 KPM589876 KZI589876 LJE589876 LTA589876 MCW589876 MMS589876 MWO589876 NGK589876 NQG589876 OAC589876 OJY589876 OTU589876 PDQ589876 PNM589876 PXI589876 QHE589876 QRA589876 RAW589876 RKS589876 RUO589876 SEK589876 SOG589876 SYC589876 THY589876 TRU589876 UBQ589876 ULM589876 UVI589876 VFE589876 VPA589876 VYW589876 WIS589876 WSO589876 L655412 GC655412 PY655412 ZU655412 AJQ655412 ATM655412 BDI655412 BNE655412 BXA655412 CGW655412 CQS655412 DAO655412 DKK655412 DUG655412 EEC655412 ENY655412 EXU655412 FHQ655412 FRM655412 GBI655412 GLE655412 GVA655412 HEW655412 HOS655412 HYO655412 IIK655412 ISG655412 JCC655412 JLY655412 JVU655412 KFQ655412 KPM655412 KZI655412 LJE655412 LTA655412 MCW655412 MMS655412 MWO655412 NGK655412 NQG655412 OAC655412 OJY655412 OTU655412 PDQ655412 PNM655412 PXI655412 QHE655412 QRA655412 RAW655412 RKS655412 RUO655412 SEK655412 SOG655412 SYC655412 THY655412 TRU655412 UBQ655412 ULM655412 UVI655412 VFE655412 VPA655412 VYW655412 WIS655412 WSO655412 L720948 GC720948 PY720948 ZU720948 AJQ720948 ATM720948 BDI720948 BNE720948 BXA720948 CGW720948 CQS720948 DAO720948 DKK720948 DUG720948 EEC720948 ENY720948 EXU720948 FHQ720948 FRM720948 GBI720948 GLE720948 GVA720948 HEW720948 HOS720948 HYO720948 IIK720948 ISG720948 JCC720948 JLY720948 JVU720948 KFQ720948 KPM720948 KZI720948 LJE720948 LTA720948 MCW720948 MMS720948 MWO720948 NGK720948 NQG720948 OAC720948 OJY720948 OTU720948 PDQ720948 PNM720948 PXI720948 QHE720948 QRA720948 RAW720948 RKS720948 RUO720948 SEK720948 SOG720948 SYC720948 THY720948 TRU720948 UBQ720948 ULM720948 UVI720948 VFE720948 VPA720948 VYW720948 WIS720948 WSO720948 L786484 GC786484 PY786484 ZU786484 AJQ786484 ATM786484 BDI786484 BNE786484 BXA786484 CGW786484 CQS786484 DAO786484 DKK786484 DUG786484 EEC786484 ENY786484 EXU786484 FHQ786484 FRM786484 GBI786484 GLE786484 GVA786484 HEW786484 HOS786484 HYO786484 IIK786484 ISG786484 JCC786484 JLY786484 JVU786484 KFQ786484 KPM786484 KZI786484 LJE786484 LTA786484 MCW786484 MMS786484 MWO786484 NGK786484 NQG786484 OAC786484 OJY786484 OTU786484 PDQ786484 PNM786484 PXI786484 QHE786484 QRA786484 RAW786484 RKS786484 RUO786484 SEK786484 SOG786484 SYC786484 THY786484 TRU786484 UBQ786484 ULM786484 UVI786484 VFE786484 VPA786484 VYW786484 WIS786484 WSO786484 L852020 GC852020 PY852020 ZU852020 AJQ852020 ATM852020 BDI852020 BNE852020 BXA852020 CGW852020 CQS852020 DAO852020 DKK852020 DUG852020 EEC852020 ENY852020 EXU852020 FHQ852020 FRM852020 GBI852020 GLE852020 GVA852020 HEW852020 HOS852020 HYO852020 IIK852020 ISG852020 JCC852020 JLY852020 JVU852020 KFQ852020 KPM852020 KZI852020 LJE852020 LTA852020 MCW852020 MMS852020 MWO852020 NGK852020 NQG852020 OAC852020 OJY852020 OTU852020 PDQ852020 PNM852020 PXI852020 QHE852020 QRA852020 RAW852020 RKS852020 RUO852020 SEK852020 SOG852020 SYC852020 THY852020 TRU852020 UBQ852020 ULM852020 UVI852020 VFE852020 VPA852020 VYW852020 WIS852020 WSO852020 L917556 GC917556 PY917556 ZU917556 AJQ917556 ATM917556 BDI917556 BNE917556 BXA917556 CGW917556 CQS917556 DAO917556 DKK917556 DUG917556 EEC917556 ENY917556 EXU917556 FHQ917556 FRM917556 GBI917556 GLE917556 GVA917556 HEW917556 HOS917556 HYO917556 IIK917556 ISG917556 JCC917556 JLY917556 JVU917556 KFQ917556 KPM917556 KZI917556 LJE917556 LTA917556 MCW917556 MMS917556 MWO917556 NGK917556 NQG917556 OAC917556 OJY917556 OTU917556 PDQ917556 PNM917556 PXI917556 QHE917556 QRA917556 RAW917556 RKS917556 RUO917556 SEK917556 SOG917556 SYC917556 THY917556 TRU917556 UBQ917556 ULM917556 UVI917556 VFE917556 VPA917556 VYW917556 WIS917556 WSO917556 L983092 GC983092 PY983092 ZU983092 AJQ983092 ATM983092 BDI983092 BNE983092 BXA983092 CGW983092 CQS983092 DAO983092 DKK983092 DUG983092 EEC983092 ENY983092 EXU983092 FHQ983092 FRM983092 GBI983092 GLE983092 GVA983092 HEW983092 HOS983092 HYO983092 IIK983092 ISG983092 JCC983092 JLY983092 JVU983092 KFQ983092 KPM983092 KZI983092 LJE983092 LTA983092 MCW983092 MMS983092 MWO983092 NGK983092 NQG983092 OAC983092 OJY983092 OTU983092 PDQ983092 PNM983092 PXI983092 QHE983092 QRA983092 RAW983092 RKS983092 RUO983092 SEK983092 SOG983092 SYC983092 THY983092 TRU983092 UBQ983092 ULM983092 UVI983092 VFE983092 VPA983092 VYW983092 WIS983092 WSO983092 E23 FV23 PR23 ZN23 AJJ23 ATF23 BDB23 BMX23 BWT23 CGP23 CQL23 DAH23 DKD23 DTZ23 EDV23 ENR23 EXN23 FHJ23 FRF23 GBB23 GKX23 GUT23 HEP23 HOL23 HYH23 IID23 IRZ23 JBV23 JLR23 JVN23 KFJ23 KPF23 KZB23 LIX23 LST23 MCP23 MML23 MWH23 NGD23 NPZ23 NZV23 OJR23 OTN23 PDJ23 PNF23 PXB23 QGX23 QQT23 RAP23 RKL23 RUH23 SED23 SNZ23 SXV23 THR23 TRN23 UBJ23 ULF23 UVB23 VEX23 VOT23 VYP23 WIL23 WSH23 E65594 FV65594 PR65594 ZN65594 AJJ65594 ATF65594 BDB65594 BMX65594 BWT65594 CGP65594 CQL65594 DAH65594 DKD65594 DTZ65594 EDV65594 ENR65594 EXN65594 FHJ65594 FRF65594 GBB65594 GKX65594 GUT65594 HEP65594 HOL65594 HYH65594 IID65594 IRZ65594 JBV65594 JLR65594 JVN65594 KFJ65594 KPF65594 KZB65594 LIX65594 LST65594 MCP65594 MML65594 MWH65594 NGD65594 NPZ65594 NZV65594 OJR65594 OTN65594 PDJ65594 PNF65594 PXB65594 QGX65594 QQT65594 RAP65594 RKL65594 RUH65594 SED65594 SNZ65594 SXV65594 THR65594 TRN65594 UBJ65594 ULF65594 UVB65594 VEX65594 VOT65594 VYP65594 WIL65594 WSH65594 E131130 FV131130 PR131130 ZN131130 AJJ131130 ATF131130 BDB131130 BMX131130 BWT131130 CGP131130 CQL131130 DAH131130 DKD131130 DTZ131130 EDV131130 ENR131130 EXN131130 FHJ131130 FRF131130 GBB131130 GKX131130 GUT131130 HEP131130 HOL131130 HYH131130 IID131130 IRZ131130 JBV131130 JLR131130 JVN131130 KFJ131130 KPF131130 KZB131130 LIX131130 LST131130 MCP131130 MML131130 MWH131130 NGD131130 NPZ131130 NZV131130 OJR131130 OTN131130 PDJ131130 PNF131130 PXB131130 QGX131130 QQT131130 RAP131130 RKL131130 RUH131130 SED131130 SNZ131130 SXV131130 THR131130 TRN131130 UBJ131130 ULF131130 UVB131130 VEX131130 VOT131130 VYP131130 WIL131130 WSH131130 E196666 FV196666 PR196666 ZN196666 AJJ196666 ATF196666 BDB196666 BMX196666 BWT196666 CGP196666 CQL196666 DAH196666 DKD196666 DTZ196666 EDV196666 ENR196666 EXN196666 FHJ196666 FRF196666 GBB196666 GKX196666 GUT196666 HEP196666 HOL196666 HYH196666 IID196666 IRZ196666 JBV196666 JLR196666 JVN196666 KFJ196666 KPF196666 KZB196666 LIX196666 LST196666 MCP196666 MML196666 MWH196666 NGD196666 NPZ196666 NZV196666 OJR196666 OTN196666 PDJ196666 PNF196666 PXB196666 QGX196666 QQT196666 RAP196666 RKL196666 RUH196666 SED196666 SNZ196666 SXV196666 THR196666 TRN196666 UBJ196666 ULF196666 UVB196666 VEX196666 VOT196666 VYP196666 WIL196666 WSH196666 E262202 FV262202 PR262202 ZN262202 AJJ262202 ATF262202 BDB262202 BMX262202 BWT262202 CGP262202 CQL262202 DAH262202 DKD262202 DTZ262202 EDV262202 ENR262202 EXN262202 FHJ262202 FRF262202 GBB262202 GKX262202 GUT262202 HEP262202 HOL262202 HYH262202 IID262202 IRZ262202 JBV262202 JLR262202 JVN262202 KFJ262202 KPF262202 KZB262202 LIX262202 LST262202 MCP262202 MML262202 MWH262202 NGD262202 NPZ262202 NZV262202 OJR262202 OTN262202 PDJ262202 PNF262202 PXB262202 QGX262202 QQT262202 RAP262202 RKL262202 RUH262202 SED262202 SNZ262202 SXV262202 THR262202 TRN262202 UBJ262202 ULF262202 UVB262202 VEX262202 VOT262202 VYP262202 WIL262202 WSH262202 E327738 FV327738 PR327738 ZN327738 AJJ327738 ATF327738 BDB327738 BMX327738 BWT327738 CGP327738 CQL327738 DAH327738 DKD327738 DTZ327738 EDV327738 ENR327738 EXN327738 FHJ327738 FRF327738 GBB327738 GKX327738 GUT327738 HEP327738 HOL327738 HYH327738 IID327738 IRZ327738 JBV327738 JLR327738 JVN327738 KFJ327738 KPF327738 KZB327738 LIX327738 LST327738 MCP327738 MML327738 MWH327738 NGD327738 NPZ327738 NZV327738 OJR327738 OTN327738 PDJ327738 PNF327738 PXB327738 QGX327738 QQT327738 RAP327738 RKL327738 RUH327738 SED327738 SNZ327738 SXV327738 THR327738 TRN327738 UBJ327738 ULF327738 UVB327738 VEX327738 VOT327738 VYP327738 WIL327738 WSH327738 E393274 FV393274 PR393274 ZN393274 AJJ393274 ATF393274 BDB393274 BMX393274 BWT393274 CGP393274 CQL393274 DAH393274 DKD393274 DTZ393274 EDV393274 ENR393274 EXN393274 FHJ393274 FRF393274 GBB393274 GKX393274 GUT393274 HEP393274 HOL393274 HYH393274 IID393274 IRZ393274 JBV393274 JLR393274 JVN393274 KFJ393274 KPF393274 KZB393274 LIX393274 LST393274 MCP393274 MML393274 MWH393274 NGD393274 NPZ393274 NZV393274 OJR393274 OTN393274 PDJ393274 PNF393274 PXB393274 QGX393274 QQT393274 RAP393274 RKL393274 RUH393274 SED393274 SNZ393274 SXV393274 THR393274 TRN393274 UBJ393274 ULF393274 UVB393274 VEX393274 VOT393274 VYP393274 WIL393274 WSH393274 E458810 FV458810 PR458810 ZN458810 AJJ458810 ATF458810 BDB458810 BMX458810 BWT458810 CGP458810 CQL458810 DAH458810 DKD458810 DTZ458810 EDV458810 ENR458810 EXN458810 FHJ458810 FRF458810 GBB458810 GKX458810 GUT458810 HEP458810 HOL458810 HYH458810 IID458810 IRZ458810 JBV458810 JLR458810 JVN458810 KFJ458810 KPF458810 KZB458810 LIX458810 LST458810 MCP458810 MML458810 MWH458810 NGD458810 NPZ458810 NZV458810 OJR458810 OTN458810 PDJ458810 PNF458810 PXB458810 QGX458810 QQT458810 RAP458810 RKL458810 RUH458810 SED458810 SNZ458810 SXV458810 THR458810 TRN458810 UBJ458810 ULF458810 UVB458810 VEX458810 VOT458810 VYP458810 WIL458810 WSH458810 E524346 FV524346 PR524346 ZN524346 AJJ524346 ATF524346 BDB524346 BMX524346 BWT524346 CGP524346 CQL524346 DAH524346 DKD524346 DTZ524346 EDV524346 ENR524346 EXN524346 FHJ524346 FRF524346 GBB524346 GKX524346 GUT524346 HEP524346 HOL524346 HYH524346 IID524346 IRZ524346 JBV524346 JLR524346 JVN524346 KFJ524346 KPF524346 KZB524346 LIX524346 LST524346 MCP524346 MML524346 MWH524346 NGD524346 NPZ524346 NZV524346 OJR524346 OTN524346 PDJ524346 PNF524346 PXB524346 QGX524346 QQT524346 RAP524346 RKL524346 RUH524346 SED524346 SNZ524346 SXV524346 THR524346 TRN524346 UBJ524346 ULF524346 UVB524346 VEX524346 VOT524346 VYP524346 WIL524346 WSH524346 E589882 FV589882 PR589882 ZN589882 AJJ589882 ATF589882 BDB589882 BMX589882 BWT589882 CGP589882 CQL589882 DAH589882 DKD589882 DTZ589882 EDV589882 ENR589882 EXN589882 FHJ589882 FRF589882 GBB589882 GKX589882 GUT589882 HEP589882 HOL589882 HYH589882 IID589882 IRZ589882 JBV589882 JLR589882 JVN589882 KFJ589882 KPF589882 KZB589882 LIX589882 LST589882 MCP589882 MML589882 MWH589882 NGD589882 NPZ589882 NZV589882 OJR589882 OTN589882 PDJ589882 PNF589882 PXB589882 QGX589882 QQT589882 RAP589882 RKL589882 RUH589882 SED589882 SNZ589882 SXV589882 THR589882 TRN589882 UBJ589882 ULF589882 UVB589882 VEX589882 VOT589882 VYP589882 WIL589882 WSH589882 E655418 FV655418 PR655418 ZN655418 AJJ655418 ATF655418 BDB655418 BMX655418 BWT655418 CGP655418 CQL655418 DAH655418 DKD655418 DTZ655418 EDV655418 ENR655418 EXN655418 FHJ655418 FRF655418 GBB655418 GKX655418 GUT655418 HEP655418 HOL655418 HYH655418 IID655418 IRZ655418 JBV655418 JLR655418 JVN655418 KFJ655418 KPF655418 KZB655418 LIX655418 LST655418 MCP655418 MML655418 MWH655418 NGD655418 NPZ655418 NZV655418 OJR655418 OTN655418 PDJ655418 PNF655418 PXB655418 QGX655418 QQT655418 RAP655418 RKL655418 RUH655418 SED655418 SNZ655418 SXV655418 THR655418 TRN655418 UBJ655418 ULF655418 UVB655418 VEX655418 VOT655418 VYP655418 WIL655418 WSH655418 E720954 FV720954 PR720954 ZN720954 AJJ720954 ATF720954 BDB720954 BMX720954 BWT720954 CGP720954 CQL720954 DAH720954 DKD720954 DTZ720954 EDV720954 ENR720954 EXN720954 FHJ720954 FRF720954 GBB720954 GKX720954 GUT720954 HEP720954 HOL720954 HYH720954 IID720954 IRZ720954 JBV720954 JLR720954 JVN720954 KFJ720954 KPF720954 KZB720954 LIX720954 LST720954 MCP720954 MML720954 MWH720954 NGD720954 NPZ720954 NZV720954 OJR720954 OTN720954 PDJ720954 PNF720954 PXB720954 QGX720954 QQT720954 RAP720954 RKL720954 RUH720954 SED720954 SNZ720954 SXV720954 THR720954 TRN720954 UBJ720954 ULF720954 UVB720954 VEX720954 VOT720954 VYP720954 WIL720954 WSH720954 E786490 FV786490 PR786490 ZN786490 AJJ786490 ATF786490 BDB786490 BMX786490 BWT786490 CGP786490 CQL786490 DAH786490 DKD786490 DTZ786490 EDV786490 ENR786490 EXN786490 FHJ786490 FRF786490 GBB786490 GKX786490 GUT786490 HEP786490 HOL786490 HYH786490 IID786490 IRZ786490 JBV786490 JLR786490 JVN786490 KFJ786490 KPF786490 KZB786490 LIX786490 LST786490 MCP786490 MML786490 MWH786490 NGD786490 NPZ786490 NZV786490 OJR786490 OTN786490 PDJ786490 PNF786490 PXB786490 QGX786490 QQT786490 RAP786490 RKL786490 RUH786490 SED786490 SNZ786490 SXV786490 THR786490 TRN786490 UBJ786490 ULF786490 UVB786490 VEX786490 VOT786490 VYP786490 WIL786490 WSH786490 E852026 FV852026 PR852026 ZN852026 AJJ852026 ATF852026 BDB852026 BMX852026 BWT852026 CGP852026 CQL852026 DAH852026 DKD852026 DTZ852026 EDV852026 ENR852026 EXN852026 FHJ852026 FRF852026 GBB852026 GKX852026 GUT852026 HEP852026 HOL852026 HYH852026 IID852026 IRZ852026 JBV852026 JLR852026 JVN852026 KFJ852026 KPF852026 KZB852026 LIX852026 LST852026 MCP852026 MML852026 MWH852026 NGD852026 NPZ852026 NZV852026 OJR852026 OTN852026 PDJ852026 PNF852026 PXB852026 QGX852026 QQT852026 RAP852026 RKL852026 RUH852026 SED852026 SNZ852026 SXV852026 THR852026 TRN852026 UBJ852026 ULF852026 UVB852026 VEX852026 VOT852026 VYP852026 WIL852026 WSH852026 E917562 FV917562 PR917562 ZN917562 AJJ917562 ATF917562 BDB917562 BMX917562 BWT917562 CGP917562 CQL917562 DAH917562 DKD917562 DTZ917562 EDV917562 ENR917562 EXN917562 FHJ917562 FRF917562 GBB917562 GKX917562 GUT917562 HEP917562 HOL917562 HYH917562 IID917562 IRZ917562 JBV917562 JLR917562 JVN917562 KFJ917562 KPF917562 KZB917562 LIX917562 LST917562 MCP917562 MML917562 MWH917562 NGD917562 NPZ917562 NZV917562 OJR917562 OTN917562 PDJ917562 PNF917562 PXB917562 QGX917562 QQT917562 RAP917562 RKL917562 RUH917562 SED917562 SNZ917562 SXV917562 THR917562 TRN917562 UBJ917562 ULF917562 UVB917562 VEX917562 VOT917562 VYP917562 WIL917562 WSH917562 E983098 FV983098 PR983098 ZN983098 AJJ983098 ATF983098 BDB983098 BMX983098 BWT983098 CGP983098 CQL983098 DAH983098 DKD983098 DTZ983098 EDV983098 ENR983098 EXN983098 FHJ983098 FRF983098 GBB983098 GKX983098 GUT983098 HEP983098 HOL983098 HYH983098 IID983098 IRZ983098 JBV983098 JLR983098 JVN983098 KFJ983098 KPF983098 KZB983098 LIX983098 LST983098 MCP983098 MML983098 MWH983098 NGD983098 NPZ983098 NZV983098 OJR983098 OTN983098 PDJ983098 PNF983098 PXB983098 QGX983098 QQT983098 RAP983098 RKL983098 RUH983098 SED983098 SNZ983098 SXV983098 THR983098 TRN983098 UBJ983098 ULF983098 UVB983098 VEX983098 VOT983098 VYP983098 WIL983098 WSH983098 L21 GC21 PY21 ZU21 AJQ21 ATM21 BDI21 BNE21 BXA21 CGW21 CQS21 DAO21 DKK21 DUG21 EEC21 ENY21 EXU21 FHQ21 FRM21 GBI21 GLE21 GVA21 HEW21 HOS21 HYO21 IIK21 ISG21 JCC21 JLY21 JVU21 KFQ21 KPM21 KZI21 LJE21 LTA21 MCW21 MMS21 MWO21 NGK21 NQG21 OAC21 OJY21 OTU21 PDQ21 PNM21 PXI21 QHE21 QRA21 RAW21 RKS21 RUO21 SEK21 SOG21 SYC21 THY21 TRU21 UBQ21 ULM21 UVI21 VFE21 VPA21 VYW21 WIS21 WSO21 L65592 GC65592 PY65592 ZU65592 AJQ65592 ATM65592 BDI65592 BNE65592 BXA65592 CGW65592 CQS65592 DAO65592 DKK65592 DUG65592 EEC65592 ENY65592 EXU65592 FHQ65592 FRM65592 GBI65592 GLE65592 GVA65592 HEW65592 HOS65592 HYO65592 IIK65592 ISG65592 JCC65592 JLY65592 JVU65592 KFQ65592 KPM65592 KZI65592 LJE65592 LTA65592 MCW65592 MMS65592 MWO65592 NGK65592 NQG65592 OAC65592 OJY65592 OTU65592 PDQ65592 PNM65592 PXI65592 QHE65592 QRA65592 RAW65592 RKS65592 RUO65592 SEK65592 SOG65592 SYC65592 THY65592 TRU65592 UBQ65592 ULM65592 UVI65592 VFE65592 VPA65592 VYW65592 WIS65592 WSO65592 L131128 GC131128 PY131128 ZU131128 AJQ131128 ATM131128 BDI131128 BNE131128 BXA131128 CGW131128 CQS131128 DAO131128 DKK131128 DUG131128 EEC131128 ENY131128 EXU131128 FHQ131128 FRM131128 GBI131128 GLE131128 GVA131128 HEW131128 HOS131128 HYO131128 IIK131128 ISG131128 JCC131128 JLY131128 JVU131128 KFQ131128 KPM131128 KZI131128 LJE131128 LTA131128 MCW131128 MMS131128 MWO131128 NGK131128 NQG131128 OAC131128 OJY131128 OTU131128 PDQ131128 PNM131128 PXI131128 QHE131128 QRA131128 RAW131128 RKS131128 RUO131128 SEK131128 SOG131128 SYC131128 THY131128 TRU131128 UBQ131128 ULM131128 UVI131128 VFE131128 VPA131128 VYW131128 WIS131128 WSO131128 L196664 GC196664 PY196664 ZU196664 AJQ196664 ATM196664 BDI196664 BNE196664 BXA196664 CGW196664 CQS196664 DAO196664 DKK196664 DUG196664 EEC196664 ENY196664 EXU196664 FHQ196664 FRM196664 GBI196664 GLE196664 GVA196664 HEW196664 HOS196664 HYO196664 IIK196664 ISG196664 JCC196664 JLY196664 JVU196664 KFQ196664 KPM196664 KZI196664 LJE196664 LTA196664 MCW196664 MMS196664 MWO196664 NGK196664 NQG196664 OAC196664 OJY196664 OTU196664 PDQ196664 PNM196664 PXI196664 QHE196664 QRA196664 RAW196664 RKS196664 RUO196664 SEK196664 SOG196664 SYC196664 THY196664 TRU196664 UBQ196664 ULM196664 UVI196664 VFE196664 VPA196664 VYW196664 WIS196664 WSO196664 L262200 GC262200 PY262200 ZU262200 AJQ262200 ATM262200 BDI262200 BNE262200 BXA262200 CGW262200 CQS262200 DAO262200 DKK262200 DUG262200 EEC262200 ENY262200 EXU262200 FHQ262200 FRM262200 GBI262200 GLE262200 GVA262200 HEW262200 HOS262200 HYO262200 IIK262200 ISG262200 JCC262200 JLY262200 JVU262200 KFQ262200 KPM262200 KZI262200 LJE262200 LTA262200 MCW262200 MMS262200 MWO262200 NGK262200 NQG262200 OAC262200 OJY262200 OTU262200 PDQ262200 PNM262200 PXI262200 QHE262200 QRA262200 RAW262200 RKS262200 RUO262200 SEK262200 SOG262200 SYC262200 THY262200 TRU262200 UBQ262200 ULM262200 UVI262200 VFE262200 VPA262200 VYW262200 WIS262200 WSO262200 L327736 GC327736 PY327736 ZU327736 AJQ327736 ATM327736 BDI327736 BNE327736 BXA327736 CGW327736 CQS327736 DAO327736 DKK327736 DUG327736 EEC327736 ENY327736 EXU327736 FHQ327736 FRM327736 GBI327736 GLE327736 GVA327736 HEW327736 HOS327736 HYO327736 IIK327736 ISG327736 JCC327736 JLY327736 JVU327736 KFQ327736 KPM327736 KZI327736 LJE327736 LTA327736 MCW327736 MMS327736 MWO327736 NGK327736 NQG327736 OAC327736 OJY327736 OTU327736 PDQ327736 PNM327736 PXI327736 QHE327736 QRA327736 RAW327736 RKS327736 RUO327736 SEK327736 SOG327736 SYC327736 THY327736 TRU327736 UBQ327736 ULM327736 UVI327736 VFE327736 VPA327736 VYW327736 WIS327736 WSO327736 L393272 GC393272 PY393272 ZU393272 AJQ393272 ATM393272 BDI393272 BNE393272 BXA393272 CGW393272 CQS393272 DAO393272 DKK393272 DUG393272 EEC393272 ENY393272 EXU393272 FHQ393272 FRM393272 GBI393272 GLE393272 GVA393272 HEW393272 HOS393272 HYO393272 IIK393272 ISG393272 JCC393272 JLY393272 JVU393272 KFQ393272 KPM393272 KZI393272 LJE393272 LTA393272 MCW393272 MMS393272 MWO393272 NGK393272 NQG393272 OAC393272 OJY393272 OTU393272 PDQ393272 PNM393272 PXI393272 QHE393272 QRA393272 RAW393272 RKS393272 RUO393272 SEK393272 SOG393272 SYC393272 THY393272 TRU393272 UBQ393272 ULM393272 UVI393272 VFE393272 VPA393272 VYW393272 WIS393272 WSO393272 L458808 GC458808 PY458808 ZU458808 AJQ458808 ATM458808 BDI458808 BNE458808 BXA458808 CGW458808 CQS458808 DAO458808 DKK458808 DUG458808 EEC458808 ENY458808 EXU458808 FHQ458808 FRM458808 GBI458808 GLE458808 GVA458808 HEW458808 HOS458808 HYO458808 IIK458808 ISG458808 JCC458808 JLY458808 JVU458808 KFQ458808 KPM458808 KZI458808 LJE458808 LTA458808 MCW458808 MMS458808 MWO458808 NGK458808 NQG458808 OAC458808 OJY458808 OTU458808 PDQ458808 PNM458808 PXI458808 QHE458808 QRA458808 RAW458808 RKS458808 RUO458808 SEK458808 SOG458808 SYC458808 THY458808 TRU458808 UBQ458808 ULM458808 UVI458808 VFE458808 VPA458808 VYW458808 WIS458808 WSO458808 L524344 GC524344 PY524344 ZU524344 AJQ524344 ATM524344 BDI524344 BNE524344 BXA524344 CGW524344 CQS524344 DAO524344 DKK524344 DUG524344 EEC524344 ENY524344 EXU524344 FHQ524344 FRM524344 GBI524344 GLE524344 GVA524344 HEW524344 HOS524344 HYO524344 IIK524344 ISG524344 JCC524344 JLY524344 JVU524344 KFQ524344 KPM524344 KZI524344 LJE524344 LTA524344 MCW524344 MMS524344 MWO524344 NGK524344 NQG524344 OAC524344 OJY524344 OTU524344 PDQ524344 PNM524344 PXI524344 QHE524344 QRA524344 RAW524344 RKS524344 RUO524344 SEK524344 SOG524344 SYC524344 THY524344 TRU524344 UBQ524344 ULM524344 UVI524344 VFE524344 VPA524344 VYW524344 WIS524344 WSO524344 L589880 GC589880 PY589880 ZU589880 AJQ589880 ATM589880 BDI589880 BNE589880 BXA589880 CGW589880 CQS589880 DAO589880 DKK589880 DUG589880 EEC589880 ENY589880 EXU589880 FHQ589880 FRM589880 GBI589880 GLE589880 GVA589880 HEW589880 HOS589880 HYO589880 IIK589880 ISG589880 JCC589880 JLY589880 JVU589880 KFQ589880 KPM589880 KZI589880 LJE589880 LTA589880 MCW589880 MMS589880 MWO589880 NGK589880 NQG589880 OAC589880 OJY589880 OTU589880 PDQ589880 PNM589880 PXI589880 QHE589880 QRA589880 RAW589880 RKS589880 RUO589880 SEK589880 SOG589880 SYC589880 THY589880 TRU589880 UBQ589880 ULM589880 UVI589880 VFE589880 VPA589880 VYW589880 WIS589880 WSO589880 L655416 GC655416 PY655416 ZU655416 AJQ655416 ATM655416 BDI655416 BNE655416 BXA655416 CGW655416 CQS655416 DAO655416 DKK655416 DUG655416 EEC655416 ENY655416 EXU655416 FHQ655416 FRM655416 GBI655416 GLE655416 GVA655416 HEW655416 HOS655416 HYO655416 IIK655416 ISG655416 JCC655416 JLY655416 JVU655416 KFQ655416 KPM655416 KZI655416 LJE655416 LTA655416 MCW655416 MMS655416 MWO655416 NGK655416 NQG655416 OAC655416 OJY655416 OTU655416 PDQ655416 PNM655416 PXI655416 QHE655416 QRA655416 RAW655416 RKS655416 RUO655416 SEK655416 SOG655416 SYC655416 THY655416 TRU655416 UBQ655416 ULM655416 UVI655416 VFE655416 VPA655416 VYW655416 WIS655416 WSO655416 L720952 GC720952 PY720952 ZU720952 AJQ720952 ATM720952 BDI720952 BNE720952 BXA720952 CGW720952 CQS720952 DAO720952 DKK720952 DUG720952 EEC720952 ENY720952 EXU720952 FHQ720952 FRM720952 GBI720952 GLE720952 GVA720952 HEW720952 HOS720952 HYO720952 IIK720952 ISG720952 JCC720952 JLY720952 JVU720952 KFQ720952 KPM720952 KZI720952 LJE720952 LTA720952 MCW720952 MMS720952 MWO720952 NGK720952 NQG720952 OAC720952 OJY720952 OTU720952 PDQ720952 PNM720952 PXI720952 QHE720952 QRA720952 RAW720952 RKS720952 RUO720952 SEK720952 SOG720952 SYC720952 THY720952 TRU720952 UBQ720952 ULM720952 UVI720952 VFE720952 VPA720952 VYW720952 WIS720952 WSO720952 L786488 GC786488 PY786488 ZU786488 AJQ786488 ATM786488 BDI786488 BNE786488 BXA786488 CGW786488 CQS786488 DAO786488 DKK786488 DUG786488 EEC786488 ENY786488 EXU786488 FHQ786488 FRM786488 GBI786488 GLE786488 GVA786488 HEW786488 HOS786488 HYO786488 IIK786488 ISG786488 JCC786488 JLY786488 JVU786488 KFQ786488 KPM786488 KZI786488 LJE786488 LTA786488 MCW786488 MMS786488 MWO786488 NGK786488 NQG786488 OAC786488 OJY786488 OTU786488 PDQ786488 PNM786488 PXI786488 QHE786488 QRA786488 RAW786488 RKS786488 RUO786488 SEK786488 SOG786488 SYC786488 THY786488 TRU786488 UBQ786488 ULM786488 UVI786488 VFE786488 VPA786488 VYW786488 WIS786488 WSO786488 L852024 GC852024 PY852024 ZU852024 AJQ852024 ATM852024 BDI852024 BNE852024 BXA852024 CGW852024 CQS852024 DAO852024 DKK852024 DUG852024 EEC852024 ENY852024 EXU852024 FHQ852024 FRM852024 GBI852024 GLE852024 GVA852024 HEW852024 HOS852024 HYO852024 IIK852024 ISG852024 JCC852024 JLY852024 JVU852024 KFQ852024 KPM852024 KZI852024 LJE852024 LTA852024 MCW852024 MMS852024 MWO852024 NGK852024 NQG852024 OAC852024 OJY852024 OTU852024 PDQ852024 PNM852024 PXI852024 QHE852024 QRA852024 RAW852024 RKS852024 RUO852024 SEK852024 SOG852024 SYC852024 THY852024 TRU852024 UBQ852024 ULM852024 UVI852024 VFE852024 VPA852024 VYW852024 WIS852024 WSO852024 L917560 GC917560 PY917560 ZU917560 AJQ917560 ATM917560 BDI917560 BNE917560 BXA917560 CGW917560 CQS917560 DAO917560 DKK917560 DUG917560 EEC917560 ENY917560 EXU917560 FHQ917560 FRM917560 GBI917560 GLE917560 GVA917560 HEW917560 HOS917560 HYO917560 IIK917560 ISG917560 JCC917560 JLY917560 JVU917560 KFQ917560 KPM917560 KZI917560 LJE917560 LTA917560 MCW917560 MMS917560 MWO917560 NGK917560 NQG917560 OAC917560 OJY917560 OTU917560 PDQ917560 PNM917560 PXI917560 QHE917560 QRA917560 RAW917560 RKS917560 RUO917560 SEK917560 SOG917560 SYC917560 THY917560 TRU917560 UBQ917560 ULM917560 UVI917560 VFE917560 VPA917560 VYW917560 WIS917560 WSO917560 L983096 GC983096 PY983096 ZU983096 AJQ983096 ATM983096 BDI983096 BNE983096 BXA983096 CGW983096 CQS983096 DAO983096 DKK983096 DUG983096 EEC983096 ENY983096 EXU983096 FHQ983096 FRM983096 GBI983096 GLE983096 GVA983096 HEW983096 HOS983096 HYO983096 IIK983096 ISG983096 JCC983096 JLY983096 JVU983096 KFQ983096 KPM983096 KZI983096 LJE983096 LTA983096 MCW983096 MMS983096 MWO983096 NGK983096 NQG983096 OAC983096 OJY983096 OTU983096 PDQ983096 PNM983096 PXI983096 QHE983096 QRA983096 RAW983096 RKS983096 RUO983096 SEK983096 SOG983096 SYC983096 THY983096 TRU983096 UBQ983096 ULM983096 UVI983096 VFE983096 VPA983096 VYW983096 WIS983096 WSO983096 L23 E19" xr:uid="{46A57661-2E41-47DB-A6BD-AFD6D5DC15A5}">
      <formula1>"V,J,R"</formula1>
    </dataValidation>
    <dataValidation type="list" allowBlank="1" showInputMessage="1" showErrorMessage="1" sqref="WSH983094 FV19 PR19 ZN19 AJJ19 ATF19 BDB19 BMX19 BWT19 CGP19 CQL19 DAH19 DKD19 DTZ19 EDV19 ENR19 EXN19 FHJ19 FRF19 GBB19 GKX19 GUT19 HEP19 HOL19 HYH19 IID19 IRZ19 JBV19 JLR19 JVN19 KFJ19 KPF19 KZB19 LIX19 LST19 MCP19 MML19 MWH19 NGD19 NPZ19 NZV19 OJR19 OTN19 PDJ19 PNF19 PXB19 QGX19 QQT19 RAP19 RKL19 RUH19 SED19 SNZ19 SXV19 THR19 TRN19 UBJ19 ULF19 UVB19 VEX19 VOT19 VYP19 WIL19 WSH19 E65590 FV65590 PR65590 ZN65590 AJJ65590 ATF65590 BDB65590 BMX65590 BWT65590 CGP65590 CQL65590 DAH65590 DKD65590 DTZ65590 EDV65590 ENR65590 EXN65590 FHJ65590 FRF65590 GBB65590 GKX65590 GUT65590 HEP65590 HOL65590 HYH65590 IID65590 IRZ65590 JBV65590 JLR65590 JVN65590 KFJ65590 KPF65590 KZB65590 LIX65590 LST65590 MCP65590 MML65590 MWH65590 NGD65590 NPZ65590 NZV65590 OJR65590 OTN65590 PDJ65590 PNF65590 PXB65590 QGX65590 QQT65590 RAP65590 RKL65590 RUH65590 SED65590 SNZ65590 SXV65590 THR65590 TRN65590 UBJ65590 ULF65590 UVB65590 VEX65590 VOT65590 VYP65590 WIL65590 WSH65590 E131126 FV131126 PR131126 ZN131126 AJJ131126 ATF131126 BDB131126 BMX131126 BWT131126 CGP131126 CQL131126 DAH131126 DKD131126 DTZ131126 EDV131126 ENR131126 EXN131126 FHJ131126 FRF131126 GBB131126 GKX131126 GUT131126 HEP131126 HOL131126 HYH131126 IID131126 IRZ131126 JBV131126 JLR131126 JVN131126 KFJ131126 KPF131126 KZB131126 LIX131126 LST131126 MCP131126 MML131126 MWH131126 NGD131126 NPZ131126 NZV131126 OJR131126 OTN131126 PDJ131126 PNF131126 PXB131126 QGX131126 QQT131126 RAP131126 RKL131126 RUH131126 SED131126 SNZ131126 SXV131126 THR131126 TRN131126 UBJ131126 ULF131126 UVB131126 VEX131126 VOT131126 VYP131126 WIL131126 WSH131126 E196662 FV196662 PR196662 ZN196662 AJJ196662 ATF196662 BDB196662 BMX196662 BWT196662 CGP196662 CQL196662 DAH196662 DKD196662 DTZ196662 EDV196662 ENR196662 EXN196662 FHJ196662 FRF196662 GBB196662 GKX196662 GUT196662 HEP196662 HOL196662 HYH196662 IID196662 IRZ196662 JBV196662 JLR196662 JVN196662 KFJ196662 KPF196662 KZB196662 LIX196662 LST196662 MCP196662 MML196662 MWH196662 NGD196662 NPZ196662 NZV196662 OJR196662 OTN196662 PDJ196662 PNF196662 PXB196662 QGX196662 QQT196662 RAP196662 RKL196662 RUH196662 SED196662 SNZ196662 SXV196662 THR196662 TRN196662 UBJ196662 ULF196662 UVB196662 VEX196662 VOT196662 VYP196662 WIL196662 WSH196662 E262198 FV262198 PR262198 ZN262198 AJJ262198 ATF262198 BDB262198 BMX262198 BWT262198 CGP262198 CQL262198 DAH262198 DKD262198 DTZ262198 EDV262198 ENR262198 EXN262198 FHJ262198 FRF262198 GBB262198 GKX262198 GUT262198 HEP262198 HOL262198 HYH262198 IID262198 IRZ262198 JBV262198 JLR262198 JVN262198 KFJ262198 KPF262198 KZB262198 LIX262198 LST262198 MCP262198 MML262198 MWH262198 NGD262198 NPZ262198 NZV262198 OJR262198 OTN262198 PDJ262198 PNF262198 PXB262198 QGX262198 QQT262198 RAP262198 RKL262198 RUH262198 SED262198 SNZ262198 SXV262198 THR262198 TRN262198 UBJ262198 ULF262198 UVB262198 VEX262198 VOT262198 VYP262198 WIL262198 WSH262198 E327734 FV327734 PR327734 ZN327734 AJJ327734 ATF327734 BDB327734 BMX327734 BWT327734 CGP327734 CQL327734 DAH327734 DKD327734 DTZ327734 EDV327734 ENR327734 EXN327734 FHJ327734 FRF327734 GBB327734 GKX327734 GUT327734 HEP327734 HOL327734 HYH327734 IID327734 IRZ327734 JBV327734 JLR327734 JVN327734 KFJ327734 KPF327734 KZB327734 LIX327734 LST327734 MCP327734 MML327734 MWH327734 NGD327734 NPZ327734 NZV327734 OJR327734 OTN327734 PDJ327734 PNF327734 PXB327734 QGX327734 QQT327734 RAP327734 RKL327734 RUH327734 SED327734 SNZ327734 SXV327734 THR327734 TRN327734 UBJ327734 ULF327734 UVB327734 VEX327734 VOT327734 VYP327734 WIL327734 WSH327734 E393270 FV393270 PR393270 ZN393270 AJJ393270 ATF393270 BDB393270 BMX393270 BWT393270 CGP393270 CQL393270 DAH393270 DKD393270 DTZ393270 EDV393270 ENR393270 EXN393270 FHJ393270 FRF393270 GBB393270 GKX393270 GUT393270 HEP393270 HOL393270 HYH393270 IID393270 IRZ393270 JBV393270 JLR393270 JVN393270 KFJ393270 KPF393270 KZB393270 LIX393270 LST393270 MCP393270 MML393270 MWH393270 NGD393270 NPZ393270 NZV393270 OJR393270 OTN393270 PDJ393270 PNF393270 PXB393270 QGX393270 QQT393270 RAP393270 RKL393270 RUH393270 SED393270 SNZ393270 SXV393270 THR393270 TRN393270 UBJ393270 ULF393270 UVB393270 VEX393270 VOT393270 VYP393270 WIL393270 WSH393270 E458806 FV458806 PR458806 ZN458806 AJJ458806 ATF458806 BDB458806 BMX458806 BWT458806 CGP458806 CQL458806 DAH458806 DKD458806 DTZ458806 EDV458806 ENR458806 EXN458806 FHJ458806 FRF458806 GBB458806 GKX458806 GUT458806 HEP458806 HOL458806 HYH458806 IID458806 IRZ458806 JBV458806 JLR458806 JVN458806 KFJ458806 KPF458806 KZB458806 LIX458806 LST458806 MCP458806 MML458806 MWH458806 NGD458806 NPZ458806 NZV458806 OJR458806 OTN458806 PDJ458806 PNF458806 PXB458806 QGX458806 QQT458806 RAP458806 RKL458806 RUH458806 SED458806 SNZ458806 SXV458806 THR458806 TRN458806 UBJ458806 ULF458806 UVB458806 VEX458806 VOT458806 VYP458806 WIL458806 WSH458806 E524342 FV524342 PR524342 ZN524342 AJJ524342 ATF524342 BDB524342 BMX524342 BWT524342 CGP524342 CQL524342 DAH524342 DKD524342 DTZ524342 EDV524342 ENR524342 EXN524342 FHJ524342 FRF524342 GBB524342 GKX524342 GUT524342 HEP524342 HOL524342 HYH524342 IID524342 IRZ524342 JBV524342 JLR524342 JVN524342 KFJ524342 KPF524342 KZB524342 LIX524342 LST524342 MCP524342 MML524342 MWH524342 NGD524342 NPZ524342 NZV524342 OJR524342 OTN524342 PDJ524342 PNF524342 PXB524342 QGX524342 QQT524342 RAP524342 RKL524342 RUH524342 SED524342 SNZ524342 SXV524342 THR524342 TRN524342 UBJ524342 ULF524342 UVB524342 VEX524342 VOT524342 VYP524342 WIL524342 WSH524342 E589878 FV589878 PR589878 ZN589878 AJJ589878 ATF589878 BDB589878 BMX589878 BWT589878 CGP589878 CQL589878 DAH589878 DKD589878 DTZ589878 EDV589878 ENR589878 EXN589878 FHJ589878 FRF589878 GBB589878 GKX589878 GUT589878 HEP589878 HOL589878 HYH589878 IID589878 IRZ589878 JBV589878 JLR589878 JVN589878 KFJ589878 KPF589878 KZB589878 LIX589878 LST589878 MCP589878 MML589878 MWH589878 NGD589878 NPZ589878 NZV589878 OJR589878 OTN589878 PDJ589878 PNF589878 PXB589878 QGX589878 QQT589878 RAP589878 RKL589878 RUH589878 SED589878 SNZ589878 SXV589878 THR589878 TRN589878 UBJ589878 ULF589878 UVB589878 VEX589878 VOT589878 VYP589878 WIL589878 WSH589878 E655414 FV655414 PR655414 ZN655414 AJJ655414 ATF655414 BDB655414 BMX655414 BWT655414 CGP655414 CQL655414 DAH655414 DKD655414 DTZ655414 EDV655414 ENR655414 EXN655414 FHJ655414 FRF655414 GBB655414 GKX655414 GUT655414 HEP655414 HOL655414 HYH655414 IID655414 IRZ655414 JBV655414 JLR655414 JVN655414 KFJ655414 KPF655414 KZB655414 LIX655414 LST655414 MCP655414 MML655414 MWH655414 NGD655414 NPZ655414 NZV655414 OJR655414 OTN655414 PDJ655414 PNF655414 PXB655414 QGX655414 QQT655414 RAP655414 RKL655414 RUH655414 SED655414 SNZ655414 SXV655414 THR655414 TRN655414 UBJ655414 ULF655414 UVB655414 VEX655414 VOT655414 VYP655414 WIL655414 WSH655414 E720950 FV720950 PR720950 ZN720950 AJJ720950 ATF720950 BDB720950 BMX720950 BWT720950 CGP720950 CQL720950 DAH720950 DKD720950 DTZ720950 EDV720950 ENR720950 EXN720950 FHJ720950 FRF720950 GBB720950 GKX720950 GUT720950 HEP720950 HOL720950 HYH720950 IID720950 IRZ720950 JBV720950 JLR720950 JVN720950 KFJ720950 KPF720950 KZB720950 LIX720950 LST720950 MCP720950 MML720950 MWH720950 NGD720950 NPZ720950 NZV720950 OJR720950 OTN720950 PDJ720950 PNF720950 PXB720950 QGX720950 QQT720950 RAP720950 RKL720950 RUH720950 SED720950 SNZ720950 SXV720950 THR720950 TRN720950 UBJ720950 ULF720950 UVB720950 VEX720950 VOT720950 VYP720950 WIL720950 WSH720950 E786486 FV786486 PR786486 ZN786486 AJJ786486 ATF786486 BDB786486 BMX786486 BWT786486 CGP786486 CQL786486 DAH786486 DKD786486 DTZ786486 EDV786486 ENR786486 EXN786486 FHJ786486 FRF786486 GBB786486 GKX786486 GUT786486 HEP786486 HOL786486 HYH786486 IID786486 IRZ786486 JBV786486 JLR786486 JVN786486 KFJ786486 KPF786486 KZB786486 LIX786486 LST786486 MCP786486 MML786486 MWH786486 NGD786486 NPZ786486 NZV786486 OJR786486 OTN786486 PDJ786486 PNF786486 PXB786486 QGX786486 QQT786486 RAP786486 RKL786486 RUH786486 SED786486 SNZ786486 SXV786486 THR786486 TRN786486 UBJ786486 ULF786486 UVB786486 VEX786486 VOT786486 VYP786486 WIL786486 WSH786486 E852022 FV852022 PR852022 ZN852022 AJJ852022 ATF852022 BDB852022 BMX852022 BWT852022 CGP852022 CQL852022 DAH852022 DKD852022 DTZ852022 EDV852022 ENR852022 EXN852022 FHJ852022 FRF852022 GBB852022 GKX852022 GUT852022 HEP852022 HOL852022 HYH852022 IID852022 IRZ852022 JBV852022 JLR852022 JVN852022 KFJ852022 KPF852022 KZB852022 LIX852022 LST852022 MCP852022 MML852022 MWH852022 NGD852022 NPZ852022 NZV852022 OJR852022 OTN852022 PDJ852022 PNF852022 PXB852022 QGX852022 QQT852022 RAP852022 RKL852022 RUH852022 SED852022 SNZ852022 SXV852022 THR852022 TRN852022 UBJ852022 ULF852022 UVB852022 VEX852022 VOT852022 VYP852022 WIL852022 WSH852022 E917558 FV917558 PR917558 ZN917558 AJJ917558 ATF917558 BDB917558 BMX917558 BWT917558 CGP917558 CQL917558 DAH917558 DKD917558 DTZ917558 EDV917558 ENR917558 EXN917558 FHJ917558 FRF917558 GBB917558 GKX917558 GUT917558 HEP917558 HOL917558 HYH917558 IID917558 IRZ917558 JBV917558 JLR917558 JVN917558 KFJ917558 KPF917558 KZB917558 LIX917558 LST917558 MCP917558 MML917558 MWH917558 NGD917558 NPZ917558 NZV917558 OJR917558 OTN917558 PDJ917558 PNF917558 PXB917558 QGX917558 QQT917558 RAP917558 RKL917558 RUH917558 SED917558 SNZ917558 SXV917558 THR917558 TRN917558 UBJ917558 ULF917558 UVB917558 VEX917558 VOT917558 VYP917558 WIL917558 WSH917558 E983094 FV983094 PR983094 ZN983094 AJJ983094 ATF983094 BDB983094 BMX983094 BWT983094 CGP983094 CQL983094 DAH983094 DKD983094 DTZ983094 EDV983094 ENR983094 EXN983094 FHJ983094 FRF983094 GBB983094 GKX983094 GUT983094 HEP983094 HOL983094 HYH983094 IID983094 IRZ983094 JBV983094 JLR983094 JVN983094 KFJ983094 KPF983094 KZB983094 LIX983094 LST983094 MCP983094 MML983094 MWH983094 NGD983094 NPZ983094 NZV983094 OJR983094 OTN983094 PDJ983094 PNF983094 PXB983094 QGX983094 QQT983094 RAP983094 RKL983094 RUH983094 SED983094 SNZ983094 SXV983094 THR983094 TRN983094 UBJ983094 ULF983094 UVB983094 VEX983094 VOT983094 VYP983094 WIL983094" xr:uid="{2941591C-0CFD-442A-A329-9F1A00D572E7}">
      <formula1>"Démarrage,Planification,Execution,Clôture"</formula1>
    </dataValidation>
  </dataValidations>
  <pageMargins left="0.78740157480314965" right="0.78740157480314965" top="0.98425196850393704" bottom="0.98425196850393704" header="0.51181102362204722" footer="0.51181102362204722"/>
  <pageSetup scale="45" orientation="landscape" horizontalDpi="4294967293" r:id="rId1"/>
  <headerFooter alignWithMargins="0">
    <oddHeader>&amp;L&amp;D</oddHeader>
    <oddFooter>&amp;LGabarit développé et conçu par CONSILIUM&amp;CDroits réservés- TM&amp;R&amp;P /&amp;N</oddFooter>
  </headerFooter>
  <rowBreaks count="2" manualBreakCount="2">
    <brk id="61" max="16383" man="1"/>
    <brk id="184" min="1" max="18"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D5CC2-41AC-4701-A53F-7483E532F7FE}">
  <sheetPr codeName="ShLangue"/>
  <dimension ref="A1:H154"/>
  <sheetViews>
    <sheetView showGridLines="0" topLeftCell="A148" workbookViewId="0">
      <selection activeCell="B158" sqref="B158"/>
    </sheetView>
  </sheetViews>
  <sheetFormatPr defaultColWidth="9.109375" defaultRowHeight="13.2" x14ac:dyDescent="0.25"/>
  <cols>
    <col min="1" max="1" width="73.6640625" customWidth="1"/>
    <col min="2" max="2" width="63.33203125" bestFit="1" customWidth="1"/>
    <col min="3" max="3" width="7" customWidth="1"/>
    <col min="4" max="5" width="6.109375" customWidth="1"/>
    <col min="6" max="6" width="15" customWidth="1"/>
    <col min="8" max="8" width="14" customWidth="1"/>
  </cols>
  <sheetData>
    <row r="1" spans="1:8" x14ac:dyDescent="0.25">
      <c r="A1" s="148" t="s">
        <v>368</v>
      </c>
      <c r="B1" s="148" t="s">
        <v>369</v>
      </c>
      <c r="F1" t="s">
        <v>370</v>
      </c>
      <c r="H1" t="s">
        <v>371</v>
      </c>
    </row>
    <row r="2" spans="1:8" x14ac:dyDescent="0.25">
      <c r="A2" s="149" t="s">
        <v>355</v>
      </c>
      <c r="B2" s="150" t="s">
        <v>421</v>
      </c>
      <c r="F2" t="s">
        <v>369</v>
      </c>
      <c r="H2" t="s">
        <v>372</v>
      </c>
    </row>
    <row r="3" spans="1:8" x14ac:dyDescent="0.25">
      <c r="A3" s="149" t="s">
        <v>374</v>
      </c>
      <c r="B3" s="150" t="s">
        <v>375</v>
      </c>
      <c r="F3" t="s">
        <v>368</v>
      </c>
      <c r="H3" t="s">
        <v>373</v>
      </c>
    </row>
    <row r="4" spans="1:8" x14ac:dyDescent="0.25">
      <c r="A4" s="149" t="s">
        <v>383</v>
      </c>
      <c r="B4" s="150" t="s">
        <v>386</v>
      </c>
    </row>
    <row r="5" spans="1:8" x14ac:dyDescent="0.25">
      <c r="A5" s="149" t="s">
        <v>384</v>
      </c>
      <c r="B5" s="150" t="s">
        <v>387</v>
      </c>
    </row>
    <row r="6" spans="1:8" x14ac:dyDescent="0.25">
      <c r="A6" s="149" t="s">
        <v>344</v>
      </c>
      <c r="B6" s="150" t="s">
        <v>379</v>
      </c>
    </row>
    <row r="7" spans="1:8" ht="13.8" x14ac:dyDescent="0.25">
      <c r="A7" s="149" t="s">
        <v>349</v>
      </c>
      <c r="B7" s="150" t="s">
        <v>380</v>
      </c>
      <c r="F7" s="162" t="s">
        <v>538</v>
      </c>
    </row>
    <row r="8" spans="1:8" x14ac:dyDescent="0.25">
      <c r="A8" s="149" t="s">
        <v>346</v>
      </c>
      <c r="B8" s="150" t="s">
        <v>388</v>
      </c>
    </row>
    <row r="9" spans="1:8" x14ac:dyDescent="0.25">
      <c r="A9" s="149" t="s">
        <v>350</v>
      </c>
      <c r="B9" s="150" t="s">
        <v>389</v>
      </c>
    </row>
    <row r="10" spans="1:8" x14ac:dyDescent="0.25">
      <c r="A10" s="149" t="s">
        <v>348</v>
      </c>
      <c r="B10" s="150" t="s">
        <v>376</v>
      </c>
    </row>
    <row r="11" spans="1:8" x14ac:dyDescent="0.25">
      <c r="A11" s="149" t="s">
        <v>352</v>
      </c>
      <c r="B11" s="150" t="s">
        <v>377</v>
      </c>
    </row>
    <row r="12" spans="1:8" x14ac:dyDescent="0.25">
      <c r="A12" s="149" t="s">
        <v>353</v>
      </c>
      <c r="B12" s="150" t="s">
        <v>378</v>
      </c>
    </row>
    <row r="13" spans="1:8" x14ac:dyDescent="0.25">
      <c r="A13" s="149" t="s">
        <v>385</v>
      </c>
      <c r="B13" s="150" t="s">
        <v>390</v>
      </c>
    </row>
    <row r="14" spans="1:8" x14ac:dyDescent="0.25">
      <c r="A14" s="149" t="s">
        <v>74</v>
      </c>
      <c r="B14" s="150" t="s">
        <v>391</v>
      </c>
    </row>
    <row r="15" spans="1:8" x14ac:dyDescent="0.25">
      <c r="A15" s="149" t="s">
        <v>11</v>
      </c>
      <c r="B15" s="150" t="s">
        <v>392</v>
      </c>
    </row>
    <row r="16" spans="1:8" x14ac:dyDescent="0.25">
      <c r="A16" s="149" t="s">
        <v>10</v>
      </c>
      <c r="B16" s="150" t="s">
        <v>393</v>
      </c>
    </row>
    <row r="17" spans="1:2" x14ac:dyDescent="0.25">
      <c r="A17" s="149" t="s">
        <v>63</v>
      </c>
      <c r="B17" s="150" t="s">
        <v>394</v>
      </c>
    </row>
    <row r="18" spans="1:2" x14ac:dyDescent="0.25">
      <c r="A18" s="149" t="s">
        <v>40</v>
      </c>
      <c r="B18" s="150" t="s">
        <v>395</v>
      </c>
    </row>
    <row r="19" spans="1:2" x14ac:dyDescent="0.25">
      <c r="A19" s="149" t="s">
        <v>22</v>
      </c>
      <c r="B19" s="150" t="s">
        <v>396</v>
      </c>
    </row>
    <row r="20" spans="1:2" x14ac:dyDescent="0.25">
      <c r="A20" s="149" t="s">
        <v>23</v>
      </c>
      <c r="B20" s="150" t="s">
        <v>397</v>
      </c>
    </row>
    <row r="21" spans="1:2" x14ac:dyDescent="0.25">
      <c r="A21" s="149" t="s">
        <v>24</v>
      </c>
      <c r="B21" s="150" t="s">
        <v>398</v>
      </c>
    </row>
    <row r="22" spans="1:2" x14ac:dyDescent="0.25">
      <c r="A22" s="149" t="s">
        <v>25</v>
      </c>
      <c r="B22" s="150" t="s">
        <v>399</v>
      </c>
    </row>
    <row r="23" spans="1:2" x14ac:dyDescent="0.25">
      <c r="A23" s="149" t="s">
        <v>26</v>
      </c>
      <c r="B23" s="150" t="s">
        <v>400</v>
      </c>
    </row>
    <row r="24" spans="1:2" x14ac:dyDescent="0.25">
      <c r="A24" s="149" t="s">
        <v>27</v>
      </c>
      <c r="B24" s="150" t="s">
        <v>401</v>
      </c>
    </row>
    <row r="25" spans="1:2" x14ac:dyDescent="0.25">
      <c r="A25" s="149" t="s">
        <v>28</v>
      </c>
      <c r="B25" s="150" t="s">
        <v>402</v>
      </c>
    </row>
    <row r="26" spans="1:2" x14ac:dyDescent="0.25">
      <c r="A26" s="149" t="s">
        <v>29</v>
      </c>
      <c r="B26" s="150" t="s">
        <v>403</v>
      </c>
    </row>
    <row r="27" spans="1:2" x14ac:dyDescent="0.25">
      <c r="A27" s="149" t="s">
        <v>30</v>
      </c>
      <c r="B27" s="150" t="s">
        <v>404</v>
      </c>
    </row>
    <row r="28" spans="1:2" x14ac:dyDescent="0.25">
      <c r="A28" s="149" t="s">
        <v>31</v>
      </c>
      <c r="B28" s="150" t="s">
        <v>405</v>
      </c>
    </row>
    <row r="29" spans="1:2" x14ac:dyDescent="0.25">
      <c r="A29" s="149" t="s">
        <v>339</v>
      </c>
      <c r="B29" s="150" t="s">
        <v>406</v>
      </c>
    </row>
    <row r="30" spans="1:2" x14ac:dyDescent="0.25">
      <c r="A30" s="149" t="s">
        <v>32</v>
      </c>
      <c r="B30" s="150" t="s">
        <v>407</v>
      </c>
    </row>
    <row r="31" spans="1:2" x14ac:dyDescent="0.25">
      <c r="A31" s="149" t="s">
        <v>340</v>
      </c>
      <c r="B31" s="150" t="s">
        <v>408</v>
      </c>
    </row>
    <row r="32" spans="1:2" x14ac:dyDescent="0.25">
      <c r="A32" s="149" t="s">
        <v>36</v>
      </c>
      <c r="B32" s="150" t="s">
        <v>409</v>
      </c>
    </row>
    <row r="33" spans="1:2" x14ac:dyDescent="0.25">
      <c r="A33" s="149" t="s">
        <v>33</v>
      </c>
      <c r="B33" s="150" t="s">
        <v>410</v>
      </c>
    </row>
    <row r="34" spans="1:2" x14ac:dyDescent="0.25">
      <c r="A34" s="149" t="s">
        <v>381</v>
      </c>
      <c r="B34" s="150" t="s">
        <v>411</v>
      </c>
    </row>
    <row r="35" spans="1:2" x14ac:dyDescent="0.25">
      <c r="A35" s="149" t="s">
        <v>382</v>
      </c>
      <c r="B35" s="150" t="s">
        <v>412</v>
      </c>
    </row>
    <row r="36" spans="1:2" x14ac:dyDescent="0.25">
      <c r="A36" s="149" t="s">
        <v>8</v>
      </c>
      <c r="B36" s="150" t="s">
        <v>413</v>
      </c>
    </row>
    <row r="37" spans="1:2" x14ac:dyDescent="0.25">
      <c r="A37" s="149" t="s">
        <v>357</v>
      </c>
      <c r="B37" s="150" t="s">
        <v>420</v>
      </c>
    </row>
    <row r="38" spans="1:2" x14ac:dyDescent="0.25">
      <c r="A38" s="149" t="s">
        <v>61</v>
      </c>
      <c r="B38" s="150" t="s">
        <v>414</v>
      </c>
    </row>
    <row r="39" spans="1:2" x14ac:dyDescent="0.25">
      <c r="A39" s="149" t="s">
        <v>75</v>
      </c>
      <c r="B39" s="150" t="s">
        <v>415</v>
      </c>
    </row>
    <row r="40" spans="1:2" x14ac:dyDescent="0.25">
      <c r="A40" s="149" t="s">
        <v>55</v>
      </c>
      <c r="B40" s="150" t="s">
        <v>416</v>
      </c>
    </row>
    <row r="41" spans="1:2" x14ac:dyDescent="0.25">
      <c r="A41" s="149" t="s">
        <v>62</v>
      </c>
      <c r="B41" s="150" t="s">
        <v>417</v>
      </c>
    </row>
    <row r="42" spans="1:2" x14ac:dyDescent="0.25">
      <c r="A42" s="149" t="s">
        <v>58</v>
      </c>
      <c r="B42" s="150" t="s">
        <v>418</v>
      </c>
    </row>
    <row r="43" spans="1:2" x14ac:dyDescent="0.25">
      <c r="A43" s="149" t="s">
        <v>59</v>
      </c>
      <c r="B43" s="150" t="s">
        <v>419</v>
      </c>
    </row>
    <row r="44" spans="1:2" x14ac:dyDescent="0.25">
      <c r="A44" s="149" t="s">
        <v>370</v>
      </c>
      <c r="B44" s="150" t="s">
        <v>422</v>
      </c>
    </row>
    <row r="45" spans="1:2" ht="14.4" x14ac:dyDescent="0.25">
      <c r="A45" s="155" t="s">
        <v>65</v>
      </c>
      <c r="B45" s="150" t="s">
        <v>423</v>
      </c>
    </row>
    <row r="46" spans="1:2" ht="14.4" x14ac:dyDescent="0.25">
      <c r="A46" s="156" t="s">
        <v>18</v>
      </c>
      <c r="B46" s="150" t="s">
        <v>424</v>
      </c>
    </row>
    <row r="47" spans="1:2" ht="26.4" x14ac:dyDescent="0.25">
      <c r="A47" s="157" t="s">
        <v>64</v>
      </c>
      <c r="B47" s="158" t="s">
        <v>425</v>
      </c>
    </row>
    <row r="48" spans="1:2" ht="26.4" x14ac:dyDescent="0.25">
      <c r="A48" s="157" t="s">
        <v>330</v>
      </c>
      <c r="B48" s="158" t="s">
        <v>426</v>
      </c>
    </row>
    <row r="49" spans="1:2" ht="26.4" x14ac:dyDescent="0.25">
      <c r="A49" s="157" t="s">
        <v>76</v>
      </c>
      <c r="B49" s="158" t="s">
        <v>427</v>
      </c>
    </row>
    <row r="50" spans="1:2" x14ac:dyDescent="0.25">
      <c r="A50" s="149" t="s">
        <v>366</v>
      </c>
      <c r="B50" s="150" t="s">
        <v>436</v>
      </c>
    </row>
    <row r="51" spans="1:2" x14ac:dyDescent="0.25">
      <c r="A51" s="149" t="s">
        <v>365</v>
      </c>
      <c r="B51" s="150" t="s">
        <v>437</v>
      </c>
    </row>
    <row r="52" spans="1:2" x14ac:dyDescent="0.25">
      <c r="A52" s="149" t="s">
        <v>82</v>
      </c>
      <c r="B52" s="150" t="s">
        <v>438</v>
      </c>
    </row>
    <row r="53" spans="1:2" x14ac:dyDescent="0.25">
      <c r="A53" s="149" t="s">
        <v>83</v>
      </c>
      <c r="B53" s="150" t="s">
        <v>439</v>
      </c>
    </row>
    <row r="54" spans="1:2" x14ac:dyDescent="0.25">
      <c r="A54" s="149" t="s">
        <v>86</v>
      </c>
      <c r="B54" s="150" t="s">
        <v>440</v>
      </c>
    </row>
    <row r="55" spans="1:2" x14ac:dyDescent="0.25">
      <c r="A55" s="149" t="s">
        <v>90</v>
      </c>
      <c r="B55" s="150" t="s">
        <v>441</v>
      </c>
    </row>
    <row r="56" spans="1:2" x14ac:dyDescent="0.25">
      <c r="A56" s="149" t="s">
        <v>84</v>
      </c>
      <c r="B56" s="150" t="s">
        <v>442</v>
      </c>
    </row>
    <row r="57" spans="1:2" x14ac:dyDescent="0.25">
      <c r="A57" s="149" t="s">
        <v>87</v>
      </c>
      <c r="B57" s="150" t="s">
        <v>87</v>
      </c>
    </row>
    <row r="58" spans="1:2" x14ac:dyDescent="0.25">
      <c r="A58" s="149" t="s">
        <v>341</v>
      </c>
      <c r="B58" s="150" t="s">
        <v>443</v>
      </c>
    </row>
    <row r="59" spans="1:2" x14ac:dyDescent="0.25">
      <c r="A59" s="149" t="s">
        <v>85</v>
      </c>
      <c r="B59" s="150" t="s">
        <v>444</v>
      </c>
    </row>
    <row r="60" spans="1:2" x14ac:dyDescent="0.25">
      <c r="A60" s="149" t="s">
        <v>88</v>
      </c>
      <c r="B60" s="150" t="s">
        <v>445</v>
      </c>
    </row>
    <row r="61" spans="1:2" x14ac:dyDescent="0.25">
      <c r="A61" s="149" t="s">
        <v>91</v>
      </c>
      <c r="B61" s="150" t="s">
        <v>446</v>
      </c>
    </row>
    <row r="62" spans="1:2" x14ac:dyDescent="0.25">
      <c r="A62" s="149" t="s">
        <v>92</v>
      </c>
      <c r="B62" s="150" t="s">
        <v>447</v>
      </c>
    </row>
    <row r="63" spans="1:2" x14ac:dyDescent="0.25">
      <c r="A63" s="149" t="s">
        <v>93</v>
      </c>
      <c r="B63" s="150" t="s">
        <v>448</v>
      </c>
    </row>
    <row r="64" spans="1:2" x14ac:dyDescent="0.25">
      <c r="A64" s="149" t="s">
        <v>94</v>
      </c>
      <c r="B64" s="150" t="s">
        <v>449</v>
      </c>
    </row>
    <row r="65" spans="1:2" x14ac:dyDescent="0.25">
      <c r="A65" s="149" t="s">
        <v>95</v>
      </c>
      <c r="B65" s="150" t="s">
        <v>450</v>
      </c>
    </row>
    <row r="66" spans="1:2" x14ac:dyDescent="0.25">
      <c r="A66" s="149" t="s">
        <v>102</v>
      </c>
      <c r="B66" s="150" t="s">
        <v>451</v>
      </c>
    </row>
    <row r="67" spans="1:2" x14ac:dyDescent="0.25">
      <c r="A67" s="149" t="s">
        <v>106</v>
      </c>
      <c r="B67" s="150" t="s">
        <v>452</v>
      </c>
    </row>
    <row r="68" spans="1:2" x14ac:dyDescent="0.25">
      <c r="A68" s="149" t="s">
        <v>97</v>
      </c>
      <c r="B68" s="150" t="s">
        <v>453</v>
      </c>
    </row>
    <row r="69" spans="1:2" x14ac:dyDescent="0.25">
      <c r="A69" s="149" t="s">
        <v>100</v>
      </c>
      <c r="B69" s="150" t="s">
        <v>454</v>
      </c>
    </row>
    <row r="70" spans="1:2" x14ac:dyDescent="0.25">
      <c r="A70" s="149" t="s">
        <v>434</v>
      </c>
      <c r="B70" s="150" t="s">
        <v>455</v>
      </c>
    </row>
    <row r="71" spans="1:2" x14ac:dyDescent="0.25">
      <c r="A71" s="149" t="s">
        <v>435</v>
      </c>
      <c r="B71" s="150" t="s">
        <v>456</v>
      </c>
    </row>
    <row r="72" spans="1:2" x14ac:dyDescent="0.25">
      <c r="A72" s="149" t="s">
        <v>98</v>
      </c>
      <c r="B72" s="150" t="s">
        <v>457</v>
      </c>
    </row>
    <row r="73" spans="1:2" x14ac:dyDescent="0.25">
      <c r="A73" s="149" t="s">
        <v>101</v>
      </c>
      <c r="B73" s="150" t="s">
        <v>458</v>
      </c>
    </row>
    <row r="74" spans="1:2" x14ac:dyDescent="0.25">
      <c r="A74" s="149" t="s">
        <v>105</v>
      </c>
      <c r="B74" s="150" t="s">
        <v>459</v>
      </c>
    </row>
    <row r="75" spans="1:2" x14ac:dyDescent="0.25">
      <c r="A75" s="149" t="s">
        <v>109</v>
      </c>
      <c r="B75" s="150" t="s">
        <v>460</v>
      </c>
    </row>
    <row r="76" spans="1:2" x14ac:dyDescent="0.25">
      <c r="A76" s="149" t="s">
        <v>110</v>
      </c>
      <c r="B76" s="150" t="s">
        <v>461</v>
      </c>
    </row>
    <row r="77" spans="1:2" x14ac:dyDescent="0.25">
      <c r="A77" s="149" t="s">
        <v>428</v>
      </c>
      <c r="B77" s="150" t="s">
        <v>462</v>
      </c>
    </row>
    <row r="78" spans="1:2" x14ac:dyDescent="0.25">
      <c r="A78" s="149" t="s">
        <v>342</v>
      </c>
      <c r="B78" s="150" t="s">
        <v>463</v>
      </c>
    </row>
    <row r="79" spans="1:2" x14ac:dyDescent="0.25">
      <c r="A79" s="149" t="s">
        <v>112</v>
      </c>
      <c r="B79" s="150" t="s">
        <v>464</v>
      </c>
    </row>
    <row r="80" spans="1:2" x14ac:dyDescent="0.25">
      <c r="A80" s="149" t="s">
        <v>114</v>
      </c>
      <c r="B80" s="150" t="s">
        <v>465</v>
      </c>
    </row>
    <row r="81" spans="1:2" x14ac:dyDescent="0.25">
      <c r="A81" s="149" t="s">
        <v>115</v>
      </c>
      <c r="B81" s="150" t="s">
        <v>466</v>
      </c>
    </row>
    <row r="82" spans="1:2" x14ac:dyDescent="0.25">
      <c r="A82" s="149" t="s">
        <v>111</v>
      </c>
      <c r="B82" s="150" t="s">
        <v>111</v>
      </c>
    </row>
    <row r="83" spans="1:2" x14ac:dyDescent="0.25">
      <c r="A83" s="149" t="s">
        <v>113</v>
      </c>
      <c r="B83" s="150" t="s">
        <v>467</v>
      </c>
    </row>
    <row r="84" spans="1:2" x14ac:dyDescent="0.25">
      <c r="A84" s="149" t="s">
        <v>429</v>
      </c>
      <c r="B84" s="150" t="s">
        <v>468</v>
      </c>
    </row>
    <row r="85" spans="1:2" x14ac:dyDescent="0.25">
      <c r="A85" s="149" t="s">
        <v>430</v>
      </c>
      <c r="B85" s="150" t="s">
        <v>469</v>
      </c>
    </row>
    <row r="86" spans="1:2" x14ac:dyDescent="0.25">
      <c r="A86" s="149" t="s">
        <v>117</v>
      </c>
      <c r="B86" s="150" t="s">
        <v>470</v>
      </c>
    </row>
    <row r="87" spans="1:2" x14ac:dyDescent="0.25">
      <c r="A87" s="149" t="s">
        <v>118</v>
      </c>
      <c r="B87" s="150" t="s">
        <v>471</v>
      </c>
    </row>
    <row r="88" spans="1:2" x14ac:dyDescent="0.25">
      <c r="A88" s="149" t="s">
        <v>119</v>
      </c>
      <c r="B88" s="150" t="s">
        <v>472</v>
      </c>
    </row>
    <row r="89" spans="1:2" x14ac:dyDescent="0.25">
      <c r="A89" s="149" t="s">
        <v>116</v>
      </c>
      <c r="B89" s="150" t="s">
        <v>473</v>
      </c>
    </row>
    <row r="90" spans="1:2" x14ac:dyDescent="0.25">
      <c r="A90" s="149" t="s">
        <v>120</v>
      </c>
      <c r="B90" s="150" t="s">
        <v>474</v>
      </c>
    </row>
    <row r="91" spans="1:2" x14ac:dyDescent="0.25">
      <c r="A91" s="149" t="s">
        <v>121</v>
      </c>
      <c r="B91" s="150" t="s">
        <v>475</v>
      </c>
    </row>
    <row r="92" spans="1:2" x14ac:dyDescent="0.25">
      <c r="A92" s="149" t="s">
        <v>122</v>
      </c>
      <c r="B92" s="150" t="s">
        <v>476</v>
      </c>
    </row>
    <row r="93" spans="1:2" x14ac:dyDescent="0.25">
      <c r="A93" s="149" t="s">
        <v>123</v>
      </c>
      <c r="B93" s="150" t="s">
        <v>477</v>
      </c>
    </row>
    <row r="94" spans="1:2" x14ac:dyDescent="0.25">
      <c r="A94" s="149" t="s">
        <v>124</v>
      </c>
      <c r="B94" s="150" t="s">
        <v>478</v>
      </c>
    </row>
    <row r="95" spans="1:2" x14ac:dyDescent="0.25">
      <c r="A95" s="149" t="s">
        <v>343</v>
      </c>
      <c r="B95" s="159" t="s">
        <v>516</v>
      </c>
    </row>
    <row r="96" spans="1:2" x14ac:dyDescent="0.25">
      <c r="A96" s="149" t="s">
        <v>125</v>
      </c>
      <c r="B96" s="150" t="s">
        <v>487</v>
      </c>
    </row>
    <row r="97" spans="1:2" x14ac:dyDescent="0.25">
      <c r="A97" s="149" t="s">
        <v>126</v>
      </c>
      <c r="B97" s="150" t="s">
        <v>488</v>
      </c>
    </row>
    <row r="98" spans="1:2" x14ac:dyDescent="0.25">
      <c r="A98" s="154" t="s">
        <v>482</v>
      </c>
      <c r="B98" s="150" t="s">
        <v>489</v>
      </c>
    </row>
    <row r="99" spans="1:2" x14ac:dyDescent="0.25">
      <c r="A99" s="154" t="s">
        <v>483</v>
      </c>
      <c r="B99" s="150" t="s">
        <v>490</v>
      </c>
    </row>
    <row r="100" spans="1:2" x14ac:dyDescent="0.25">
      <c r="A100" s="154" t="s">
        <v>484</v>
      </c>
      <c r="B100" s="150" t="s">
        <v>491</v>
      </c>
    </row>
    <row r="101" spans="1:2" x14ac:dyDescent="0.25">
      <c r="A101" s="154" t="s">
        <v>485</v>
      </c>
      <c r="B101" s="150" t="s">
        <v>492</v>
      </c>
    </row>
    <row r="102" spans="1:2" x14ac:dyDescent="0.25">
      <c r="A102" s="154" t="s">
        <v>486</v>
      </c>
      <c r="B102" s="150" t="s">
        <v>493</v>
      </c>
    </row>
    <row r="103" spans="1:2" x14ac:dyDescent="0.25">
      <c r="A103" s="149" t="s">
        <v>132</v>
      </c>
      <c r="B103" s="150" t="s">
        <v>494</v>
      </c>
    </row>
    <row r="104" spans="1:2" x14ac:dyDescent="0.25">
      <c r="A104" s="149" t="s">
        <v>133</v>
      </c>
      <c r="B104" s="150" t="s">
        <v>495</v>
      </c>
    </row>
    <row r="105" spans="1:2" x14ac:dyDescent="0.25">
      <c r="A105" s="149" t="s">
        <v>134</v>
      </c>
      <c r="B105" s="150" t="s">
        <v>496</v>
      </c>
    </row>
    <row r="106" spans="1:2" x14ac:dyDescent="0.25">
      <c r="A106" s="149" t="s">
        <v>135</v>
      </c>
      <c r="B106" s="150" t="s">
        <v>497</v>
      </c>
    </row>
    <row r="107" spans="1:2" x14ac:dyDescent="0.25">
      <c r="A107" s="149" t="s">
        <v>136</v>
      </c>
      <c r="B107" s="150" t="s">
        <v>498</v>
      </c>
    </row>
    <row r="108" spans="1:2" x14ac:dyDescent="0.25">
      <c r="A108" s="149" t="s">
        <v>137</v>
      </c>
      <c r="B108" s="150" t="s">
        <v>499</v>
      </c>
    </row>
    <row r="109" spans="1:2" x14ac:dyDescent="0.25">
      <c r="A109" s="149" t="s">
        <v>138</v>
      </c>
      <c r="B109" s="150" t="s">
        <v>138</v>
      </c>
    </row>
    <row r="110" spans="1:2" x14ac:dyDescent="0.25">
      <c r="A110" s="149" t="s">
        <v>139</v>
      </c>
      <c r="B110" s="150" t="s">
        <v>487</v>
      </c>
    </row>
    <row r="111" spans="1:2" x14ac:dyDescent="0.25">
      <c r="A111" s="149" t="s">
        <v>127</v>
      </c>
      <c r="B111" s="150" t="s">
        <v>500</v>
      </c>
    </row>
    <row r="112" spans="1:2" x14ac:dyDescent="0.25">
      <c r="A112" s="154" t="s">
        <v>481</v>
      </c>
      <c r="B112" s="150" t="s">
        <v>501</v>
      </c>
    </row>
    <row r="113" spans="1:2" x14ac:dyDescent="0.25">
      <c r="A113" s="149" t="s">
        <v>140</v>
      </c>
      <c r="B113" s="150" t="s">
        <v>502</v>
      </c>
    </row>
    <row r="114" spans="1:2" x14ac:dyDescent="0.25">
      <c r="A114" s="149" t="s">
        <v>141</v>
      </c>
      <c r="B114" s="150" t="s">
        <v>503</v>
      </c>
    </row>
    <row r="115" spans="1:2" x14ac:dyDescent="0.25">
      <c r="A115" s="149" t="s">
        <v>142</v>
      </c>
      <c r="B115" s="150" t="s">
        <v>504</v>
      </c>
    </row>
    <row r="116" spans="1:2" x14ac:dyDescent="0.25">
      <c r="A116" s="149" t="s">
        <v>279</v>
      </c>
      <c r="B116" s="159" t="s">
        <v>517</v>
      </c>
    </row>
    <row r="117" spans="1:2" x14ac:dyDescent="0.25">
      <c r="A117" s="149" t="s">
        <v>281</v>
      </c>
      <c r="B117" s="150" t="s">
        <v>506</v>
      </c>
    </row>
    <row r="118" spans="1:2" x14ac:dyDescent="0.25">
      <c r="A118" s="149" t="s">
        <v>282</v>
      </c>
      <c r="B118" s="150" t="s">
        <v>282</v>
      </c>
    </row>
    <row r="119" spans="1:2" x14ac:dyDescent="0.25">
      <c r="A119" s="149" t="s">
        <v>283</v>
      </c>
      <c r="B119" s="150" t="s">
        <v>507</v>
      </c>
    </row>
    <row r="120" spans="1:2" x14ac:dyDescent="0.25">
      <c r="A120" s="149" t="s">
        <v>284</v>
      </c>
      <c r="B120" s="150" t="s">
        <v>508</v>
      </c>
    </row>
    <row r="121" spans="1:2" x14ac:dyDescent="0.25">
      <c r="A121" s="149" t="s">
        <v>285</v>
      </c>
      <c r="B121" s="150" t="s">
        <v>509</v>
      </c>
    </row>
    <row r="122" spans="1:2" x14ac:dyDescent="0.25">
      <c r="A122" s="149" t="s">
        <v>479</v>
      </c>
      <c r="B122" s="150" t="s">
        <v>510</v>
      </c>
    </row>
    <row r="123" spans="1:2" x14ac:dyDescent="0.25">
      <c r="A123" s="149" t="s">
        <v>286</v>
      </c>
      <c r="B123" s="150" t="s">
        <v>511</v>
      </c>
    </row>
    <row r="124" spans="1:2" x14ac:dyDescent="0.25">
      <c r="A124" s="149" t="s">
        <v>480</v>
      </c>
      <c r="B124" s="150" t="s">
        <v>505</v>
      </c>
    </row>
    <row r="125" spans="1:2" x14ac:dyDescent="0.25">
      <c r="A125" s="149" t="s">
        <v>298</v>
      </c>
      <c r="B125" s="159" t="s">
        <v>518</v>
      </c>
    </row>
    <row r="126" spans="1:2" x14ac:dyDescent="0.25">
      <c r="A126" s="149" t="s">
        <v>299</v>
      </c>
      <c r="B126" s="150" t="s">
        <v>512</v>
      </c>
    </row>
    <row r="127" spans="1:2" x14ac:dyDescent="0.25">
      <c r="A127" s="149" t="s">
        <v>433</v>
      </c>
      <c r="B127" s="150" t="s">
        <v>513</v>
      </c>
    </row>
    <row r="128" spans="1:2" x14ac:dyDescent="0.25">
      <c r="A128" s="149" t="s">
        <v>432</v>
      </c>
      <c r="B128" s="150" t="s">
        <v>514</v>
      </c>
    </row>
    <row r="129" spans="1:2" x14ac:dyDescent="0.25">
      <c r="A129" s="149" t="s">
        <v>300</v>
      </c>
      <c r="B129" s="150" t="s">
        <v>515</v>
      </c>
    </row>
    <row r="130" spans="1:2" x14ac:dyDescent="0.25">
      <c r="A130" s="149" t="s">
        <v>67</v>
      </c>
      <c r="B130" s="150" t="s">
        <v>520</v>
      </c>
    </row>
    <row r="131" spans="1:2" x14ac:dyDescent="0.25">
      <c r="A131" s="149" t="s">
        <v>6</v>
      </c>
      <c r="B131" s="150" t="s">
        <v>521</v>
      </c>
    </row>
    <row r="132" spans="1:2" x14ac:dyDescent="0.25">
      <c r="A132" s="149" t="s">
        <v>66</v>
      </c>
      <c r="B132" s="150" t="s">
        <v>522</v>
      </c>
    </row>
    <row r="133" spans="1:2" x14ac:dyDescent="0.25">
      <c r="A133" s="149" t="s">
        <v>519</v>
      </c>
      <c r="B133" s="150" t="s">
        <v>488</v>
      </c>
    </row>
    <row r="134" spans="1:2" x14ac:dyDescent="0.25">
      <c r="A134" s="149" t="s">
        <v>4</v>
      </c>
      <c r="B134" s="150" t="s">
        <v>523</v>
      </c>
    </row>
    <row r="135" spans="1:2" x14ac:dyDescent="0.25">
      <c r="A135" s="149" t="s">
        <v>3</v>
      </c>
      <c r="B135" s="150" t="s">
        <v>524</v>
      </c>
    </row>
    <row r="136" spans="1:2" x14ac:dyDescent="0.25">
      <c r="A136" s="149" t="s">
        <v>2</v>
      </c>
      <c r="B136" s="150" t="s">
        <v>525</v>
      </c>
    </row>
    <row r="137" spans="1:2" x14ac:dyDescent="0.25">
      <c r="A137" s="149" t="s">
        <v>1</v>
      </c>
      <c r="B137" s="150" t="s">
        <v>526</v>
      </c>
    </row>
    <row r="138" spans="1:2" x14ac:dyDescent="0.25">
      <c r="A138" s="149" t="s">
        <v>38</v>
      </c>
      <c r="B138" s="150" t="s">
        <v>527</v>
      </c>
    </row>
    <row r="139" spans="1:2" x14ac:dyDescent="0.25">
      <c r="A139" s="149" t="s">
        <v>0</v>
      </c>
      <c r="B139" s="150" t="s">
        <v>528</v>
      </c>
    </row>
    <row r="140" spans="1:2" x14ac:dyDescent="0.25">
      <c r="A140" s="149" t="s">
        <v>68</v>
      </c>
      <c r="B140" s="150" t="s">
        <v>529</v>
      </c>
    </row>
    <row r="141" spans="1:2" x14ac:dyDescent="0.25">
      <c r="A141" s="149" t="s">
        <v>69</v>
      </c>
      <c r="B141" s="150" t="s">
        <v>530</v>
      </c>
    </row>
    <row r="142" spans="1:2" x14ac:dyDescent="0.25">
      <c r="A142" s="154" t="s">
        <v>360</v>
      </c>
      <c r="B142" s="150" t="s">
        <v>531</v>
      </c>
    </row>
    <row r="143" spans="1:2" x14ac:dyDescent="0.25">
      <c r="A143" s="149" t="s">
        <v>19</v>
      </c>
      <c r="B143" s="150" t="s">
        <v>532</v>
      </c>
    </row>
    <row r="144" spans="1:2" x14ac:dyDescent="0.25">
      <c r="A144" s="149" t="s">
        <v>20</v>
      </c>
      <c r="B144" s="150" t="s">
        <v>533</v>
      </c>
    </row>
    <row r="145" spans="1:2" ht="79.2" x14ac:dyDescent="0.25">
      <c r="A145" s="161" t="s">
        <v>338</v>
      </c>
      <c r="B145" s="160" t="s">
        <v>539</v>
      </c>
    </row>
    <row r="146" spans="1:2" x14ac:dyDescent="0.25">
      <c r="A146" s="149" t="s">
        <v>12</v>
      </c>
      <c r="B146" s="158" t="s">
        <v>12</v>
      </c>
    </row>
    <row r="147" spans="1:2" x14ac:dyDescent="0.25">
      <c r="A147" s="149" t="s">
        <v>17</v>
      </c>
      <c r="B147" s="158" t="s">
        <v>534</v>
      </c>
    </row>
    <row r="148" spans="1:2" x14ac:dyDescent="0.25">
      <c r="A148" s="149" t="s">
        <v>16</v>
      </c>
      <c r="B148" s="150" t="s">
        <v>535</v>
      </c>
    </row>
    <row r="149" spans="1:2" x14ac:dyDescent="0.25">
      <c r="A149" s="149" t="s">
        <v>15</v>
      </c>
      <c r="B149" s="150" t="s">
        <v>15</v>
      </c>
    </row>
    <row r="150" spans="1:2" x14ac:dyDescent="0.25">
      <c r="A150" s="149" t="s">
        <v>13</v>
      </c>
      <c r="B150" s="150" t="s">
        <v>536</v>
      </c>
    </row>
    <row r="151" spans="1:2" x14ac:dyDescent="0.25">
      <c r="A151" s="149" t="s">
        <v>359</v>
      </c>
      <c r="B151" s="150" t="s">
        <v>537</v>
      </c>
    </row>
    <row r="152" spans="1:2" x14ac:dyDescent="0.25">
      <c r="A152" s="154" t="s">
        <v>538</v>
      </c>
      <c r="B152" s="159" t="s">
        <v>540</v>
      </c>
    </row>
    <row r="153" spans="1:2" x14ac:dyDescent="0.25">
      <c r="A153" s="149" t="s">
        <v>54</v>
      </c>
      <c r="B153" s="150" t="s">
        <v>541</v>
      </c>
    </row>
    <row r="154" spans="1:2" x14ac:dyDescent="0.25">
      <c r="A154" s="149" t="s">
        <v>358</v>
      </c>
      <c r="B154" s="150" t="s">
        <v>542</v>
      </c>
    </row>
  </sheetData>
  <conditionalFormatting sqref="B146:B151 B2:B144">
    <cfRule type="duplicateValues" dxfId="5" priority="226"/>
  </conditionalFormatting>
  <conditionalFormatting sqref="A2:A154">
    <cfRule type="duplicateValues" dxfId="4" priority="231"/>
  </conditionalFormatting>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VP</vt:lpstr>
      <vt:lpstr>CR</vt:lpstr>
      <vt:lpstr>VA</vt:lpstr>
      <vt:lpstr>Suivi Budget - Rapport VA</vt:lpstr>
      <vt:lpstr>Rapport Avancement Projet</vt:lpstr>
      <vt:lpstr>Langue</vt:lpstr>
      <vt:lpstr>CR!Print_Area</vt:lpstr>
      <vt:lpstr>'Rapport Avancement Projet'!Print_Area</vt:lpstr>
      <vt:lpstr>'Suivi Budget - Rapport VA'!Print_Area</vt:lpstr>
      <vt:lpstr>VA!Print_Area</vt:lpstr>
      <vt:lpstr>VP!Print_Area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2020-05-30T22:32:47Z</dcterms:created>
  <dcterms:modified xsi:type="dcterms:W3CDTF">2025-02-24T14:34:17Z</dcterms:modified>
</cp:coreProperties>
</file>